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vmlDrawing1.vml" ContentType="application/vnd.openxmlformats-officedocument.vmlDrawing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10.xml" ContentType="application/vnd.openxmlformats-officedocument.drawingml.chart+xml"/>
  <Override PartName="/xl/charts/chart5.xml" ContentType="application/vnd.openxmlformats-officedocument.drawingml.chart+xml"/>
  <Override PartName="/xl/charts/chart22.xml" ContentType="application/vnd.openxmlformats-officedocument.drawingml.chart+xml"/>
  <Override PartName="/xl/charts/chart4.xml" ContentType="application/vnd.openxmlformats-officedocument.drawingml.chart+xml"/>
  <Override PartName="/xl/charts/chart21.xml" ContentType="application/vnd.openxmlformats-officedocument.drawingml.chart+xml"/>
  <Override PartName="/xl/charts/chart19.xml" ContentType="application/vnd.openxmlformats-officedocument.drawingml.chart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charts/chart20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tatus Log" sheetId="2" state="visible" r:id="rId4"/>
    <sheet name="Hip" sheetId="3" state="visible" r:id="rId5"/>
    <sheet name="Hamstring" sheetId="4" state="visible" r:id="rId6"/>
    <sheet name="Knee" sheetId="5" state="visible" r:id="rId7"/>
    <sheet name="Ankle-Foot" sheetId="6" state="visible" r:id="rId8"/>
    <sheet name="Shoulder" sheetId="7" state="visible" r:id="rId9"/>
    <sheet name="GPS" sheetId="8" state="visible" r:id="rId10"/>
    <sheet name="Lists" sheetId="9" state="visible" r:id="rId11"/>
    <sheet name="Dash Feed" sheetId="10" state="hidden" r:id="rId12"/>
    <sheet name="Chart Feed" sheetId="11" state="hidden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6" authorId="0">
      <text>
        <r>
          <rPr>
            <sz val="10"/>
            <rFont val="Arial"/>
            <family val="2"/>
          </rPr>
          <t xml:space="preserve">Placeholder baseline (approx. academy weekly load). Replace with the player's own pre-injury averages.</t>
        </r>
      </text>
    </comment>
  </commentList>
</comments>
</file>

<file path=xl/sharedStrings.xml><?xml version="1.0" encoding="utf-8"?>
<sst xmlns="http://schemas.openxmlformats.org/spreadsheetml/2006/main" count="1615" uniqueCount="368">
  <si>
    <t xml:space="preserve">Rehabilitation Dashboard</t>
  </si>
  <si>
    <t xml:space="preserve">LEEDS UNITED ACADEMY  ·  SPORTS MEDICINE</t>
  </si>
  <si>
    <t xml:space="preserve">PLAYER</t>
  </si>
  <si>
    <t xml:space="preserve">POSITION · SQUAD</t>
  </si>
  <si>
    <t xml:space="preserve">INJURY / DIAGNOSIS</t>
  </si>
  <si>
    <t xml:space="preserve">INJURED SIDE</t>
  </si>
  <si>
    <t xml:space="preserve">INJURY DATE</t>
  </si>
  <si>
    <t xml:space="preserve">WEEK OF REHAB</t>
  </si>
  <si>
    <t xml:space="preserve">EXPECTED RTP</t>
  </si>
  <si>
    <t xml:space="preserve">Example Player</t>
  </si>
  <si>
    <t xml:space="preserve">CM · U16</t>
  </si>
  <si>
    <t xml:space="preserve">e.g. L ACL reconstruction</t>
  </si>
  <si>
    <t xml:space="preserve">L</t>
  </si>
  <si>
    <t xml:space="preserve">DOB</t>
  </si>
  <si>
    <t xml:space="preserve">AGE (YRS)</t>
  </si>
  <si>
    <t xml:space="preserve">AGE AT INJURY</t>
  </si>
  <si>
    <t xml:space="preserve">HEIGHT (CM)</t>
  </si>
  <si>
    <t xml:space="preserve">BODY MASS (KG)</t>
  </si>
  <si>
    <t xml:space="preserve">MAT. OFFSET</t>
  </si>
  <si>
    <t xml:space="preserve">MATURITY</t>
  </si>
  <si>
    <t xml:space="preserve">% PAH</t>
  </si>
  <si>
    <t xml:space="preserve">MEASURED ON</t>
  </si>
  <si>
    <t xml:space="preserve">DAYS POST INJURY</t>
  </si>
  <si>
    <t xml:space="preserve">Maturity: % predicted adult height (PAH) if entered — &lt;85% pre · 85–95% circa · &gt;95% post — otherwise maturity offset (&lt; −1 pre · −1 to +1 circa · &gt; +1 post).</t>
  </si>
  <si>
    <t xml:space="preserve">Current status</t>
  </si>
  <si>
    <t xml:space="preserve">AVAILABILITY</t>
  </si>
  <si>
    <t xml:space="preserve">CURRENT FOCUS</t>
  </si>
  <si>
    <t xml:space="preserve">STAGE HISTORY   ·   last six Status Log entries, oldest → newest</t>
  </si>
  <si>
    <t xml:space="preserve">Regions shown on this dashboard</t>
  </si>
  <si>
    <t xml:space="preserve">HIP</t>
  </si>
  <si>
    <t xml:space="preserve">HAMSTRING</t>
  </si>
  <si>
    <t xml:space="preserve">KNEE</t>
  </si>
  <si>
    <t xml:space="preserve">ANKLE-FOOT</t>
  </si>
  <si>
    <t xml:space="preserve">SHOULDER</t>
  </si>
  <si>
    <t xml:space="preserve">LSI TARGET</t>
  </si>
  <si>
    <t xml:space="preserve">CHARTS SHOW</t>
  </si>
  <si>
    <t xml:space="preserve">✓</t>
  </si>
  <si>
    <t xml:space="preserve">Knee</t>
  </si>
  <si>
    <t xml:space="preserve">Tick (✓) the regions relevant to this player — only ticked regions appear below, stacked in this order. Clear a cell to hide that region. 'Charts show' picks the region the progression charts plot (blank = first ticked).</t>
  </si>
  <si>
    <t xml:space="preserve">What's open — criteria still to meet for the current phase</t>
  </si>
  <si>
    <t xml:space="preserve">Region</t>
  </si>
  <si>
    <t xml:space="preserve">Current phase</t>
  </si>
  <si>
    <t xml:space="preserve">Cleared</t>
  </si>
  <si>
    <t xml:space="preserve">Open criteria</t>
  </si>
  <si>
    <t xml:space="preserve">Latest tests   ·   ticked regions</t>
  </si>
  <si>
    <t xml:space="preserve">GPS   ·   weekly pitch load</t>
  </si>
  <si>
    <t xml:space="preserve">Block</t>
  </si>
  <si>
    <t xml:space="preserve">Test</t>
  </si>
  <si>
    <t xml:space="preserve">L / score</t>
  </si>
  <si>
    <t xml:space="preserve">R</t>
  </si>
  <si>
    <t xml:space="preserve">LSI</t>
  </si>
  <si>
    <t xml:space="preserve">Δ prev</t>
  </si>
  <si>
    <t xml:space="preserve">Date</t>
  </si>
  <si>
    <t xml:space="preserve">TD (m)</t>
  </si>
  <si>
    <t xml:space="preserve">HSR (m)</t>
  </si>
  <si>
    <t xml:space="preserve">SD (m)</t>
  </si>
  <si>
    <t xml:space="preserve">Acc (#)</t>
  </si>
  <si>
    <t xml:space="preserve">Dec (#)</t>
  </si>
  <si>
    <t xml:space="preserve">Top Speed (m/s)</t>
  </si>
  <si>
    <t xml:space="preserve">Pre-injury baseline</t>
  </si>
  <si>
    <t xml:space="preserve">% of baseline</t>
  </si>
  <si>
    <t xml:space="preserve">Best week to date</t>
  </si>
  <si>
    <t xml:space="preserve">Speeds in m/s. Criteria, baseline and session log on the GPS tab.</t>
  </si>
  <si>
    <t xml:space="preserve">All regions at a glance</t>
  </si>
  <si>
    <t xml:space="preserve">How it works</t>
  </si>
  <si>
    <t xml:space="preserve">Status</t>
  </si>
  <si>
    <t xml:space="preserve">Last test</t>
  </si>
  <si>
    <t xml:space="preserve">•  Cream cells are inputs. Everything else updates from the region tabs, the Status Log and the GPS tab.</t>
  </si>
  <si>
    <t xml:space="preserve">•  Status headline = newest Status Log entry. Pitch add-ons stack; chips light up when ticked and show this week's GPS.</t>
  </si>
  <si>
    <t xml:space="preserve">•  Tick regions to show them; each region's tests stack under a blue band with its phase and cleared count.</t>
  </si>
  <si>
    <t xml:space="preserve">•  LSI = injured ÷ uninjured side (can exceed 100%). Δ prev = change since the previous test of that metric.</t>
  </si>
  <si>
    <t xml:space="preserve">•  Exit criteria evaluate live on each region tab; 'What's open' lists what's left in the current phase.</t>
  </si>
  <si>
    <t xml:space="preserve">•  Example rows (Knee, Hip, GPS log, Status Log) are flagged in grey — overwrite them.</t>
  </si>
  <si>
    <t xml:space="preserve">Status Log — availability &amp; current focus</t>
  </si>
  <si>
    <t xml:space="preserve">Add a row whenever the player's availability or focus changes. The newest entry (by date) drives the Dashboard headline; the list itself is the stage history. Pitch add-ons stack — keep earlier ticks on as you add new ones.</t>
  </si>
  <si>
    <t xml:space="preserve">Wk</t>
  </si>
  <si>
    <t xml:space="preserve">Availability</t>
  </si>
  <si>
    <t xml:space="preserve">Current focus (base)</t>
  </si>
  <si>
    <t xml:space="preserve">Accel / decel</t>
  </si>
  <si>
    <t xml:space="preserve">Change of direction</t>
  </si>
  <si>
    <t xml:space="preserve">High-speed running</t>
  </si>
  <si>
    <t xml:space="preserve">Sprint distance</t>
  </si>
  <si>
    <t xml:space="preserve">Top speed</t>
  </si>
  <si>
    <t xml:space="preserve">Headline (auto)</t>
  </si>
  <si>
    <t xml:space="preserve">Notes</t>
  </si>
  <si>
    <t xml:space="preserve">Unavailable — training &amp; fixtures</t>
  </si>
  <si>
    <t xml:space="preserve">Gym-based — strength focus</t>
  </si>
  <si>
    <t xml:space="preserve">EXAMPLE ROW — overwrite / delete</t>
  </si>
  <si>
    <t xml:space="preserve">Gym-based — strength + plyometric focus</t>
  </si>
  <si>
    <t xml:space="preserve">Pitch-based — linear running / volume focus</t>
  </si>
  <si>
    <t xml:space="preserve">Hip — Rehabilitation Testing</t>
  </si>
  <si>
    <t xml:space="preserve">Hip &amp; groin tracker. ROM in degrees; strength = KangaTech hip profile in kg. LSI = injured ÷ uninjured side (set the Injured side tile on the Dashboard). Wk = rehab week, stamped automatically from the date.</t>
  </si>
  <si>
    <t xml:space="preserve">Phase Progression — Exit Criteria (live: pick test · measure · operator · threshold; Override for manual items). LSI / GPS thresholds as decimals (0.9 = 90%).</t>
  </si>
  <si>
    <t xml:space="preserve">#</t>
  </si>
  <si>
    <t xml:space="preserve">Phase</t>
  </si>
  <si>
    <t xml:space="preserve">Criterion (edit)</t>
  </si>
  <si>
    <t xml:space="preserve">Test (dropdown)</t>
  </si>
  <si>
    <t xml:space="preserve">Measure</t>
  </si>
  <si>
    <t xml:space="preserve">Op</t>
  </si>
  <si>
    <t xml:space="preserve">Threshold</t>
  </si>
  <si>
    <t xml:space="preserve">Current (auto)</t>
  </si>
  <si>
    <t xml:space="preserve">Auto result</t>
  </si>
  <si>
    <t xml:space="preserve">Override (Y/N)</t>
  </si>
  <si>
    <t xml:space="preserve">Met?</t>
  </si>
  <si>
    <t xml:space="preserve">Date met (auto)</t>
  </si>
  <si>
    <t xml:space="preserve">1. Protection</t>
  </si>
  <si>
    <t xml:space="preserve">Pain ≤ 2/10 with ADLs, full weight-bearing</t>
  </si>
  <si>
    <t xml:space="preserve">Manual</t>
  </si>
  <si>
    <t xml:space="preserve">≥</t>
  </si>
  <si>
    <t xml:space="preserve">No night pain</t>
  </si>
  <si>
    <t xml:space="preserve">2. Load Introduction</t>
  </si>
  <si>
    <t xml:space="preserve">Hip flexion ROM ≥ 90% of other side</t>
  </si>
  <si>
    <t xml:space="preserve">Hip Flexion (°)</t>
  </si>
  <si>
    <t xml:space="preserve">Adduction @ 30° ≥ 70% LSI</t>
  </si>
  <si>
    <t xml:space="preserve">Adduction @ 30° (kg)</t>
  </si>
  <si>
    <t xml:space="preserve">Abduction @ 30° ≥ 70% LSI</t>
  </si>
  <si>
    <t xml:space="preserve">Abduction @ 30° (kg)</t>
  </si>
  <si>
    <t xml:space="preserve">3. Specific Loading</t>
  </si>
  <si>
    <t xml:space="preserve">Adduction @ 30° ≥ 80% LSI</t>
  </si>
  <si>
    <t xml:space="preserve">Hip flexion @ 90° ≥ 80% LSI</t>
  </si>
  <si>
    <t xml:space="preserve">Hip Flexion @ 90° (kg)</t>
  </si>
  <si>
    <t xml:space="preserve">Pain-free linear running</t>
  </si>
  <si>
    <t xml:space="preserve">4. Performance Loading</t>
  </si>
  <si>
    <t xml:space="preserve">Adduction @ 30° ≥ 90% LSI</t>
  </si>
  <si>
    <t xml:space="preserve">SL CMJ ≥ 90% LSI</t>
  </si>
  <si>
    <t xml:space="preserve">SL CMJ Height (cm)</t>
  </si>
  <si>
    <t xml:space="preserve">SL hop ≥ 90% LSI</t>
  </si>
  <si>
    <t xml:space="preserve">SL Hop Distance (cm)</t>
  </si>
  <si>
    <t xml:space="preserve">5. Return to Training</t>
  </si>
  <si>
    <t xml:space="preserve">Total distance ≥ 90% of baseline</t>
  </si>
  <si>
    <t xml:space="preserve">GPS: TD % baseline (best week)</t>
  </si>
  <si>
    <t xml:space="preserve">HSR ≥ 90% of baseline</t>
  </si>
  <si>
    <t xml:space="preserve">GPS: HSR % baseline (best week)</t>
  </si>
  <si>
    <t xml:space="preserve">Full training completed</t>
  </si>
  <si>
    <t xml:space="preserve">6. Return to Play</t>
  </si>
  <si>
    <t xml:space="preserve">Total distance ≥ 100% of baseline</t>
  </si>
  <si>
    <t xml:space="preserve">Sprint distance ≥ 95% of baseline</t>
  </si>
  <si>
    <t xml:space="preserve">GPS: SD % baseline (best week)</t>
  </si>
  <si>
    <t xml:space="preserve">Psychological readiness confirmed</t>
  </si>
  <si>
    <t xml:space="preserve">Criteria met (auto)</t>
  </si>
  <si>
    <t xml:space="preserve">Cleared?</t>
  </si>
  <si>
    <t xml:space="preserve">Next outstanding criterion</t>
  </si>
  <si>
    <t xml:space="preserve">Phases cleared</t>
  </si>
  <si>
    <t xml:space="preserve">Open now:</t>
  </si>
  <si>
    <t xml:space="preserve">Range of Motion  —  degrees / cm as labelled</t>
  </si>
  <si>
    <t xml:space="preserve">Hip Extension (°)</t>
  </si>
  <si>
    <t xml:space="preserve">Hip IR @ 90° (°)</t>
  </si>
  <si>
    <t xml:space="preserve">Hip ER @ 90° (°)</t>
  </si>
  <si>
    <t xml:space="preserve">Active Abduction (°)</t>
  </si>
  <si>
    <t xml:space="preserve">Passive Abduction (°)</t>
  </si>
  <si>
    <t xml:space="preserve">(spare slot — rename)</t>
  </si>
  <si>
    <t xml:space="preserve">Latest</t>
  </si>
  <si>
    <t xml:space="preserve">Auto — most recent entry by date, per column</t>
  </si>
  <si>
    <t xml:space="preserve">Date of latest</t>
  </si>
  <si>
    <t xml:space="preserve">Strength — KangaTech Hip Profile (kg)  —  L / R values as labelled</t>
  </si>
  <si>
    <t xml:space="preserve">Hip Extension (kg)</t>
  </si>
  <si>
    <t xml:space="preserve">Hip IR @ 90° (kg)</t>
  </si>
  <si>
    <t xml:space="preserve">Hip ER @ 90° (kg)</t>
  </si>
  <si>
    <t xml:space="preserve">Hip Flexion @ 60° (kg)</t>
  </si>
  <si>
    <t xml:space="preserve">Jump Testing — standardised battery  —  force plate / tape / timing gates</t>
  </si>
  <si>
    <t xml:space="preserve">DL CMJ Height (cm)</t>
  </si>
  <si>
    <t xml:space="preserve">Triple Hop Distance (cm)</t>
  </si>
  <si>
    <t xml:space="preserve">Lateral Capacity</t>
  </si>
  <si>
    <t xml:space="preserve">DL Drop Jump RSI</t>
  </si>
  <si>
    <t xml:space="preserve">SL Drop Jump RSI</t>
  </si>
  <si>
    <t xml:space="preserve">10-5 Repeated Hops RSI</t>
  </si>
  <si>
    <t xml:space="preserve">Score</t>
  </si>
  <si>
    <t xml:space="preserve">—</t>
  </si>
  <si>
    <t xml:space="preserve">Progression — slot 1 of each block against rehab week (L vs R, or score for bilateral tests). Right-click &gt; Select Data to point at another metric; the Dashboard shows LSI-over-time for every slot in use.</t>
  </si>
  <si>
    <t xml:space="preserve">Dashboard feed (auto) — slots in use on this tab. Do not edit; rename slot headers above instead.</t>
  </si>
  <si>
    <t xml:space="preserve">Slot</t>
  </si>
  <si>
    <t xml:space="preserve">In use?</t>
  </si>
  <si>
    <t xml:space="preserve">Run #</t>
  </si>
  <si>
    <t xml:space="preserve">Latest L</t>
  </si>
  <si>
    <t xml:space="preserve">Latest R</t>
  </si>
  <si>
    <t xml:space="preserve">Latest LSI</t>
  </si>
  <si>
    <t xml:space="preserve">Δ vs prev</t>
  </si>
  <si>
    <t xml:space="preserve">Criteria test list (auto)</t>
  </si>
  <si>
    <t xml:space="preserve">ROM</t>
  </si>
  <si>
    <t xml:space="preserve">GPS: Acc % baseline (best week)</t>
  </si>
  <si>
    <t xml:space="preserve">GPS: Dec % baseline (best week)</t>
  </si>
  <si>
    <t xml:space="preserve">GPS: Top speed % baseline (best week)</t>
  </si>
  <si>
    <t xml:space="preserve">Strength</t>
  </si>
  <si>
    <t xml:space="preserve">Jump / Power</t>
  </si>
  <si>
    <t xml:space="preserve">Compacted list (auto) — what the Dashboard shows for this tab</t>
  </si>
  <si>
    <t xml:space="preserve">Block label</t>
  </si>
  <si>
    <t xml:space="preserve">Δ</t>
  </si>
  <si>
    <t xml:space="preserve">Hamstring — Rehabilitation Testing</t>
  </si>
  <si>
    <t xml:space="preserve">Hamstring tracker — phases follow the Aspetar pathway names (edit freely). LSI = injured ÷ uninjured side (set the Injured side tile on the Dashboard). Wk = rehab week, stamped automatically from the date.</t>
  </si>
  <si>
    <t xml:space="preserve">1. Foundation</t>
  </si>
  <si>
    <t xml:space="preserve">Pain-free walking &amp; ADLs</t>
  </si>
  <si>
    <t xml:space="preserve">AKE ≥ 80% of other side</t>
  </si>
  <si>
    <t xml:space="preserve">Active Knee Extension (°)</t>
  </si>
  <si>
    <t xml:space="preserve">2. Reload</t>
  </si>
  <si>
    <t xml:space="preserve">Iso 90/90 ≥ 80% LSI</t>
  </si>
  <si>
    <t xml:space="preserve">Iso Hamstring 90/90 (N)</t>
  </si>
  <si>
    <t xml:space="preserve">AKE ≥ 90% of other side</t>
  </si>
  <si>
    <t xml:space="preserve">Pain-free jogging</t>
  </si>
  <si>
    <t xml:space="preserve">3. Accumulation</t>
  </si>
  <si>
    <t xml:space="preserve">NordBord eccentric ≥ 80% LSI</t>
  </si>
  <si>
    <t xml:space="preserve">NordBord Eccentric (N)</t>
  </si>
  <si>
    <t xml:space="preserve">Iso 30° ≥ 85% LSI</t>
  </si>
  <si>
    <t xml:space="preserve">Iso Hamstring 30° (N)</t>
  </si>
  <si>
    <t xml:space="preserve">Progressive running tolerated</t>
  </si>
  <si>
    <t xml:space="preserve">4. Transition</t>
  </si>
  <si>
    <t xml:space="preserve">NordBord eccentric ≥ 90% LSI</t>
  </si>
  <si>
    <t xml:space="preserve">SL bridge ≥ 90% LSI</t>
  </si>
  <si>
    <t xml:space="preserve">SL Hamstring Bridge (reps)</t>
  </si>
  <si>
    <t xml:space="preserve">Top speed ≥ 90% of baseline</t>
  </si>
  <si>
    <t xml:space="preserve">5. Simulation</t>
  </si>
  <si>
    <t xml:space="preserve">6. Resilience</t>
  </si>
  <si>
    <t xml:space="preserve">Match minutes progressed</t>
  </si>
  <si>
    <t xml:space="preserve">Passive SLR (°)</t>
  </si>
  <si>
    <t xml:space="preserve">Strength — NordBord / force frame / HHD  —  L / R values as labelled</t>
  </si>
  <si>
    <t xml:space="preserve">Quadriceps Iso (N)</t>
  </si>
  <si>
    <t xml:space="preserve">Knee — Rehabilitation Testing</t>
  </si>
  <si>
    <t xml:space="preserve">Knee tracker (ACL, meniscus, PFJ, tendinopathy) — Melbourne-guide style battery. LSI = injured ÷ uninjured side (set the Injured side tile on the Dashboard). Wk = rehab week, stamped automatically from the date.</t>
  </si>
  <si>
    <t xml:space="preserve">Full extension — no lag on SLR</t>
  </si>
  <si>
    <t xml:space="preserve">Y</t>
  </si>
  <si>
    <t xml:space="preserve">Effusion ≤ trace (stroke test)</t>
  </si>
  <si>
    <t xml:space="preserve">Knee flexion ≥ 120° on injured side</t>
  </si>
  <si>
    <t xml:space="preserve">Knee Flexion (°)</t>
  </si>
  <si>
    <t xml:space="preserve">Injured</t>
  </si>
  <si>
    <t xml:space="preserve">Quadriceps ≥ 70% LSI</t>
  </si>
  <si>
    <t xml:space="preserve">Normalised gait</t>
  </si>
  <si>
    <t xml:space="preserve">Quadriceps ≥ 80% LSI</t>
  </si>
  <si>
    <t xml:space="preserve">Hamstrings ≥ 80% LSI</t>
  </si>
  <si>
    <t xml:space="preserve">Hamstrings Iso / NordBord (N)</t>
  </si>
  <si>
    <t xml:space="preserve">Quadriceps ≥ 90% LSI</t>
  </si>
  <si>
    <t xml:space="preserve">ACL-RSI / psychological readiness</t>
  </si>
  <si>
    <t xml:space="preserve">Knee Extension (° hyperext = +)</t>
  </si>
  <si>
    <t xml:space="preserve">Ankle DF Knee-to-Wall (cm)</t>
  </si>
  <si>
    <t xml:space="preserve">Thigh Circumference 10 cm (cm)</t>
  </si>
  <si>
    <t xml:space="preserve">Strength — HHD / force frame / NordBord  —  L / R values as labelled</t>
  </si>
  <si>
    <t xml:space="preserve">Calf Iso (N)</t>
  </si>
  <si>
    <t xml:space="preserve">Iso Hip Abduction (N)</t>
  </si>
  <si>
    <t xml:space="preserve">Ankle &amp; Foot — Rehabilitation Testing</t>
  </si>
  <si>
    <t xml:space="preserve">Ankle &amp; foot tracker (lateral ligament, syndesmosis, Achilles, foot). LSI = injured ÷ uninjured side (set the Injured side tile on the Dashboard). Wk = rehab week, stamped automatically from the date.</t>
  </si>
  <si>
    <t xml:space="preserve">Pain &amp; swelling controlled; full weight-bearing</t>
  </si>
  <si>
    <t xml:space="preserve">Knee-to-wall ≥ 50% of other side</t>
  </si>
  <si>
    <t xml:space="preserve">Knee-to-wall ≥ 85% of other side</t>
  </si>
  <si>
    <t xml:space="preserve">SL heel raise ≥ 15 reps on injured side</t>
  </si>
  <si>
    <t xml:space="preserve">SL Heel Raise (reps)</t>
  </si>
  <si>
    <t xml:space="preserve">Plantarflexion strength ≥ 80% LSI</t>
  </si>
  <si>
    <t xml:space="preserve">Iso Plantarflexion (N)</t>
  </si>
  <si>
    <t xml:space="preserve">SL balance eyes closed ≥ 30 s</t>
  </si>
  <si>
    <t xml:space="preserve">Lateral capacity ≥ 90% LSI</t>
  </si>
  <si>
    <t xml:space="preserve">SL drop jump RSI ≥ 90% LSI</t>
  </si>
  <si>
    <t xml:space="preserve">Ankle Plantarflexion (°)</t>
  </si>
  <si>
    <t xml:space="preserve">Inversion (°)</t>
  </si>
  <si>
    <t xml:space="preserve">Eversion (°)</t>
  </si>
  <si>
    <t xml:space="preserve">Strength — HHD / force frame / endurance  —  L / R values as labelled</t>
  </si>
  <si>
    <t xml:space="preserve">Iso Inversion (N)</t>
  </si>
  <si>
    <t xml:space="preserve">Iso Eversion (N)</t>
  </si>
  <si>
    <t xml:space="preserve">Shoulder — Rehabilitation Testing</t>
  </si>
  <si>
    <t xml:space="preserve">Shoulder tracker (instability, AC joint, rotator cuff, goalkeepers). LSI = injured ÷ uninjured side (set the Injured side tile on the Dashboard). Bilateral tests: enter the score in L. Wk = rehab week.</t>
  </si>
  <si>
    <t xml:space="preserve">Pain controlled; protected ROM per protocol</t>
  </si>
  <si>
    <t xml:space="preserve">Scapular control restored</t>
  </si>
  <si>
    <t xml:space="preserve">ER @ 90° ROM ≥ 90% of other side</t>
  </si>
  <si>
    <t xml:space="preserve">ER @ 90° abd (°)</t>
  </si>
  <si>
    <t xml:space="preserve">Iso ER ≥ 70% LSI</t>
  </si>
  <si>
    <t xml:space="preserve">Iso ER (N)</t>
  </si>
  <si>
    <t xml:space="preserve">Iso IR ≥ 70% LSI</t>
  </si>
  <si>
    <t xml:space="preserve">Iso IR (N)</t>
  </si>
  <si>
    <t xml:space="preserve">Iso ER ≥ 80% LSI</t>
  </si>
  <si>
    <t xml:space="preserve">ASH I-position ≥ 80% LSI</t>
  </si>
  <si>
    <t xml:space="preserve">ASH Test — I position (N)</t>
  </si>
  <si>
    <t xml:space="preserve">Closed-chain loading tolerated</t>
  </si>
  <si>
    <t xml:space="preserve">Iso ER ≥ 90% LSI</t>
  </si>
  <si>
    <t xml:space="preserve">ASH Y-position ≥ 90% LSI</t>
  </si>
  <si>
    <t xml:space="preserve">ASH Test — Y position (N)</t>
  </si>
  <si>
    <t xml:space="preserve">Contact / landing drills completed</t>
  </si>
  <si>
    <t xml:space="preserve">Full training incl. contact</t>
  </si>
  <si>
    <t xml:space="preserve">Shoulder Flexion (°)</t>
  </si>
  <si>
    <t xml:space="preserve">IR @ 90° abd (°)</t>
  </si>
  <si>
    <t xml:space="preserve">Abduction (°)</t>
  </si>
  <si>
    <t xml:space="preserve">Strength — HHD / force plate  —  L / R values as labelled</t>
  </si>
  <si>
    <t xml:space="preserve">GPS — Pitch Load &amp; Return-to-Sport Metrics</t>
  </si>
  <si>
    <t xml:space="preserve">Log every pitch session in the Session Log (bottom). Week # auto-fills from the injury/surgery date on the Dashboard. Weekly totals, % baseline, charts, the Dashboard and any GPS-based exit criteria update automatically. Speeds in m/s (km/h ÷ 3.6).</t>
  </si>
  <si>
    <t xml:space="preserve">Return-to-Sport GPS Criteria</t>
  </si>
  <si>
    <t xml:space="preserve">Outcome measure</t>
  </si>
  <si>
    <t xml:space="preserve">Goal</t>
  </si>
  <si>
    <t xml:space="preserve">Achieved? (Y/N)</t>
  </si>
  <si>
    <t xml:space="preserve">Best week vs baseline (auto)</t>
  </si>
  <si>
    <t xml:space="preserve">Date met</t>
  </si>
  <si>
    <t xml:space="preserve">Total Distance — % of baseline</t>
  </si>
  <si>
    <t xml:space="preserve">≥ 100% baseline</t>
  </si>
  <si>
    <t xml:space="preserve">HSR (m) — % of baseline</t>
  </si>
  <si>
    <t xml:space="preserve">Sprint Distance (m) — % of baseline</t>
  </si>
  <si>
    <t xml:space="preserve">≥ 95% baseline</t>
  </si>
  <si>
    <t xml:space="preserve">Accelerations — % of baseline</t>
  </si>
  <si>
    <t xml:space="preserve">Decelerations — % of baseline</t>
  </si>
  <si>
    <t xml:space="preserve">Top Speed (m/s) — % of baseline</t>
  </si>
  <si>
    <t xml:space="preserve">Ready for Return to Sport (GPS)?</t>
  </si>
  <si>
    <t xml:space="preserve">Pre-Injury Baseline (typical weekly load — the target the Dashboard compares against)</t>
  </si>
  <si>
    <t xml:space="preserve">Date range / source</t>
  </si>
  <si>
    <t xml:space="preserve">e.g. 4-wk pre-injury avg</t>
  </si>
  <si>
    <t xml:space="preserve">EXAMPLE values — replace with the player's own baseline</t>
  </si>
  <si>
    <t xml:space="preserve">Weekly charts (lines stop at the latest logged week; a week with no sessions plots as 0).</t>
  </si>
  <si>
    <t xml:space="preserve">Weekly Totals — auto-calculated from the Session Log (52 weeks)</t>
  </si>
  <si>
    <t xml:space="preserve">Week #</t>
  </si>
  <si>
    <t xml:space="preserve"># Sessions</t>
  </si>
  <si>
    <t xml:space="preserve">% Baseline TD</t>
  </si>
  <si>
    <t xml:space="preserve">% Baseline HSR</t>
  </si>
  <si>
    <t xml:space="preserve">% Baseline SD</t>
  </si>
  <si>
    <t xml:space="preserve">Session Log — one row per pitch session (300 rows)</t>
  </si>
  <si>
    <t xml:space="preserve">Week # (auto)</t>
  </si>
  <si>
    <t xml:space="preserve">Session type</t>
  </si>
  <si>
    <t xml:space="preserve">Training</t>
  </si>
  <si>
    <t xml:space="preserve">Rehab</t>
  </si>
  <si>
    <t xml:space="preserve">Dropdown sources. You can reword items, but keep the order — the Dashboard reads Pitch-based by its first word.</t>
  </si>
  <si>
    <t xml:space="preserve">Y / N</t>
  </si>
  <si>
    <t xml:space="preserve">Phase (generic)</t>
  </si>
  <si>
    <t xml:space="preserve">GPS criteria labels</t>
  </si>
  <si>
    <t xml:space="preserve">Tick</t>
  </si>
  <si>
    <t xml:space="preserve">Hip</t>
  </si>
  <si>
    <t xml:space="preserve">Hamstring</t>
  </si>
  <si>
    <t xml:space="preserve">N</t>
  </si>
  <si>
    <t xml:space="preserve">Modified / partial training</t>
  </si>
  <si>
    <t xml:space="preserve">Match</t>
  </si>
  <si>
    <t xml:space="preserve">Full training — not available for fixtures</t>
  </si>
  <si>
    <t xml:space="preserve">Ankle-Foot</t>
  </si>
  <si>
    <t xml:space="preserve">Individual</t>
  </si>
  <si>
    <t xml:space="preserve">Available for selection</t>
  </si>
  <si>
    <t xml:space="preserve">Full training — cleared</t>
  </si>
  <si>
    <t xml:space="preserve">Shoulder</t>
  </si>
  <si>
    <t xml:space="preserve">Other</t>
  </si>
  <si>
    <t xml:space="preserve">Dashboard helper (auto) — stacks the ticked regions, the status headline, exposure chips, history and blockers. Nothing to edit here.</t>
  </si>
  <si>
    <t xml:space="preserve">Ticked</t>
  </si>
  <si>
    <t xml:space="preserve">Tests in use</t>
  </si>
  <si>
    <t xml:space="preserve">List rows</t>
  </si>
  <si>
    <t xml:space="preserve">Start row</t>
  </si>
  <si>
    <t xml:space="preserve">Tick rank</t>
  </si>
  <si>
    <t xml:space="preserve">Chart region</t>
  </si>
  <si>
    <t xml:space="preserve">Total list rows</t>
  </si>
  <si>
    <t xml:space="preserve">Latest entry (row)</t>
  </si>
  <si>
    <t xml:space="preserve">Headline focus</t>
  </si>
  <si>
    <t xml:space="preserve">Base focus</t>
  </si>
  <si>
    <t xml:space="preserve">Base since</t>
  </si>
  <si>
    <t xml:space="preserve">Base since wk</t>
  </si>
  <si>
    <t xml:space="preserve">Latest GPS week</t>
  </si>
  <si>
    <t xml:space="preserve">Chip</t>
  </si>
  <si>
    <t xml:space="preserve">Active</t>
  </si>
  <si>
    <t xml:space="preserve">This week</t>
  </si>
  <si>
    <t xml:space="preserve">Since</t>
  </si>
  <si>
    <t xml:space="preserve">Running volume</t>
  </si>
  <si>
    <t xml:space="preserve">Position</t>
  </si>
  <si>
    <t xml:space="preserve">k</t>
  </si>
  <si>
    <t xml:space="preserve">Row</t>
  </si>
  <si>
    <t xml:space="preserve">Date · wk</t>
  </si>
  <si>
    <t xml:space="preserve">Headline</t>
  </si>
  <si>
    <t xml:space="preserve">Region idx</t>
  </si>
  <si>
    <t xml:space="preserve">Offset</t>
  </si>
  <si>
    <t xml:space="preserve">Header?</t>
  </si>
  <si>
    <t xml:space="preserve">→ Block</t>
  </si>
  <si>
    <t xml:space="preserve">→ Test</t>
  </si>
  <si>
    <t xml:space="preserve">→ L</t>
  </si>
  <si>
    <t xml:space="preserve">→ R</t>
  </si>
  <si>
    <t xml:space="preserve">→ LSI</t>
  </si>
  <si>
    <t xml:space="preserve">→ Δ</t>
  </si>
  <si>
    <t xml:space="preserve">→ Date</t>
  </si>
  <si>
    <t xml:space="preserve">Chart feed (auto) — mirrors the selected region for the Dashboard charts, by rehab week. #N/A is deliberate: it is how Excel leaves a gap in a chart instead of plotting an empty cell as zero. Nothing to edit here.</t>
  </si>
  <si>
    <t xml:space="preserve">ROM — LSI by rehab week (selected region)</t>
  </si>
  <si>
    <t xml:space="preserve">Rehab wk</t>
  </si>
  <si>
    <t xml:space="preserve">Strength — LSI by rehab week (selected region)</t>
  </si>
  <si>
    <t xml:space="preserve">Jump / Power — LSI by rehab week (selected region)</t>
  </si>
  <si>
    <t xml:space="preserve">GPS — weekly totals up to the latest logged week</t>
  </si>
  <si>
    <t xml:space="preserve">Latest logged wk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</si>
</sst>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/mm/yyyy"/>
    <numFmt numFmtId="166" formatCode="General"/>
    <numFmt numFmtId="167" formatCode="dd/mm/yy"/>
    <numFmt numFmtId="168" formatCode="0.0"/>
    <numFmt numFmtId="169" formatCode="\+0.0;\-0.0;0.0"/>
    <numFmt numFmtId="170" formatCode="0"/>
    <numFmt numFmtId="171" formatCode=";;;"/>
    <numFmt numFmtId="172" formatCode="0%"/>
    <numFmt numFmtId="173" formatCode="#,##0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9"/>
      <color rgb="FFFFCD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8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4"/>
      <color rgb="FF1D428A"/>
      <name val="Arial"/>
      <family val="0"/>
      <charset val="1"/>
    </font>
    <font>
      <b val="true"/>
      <sz val="10"/>
      <color rgb="FF1D428A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1"/>
      <color rgb="FF1D428A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sz val="8"/>
      <color rgb="FF595959"/>
      <name val="Arial"/>
      <family val="0"/>
      <charset val="1"/>
    </font>
    <font>
      <b val="true"/>
      <sz val="8"/>
      <color rgb="FF1D428A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9"/>
      <color rgb="FF1D428A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1D428A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D428A"/>
        <bgColor rgb="FF003366"/>
      </patternFill>
    </fill>
    <fill>
      <patternFill patternType="solid">
        <fgColor rgb="FFFFCD00"/>
        <bgColor rgb="FFFFFF00"/>
      </patternFill>
    </fill>
    <fill>
      <patternFill patternType="solid">
        <fgColor rgb="FFFFF8DC"/>
        <bgColor rgb="FFFFFFFF"/>
      </patternFill>
    </fill>
    <fill>
      <patternFill patternType="solid">
        <fgColor rgb="FFEEF2FA"/>
        <bgColor rgb="FFEDEDED"/>
      </patternFill>
    </fill>
    <fill>
      <patternFill patternType="solid">
        <fgColor rgb="FFEDEDED"/>
        <bgColor rgb="FFEEF2FA"/>
      </patternFill>
    </fill>
    <fill>
      <patternFill patternType="solid">
        <fgColor rgb="FFDCE4F5"/>
        <bgColor rgb="FFEDEDED"/>
      </patternFill>
    </fill>
    <fill>
      <patternFill patternType="solid">
        <fgColor rgb="FF2F5DAD"/>
        <bgColor rgb="FF1D428A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medium">
        <color rgb="FFFFCD00"/>
      </bottom>
      <diagonal/>
    </border>
    <border diagonalUp="false" diagonalDown="false">
      <left/>
      <right/>
      <top style="medium">
        <color rgb="FFFFCD00"/>
      </top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2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1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3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2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ont>
        <name val="Arial"/>
        <charset val="1"/>
        <family val="0"/>
        <b val="1"/>
        <color rgb="FF9C0006"/>
        <sz val="12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  <sz val="12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  <sz val="12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1D428A"/>
        </patternFill>
      </fill>
    </dxf>
    <dxf>
      <font>
        <name val="Arial"/>
        <charset val="1"/>
        <family val="0"/>
        <b val="1"/>
        <color rgb="FF1D428A"/>
      </font>
      <fill>
        <patternFill>
          <bgColor rgb="FFDCE4F5"/>
        </patternFill>
      </fill>
    </dxf>
    <dxf/>
    <dxf>
      <border diagonalUp="false" diagonalDown="false">
        <left/>
        <right/>
        <top/>
        <bottom style="thin">
          <color rgb="FFD9D9D9"/>
        </bottom>
        <diagonal/>
      </border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</font>
    </dxf>
    <dxf>
      <font>
        <name val="Arial"/>
        <charset val="1"/>
        <family val="0"/>
        <b val="1"/>
        <color rgb="FF9C0006"/>
      </font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ill>
        <patternFill>
          <bgColor rgb="FFDCE4F5"/>
        </patternFill>
      </fill>
    </dxf>
    <dxf>
      <font>
        <name val="Arial"/>
        <charset val="1"/>
        <family val="0"/>
        <color rgb="FFC8C8C8"/>
        <sz val="9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B98A00"/>
      <rgbColor rgb="FF800080"/>
      <rgbColor rgb="FF2A9DB8"/>
      <rgbColor rgb="FFBFBFBF"/>
      <rgbColor rgb="FF878787"/>
      <rgbColor rgb="FF9999FF"/>
      <rgbColor rgb="FFA0522D"/>
      <rgbColor rgb="FFFFF8DC"/>
      <rgbColor rgb="FFEEF2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4F5"/>
      <rgbColor rgb="FFC6EFCE"/>
      <rgbColor rgb="FFFFEB9C"/>
      <rgbColor rgb="FFC8C8C8"/>
      <rgbColor rgb="FFEDEDED"/>
      <rgbColor rgb="FFCC99FF"/>
      <rgbColor rgb="FFFFC7CE"/>
      <rgbColor rgb="FF2F5DAD"/>
      <rgbColor rgb="FF33CCCC"/>
      <rgbColor rgb="FF99CC00"/>
      <rgbColor rgb="FFFFCD00"/>
      <rgbColor rgb="FFFF9900"/>
      <rgbColor rgb="FFD9731A"/>
      <rgbColor rgb="FF8A5BB8"/>
      <rgbColor rgb="FFA6A6A6"/>
      <rgbColor rgb="FF003366"/>
      <rgbColor rgb="FF228B6B"/>
      <rgbColor rgb="FF003300"/>
      <rgbColor rgb="FF333300"/>
      <rgbColor rgb="FF9C5700"/>
      <rgbColor rgb="FFC8453F"/>
      <rgbColor rgb="FF1D428A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total distance (m)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'Chart Feed'!$B$49</c:f>
              <c:strCache>
                <c:ptCount val="1"/>
                <c:pt idx="0">
                  <c:v>TD (m)</c:v>
                </c:pt>
              </c:strCache>
            </c:strRef>
          </c:tx>
          <c:spPr>
            <a:solidFill>
              <a:srgbClr val="2f5dad"/>
            </a:solidFill>
            <a:ln w="21960">
              <a:solidFill>
                <a:srgbClr val="2f5dad"/>
              </a:solidFill>
              <a:round/>
            </a:ln>
          </c:spPr>
          <c:marker>
            <c:symbol val="circle"/>
            <c:size val="6"/>
            <c:spPr>
              <a:solidFill>
                <a:srgbClr val="2f5da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Feed'!$A$50:$A$101</c:f>
              <c:strCach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strCache>
            </c:strRef>
          </c:cat>
          <c:val>
            <c:numRef>
              <c:f>'Chart Feed'!$B$50:$B$101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10470</c:v>
                </c:pt>
                <c:pt idx="10">
                  <c:v>3900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6344598"/>
        <c:axId val="11669870"/>
      </c:lineChart>
      <c:catAx>
        <c:axId val="563445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Rehab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669870"/>
        <c:crosses val="autoZero"/>
        <c:auto val="1"/>
        <c:lblAlgn val="ctr"/>
        <c:lblOffset val="100"/>
        <c:noMultiLvlLbl val="0"/>
      </c:catAx>
      <c:valAx>
        <c:axId val="116698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metres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3445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ROM — LSI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'Chart Feed'!$B$4</c:f>
              <c:strCache>
                <c:ptCount val="1"/>
                <c:pt idx="0">
                  <c:v>Knee Flexion (°)</c:v>
                </c:pt>
              </c:strCache>
            </c:strRef>
          </c:tx>
          <c:spPr>
            <a:solidFill>
              <a:srgbClr val="2f5dad"/>
            </a:solidFill>
            <a:ln w="21960">
              <a:solidFill>
                <a:srgbClr val="2f5dad"/>
              </a:solidFill>
              <a:round/>
            </a:ln>
          </c:spPr>
          <c:marker>
            <c:symbol val="circle"/>
            <c:size val="6"/>
            <c:spPr>
              <a:solidFill>
                <a:srgbClr val="2f5da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'Chart Feed'!$A$5:$A$16</c:f>
              <c:numCache>
                <c:formatCode>General</c:formatCode>
                <c:ptCount val="12"/>
                <c:pt idx="0">
                  <c:v>3</c:v>
                </c:pt>
                <c:pt idx="1">
                  <c:v>7</c:v>
                </c:pt>
              </c:numCache>
            </c:numRef>
          </c:xVal>
          <c:yVal>
            <c:numRef>
              <c:f>'Chart Feed'!$B$5:$B$16</c:f>
              <c:numCache>
                <c:formatCode>0%</c:formatCode>
                <c:ptCount val="12"/>
                <c:pt idx="0">
                  <c:v>0.842857142857143</c:v>
                </c:pt>
                <c:pt idx="1">
                  <c:v>0.957446808510638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'Chart Feed'!$C$4</c:f>
              <c:strCache>
                <c:ptCount val="1"/>
                <c:pt idx="0">
                  <c:v>Knee Extension (° hyperext = +)</c:v>
                </c:pt>
              </c:strCache>
            </c:strRef>
          </c:tx>
          <c:spPr>
            <a:solidFill>
              <a:srgbClr val="b98a00"/>
            </a:solidFill>
            <a:ln w="21960">
              <a:solidFill>
                <a:srgbClr val="b98a00"/>
              </a:solidFill>
              <a:round/>
            </a:ln>
          </c:spPr>
          <c:marker>
            <c:symbol val="triangle"/>
            <c:size val="6"/>
            <c:spPr>
              <a:solidFill>
                <a:srgbClr val="b98a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'Chart Feed'!$A$5:$A$16</c:f>
              <c:numCache>
                <c:formatCode>General</c:formatCode>
                <c:ptCount val="12"/>
                <c:pt idx="0">
                  <c:v>3</c:v>
                </c:pt>
                <c:pt idx="1">
                  <c:v>7</c:v>
                </c:pt>
              </c:numCache>
            </c:numRef>
          </c:xVal>
          <c:yVal>
            <c:numRef>
              <c:f>'Chart Feed'!$C$5:$C$16</c:f>
              <c:numCache>
                <c:formatCode>0%</c:formatCode>
                <c:ptCount val="12"/>
                <c:pt idx="0">
                  <c:v>0.666666666666667</c:v>
                </c:pt>
                <c:pt idx="1">
                  <c:v>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'Chart Feed'!$D$4</c:f>
              <c:strCache>
                <c:ptCount val="1"/>
                <c:pt idx="0">
                  <c:v>Ankle DF Knee-to-Wall (cm)</c:v>
                </c:pt>
              </c:strCache>
            </c:strRef>
          </c:tx>
          <c:spPr>
            <a:solidFill>
              <a:srgbClr val="c8453f"/>
            </a:solidFill>
            <a:ln w="21960">
              <a:solidFill>
                <a:srgbClr val="c8453f"/>
              </a:solidFill>
              <a:round/>
            </a:ln>
          </c:spPr>
          <c:marker>
            <c:symbol val="square"/>
            <c:size val="6"/>
            <c:spPr>
              <a:solidFill>
                <a:srgbClr val="c8453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'Chart Feed'!$A$5:$A$16</c:f>
              <c:numCache>
                <c:formatCode>General</c:formatCode>
                <c:ptCount val="12"/>
                <c:pt idx="0">
                  <c:v>3</c:v>
                </c:pt>
                <c:pt idx="1">
                  <c:v>7</c:v>
                </c:pt>
              </c:numCache>
            </c:numRef>
          </c:xVal>
          <c:yVal>
            <c:numRef>
              <c:f>'Chart Feed'!$D$5:$D$16</c:f>
              <c:numCache>
                <c:formatCode>0%</c:formatCode>
                <c:ptCount val="12"/>
                <c:pt idx="0">
                  <c:v>0.791666666666667</c:v>
                </c:pt>
                <c:pt idx="1">
                  <c:v>0.916666666666667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'Chart Feed'!$E$4</c:f>
              <c:strCache>
                <c:ptCount val="1"/>
                <c:pt idx="0">
                  <c:v>Thigh Circumference 10 cm (cm)</c:v>
                </c:pt>
              </c:strCache>
            </c:strRef>
          </c:tx>
          <c:spPr>
            <a:solidFill>
              <a:srgbClr val="228b6b"/>
            </a:solidFill>
            <a:ln w="21960">
              <a:solidFill>
                <a:srgbClr val="228b6b"/>
              </a:solidFill>
              <a:round/>
            </a:ln>
          </c:spPr>
          <c:marker>
            <c:symbol val="diamond"/>
            <c:size val="6"/>
            <c:spPr>
              <a:solidFill>
                <a:srgbClr val="228b6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'Chart Feed'!$A$5:$A$16</c:f>
              <c:numCache>
                <c:formatCode>General</c:formatCode>
                <c:ptCount val="12"/>
                <c:pt idx="0">
                  <c:v>3</c:v>
                </c:pt>
                <c:pt idx="1">
                  <c:v>7</c:v>
                </c:pt>
              </c:numCache>
            </c:numRef>
          </c:xVal>
          <c:yVal>
            <c:numRef>
              <c:f>'Chart Feed'!$E$5:$E$16</c:f>
              <c:numCache>
                <c:formatCode>0%</c:formatCode>
                <c:ptCount val="12"/>
                <c:pt idx="0">
                  <c:v>0.946808510638298</c:v>
                </c:pt>
                <c:pt idx="1">
                  <c:v>0.968085106382979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'Chart Feed'!$F$4</c:f>
              <c:strCache>
                <c:ptCount val="1"/>
                <c:pt idx="0">
                  <c:v> </c:v>
                </c:pt>
              </c:strCache>
            </c:strRef>
          </c:tx>
          <c:spPr>
            <a:solidFill>
              <a:srgbClr val="8a5bb8"/>
            </a:solidFill>
            <a:ln w="21960">
              <a:solidFill>
                <a:srgbClr val="8a5bb8"/>
              </a:solidFill>
              <a:round/>
            </a:ln>
          </c:spPr>
          <c:marker>
            <c:symbol val="x"/>
            <c:size val="6"/>
            <c:spPr>
              <a:solidFill>
                <a:srgbClr val="8a5bb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'Chart Feed'!$A$5:$A$16</c:f>
              <c:numCache>
                <c:formatCode>General</c:formatCode>
                <c:ptCount val="12"/>
                <c:pt idx="0">
                  <c:v>3</c:v>
                </c:pt>
                <c:pt idx="1">
                  <c:v>7</c:v>
                </c:pt>
              </c:numCache>
            </c:numRef>
          </c:xVal>
          <c:yVal>
            <c:numRef>
              <c:f>'Chart Feed'!$F$5:$F$16</c:f>
              <c:numCache>
                <c:formatCode>0%</c:formatCode>
                <c:ptCount val="12"/>
              </c:numCache>
            </c:numRef>
          </c:yVal>
          <c:smooth val="0"/>
        </c:ser>
        <c:ser>
          <c:idx val="5"/>
          <c:order val="5"/>
          <c:tx>
            <c:strRef>
              <c:f>'Chart Feed'!$G$4</c:f>
              <c:strCache>
                <c:ptCount val="1"/>
                <c:pt idx="0">
                  <c:v> </c:v>
                </c:pt>
              </c:strCache>
            </c:strRef>
          </c:tx>
          <c:spPr>
            <a:solidFill>
              <a:srgbClr val="d9731a"/>
            </a:solidFill>
            <a:ln w="21960">
              <a:solidFill>
                <a:srgbClr val="d9731a"/>
              </a:solidFill>
              <a:round/>
            </a:ln>
          </c:spPr>
          <c:marker>
            <c:symbol val="square"/>
            <c:size val="6"/>
            <c:spPr>
              <a:solidFill>
                <a:srgbClr val="d9731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'Chart Feed'!$A$5:$A$16</c:f>
              <c:numCache>
                <c:formatCode>General</c:formatCode>
                <c:ptCount val="12"/>
                <c:pt idx="0">
                  <c:v>3</c:v>
                </c:pt>
                <c:pt idx="1">
                  <c:v>7</c:v>
                </c:pt>
              </c:numCache>
            </c:numRef>
          </c:xVal>
          <c:yVal>
            <c:numRef>
              <c:f>'Chart Feed'!$G$5:$G$16</c:f>
              <c:numCache>
                <c:formatCode>0%</c:formatCode>
                <c:ptCount val="12"/>
              </c:numCache>
            </c:numRef>
          </c:yVal>
          <c:smooth val="0"/>
        </c:ser>
        <c:ser>
          <c:idx val="6"/>
          <c:order val="6"/>
          <c:tx>
            <c:strRef>
              <c:f>'Chart Feed'!$H$4</c:f>
              <c:strCache>
                <c:ptCount val="1"/>
                <c:pt idx="0">
                  <c:v> </c:v>
                </c:pt>
              </c:strCache>
            </c:strRef>
          </c:tx>
          <c:spPr>
            <a:solidFill>
              <a:srgbClr val="2a9db8"/>
            </a:solidFill>
            <a:ln w="21960">
              <a:solidFill>
                <a:srgbClr val="2a9db8"/>
              </a:solidFill>
              <a:round/>
            </a:ln>
          </c:spPr>
          <c:marker>
            <c:symbol val="plus"/>
            <c:size val="6"/>
            <c:spPr>
              <a:solidFill>
                <a:srgbClr val="2a9db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'Chart Feed'!$A$5:$A$16</c:f>
              <c:numCache>
                <c:formatCode>General</c:formatCode>
                <c:ptCount val="12"/>
                <c:pt idx="0">
                  <c:v>3</c:v>
                </c:pt>
                <c:pt idx="1">
                  <c:v>7</c:v>
                </c:pt>
              </c:numCache>
            </c:numRef>
          </c:xVal>
          <c:yVal>
            <c:numRef>
              <c:f>'Chart Feed'!$H$5:$H$16</c:f>
              <c:numCache>
                <c:formatCode>0%</c:formatCode>
                <c:ptCount val="12"/>
              </c:numCache>
            </c:numRef>
          </c:yVal>
          <c:smooth val="0"/>
        </c:ser>
        <c:ser>
          <c:idx val="7"/>
          <c:order val="7"/>
          <c:tx>
            <c:strRef>
              <c:f>'Chart Feed'!$I$4</c:f>
              <c:strCache>
                <c:ptCount val="1"/>
                <c:pt idx="0">
                  <c:v> </c:v>
                </c:pt>
              </c:strCache>
            </c:strRef>
          </c:tx>
          <c:spPr>
            <a:solidFill>
              <a:srgbClr val="a0522d"/>
            </a:solidFill>
            <a:ln w="21960">
              <a:solidFill>
                <a:srgbClr val="a0522d"/>
              </a:solidFill>
              <a:round/>
            </a:ln>
          </c:spPr>
          <c:marker>
            <c:symbol val="dash"/>
            <c:size val="6"/>
            <c:spPr>
              <a:solidFill>
                <a:srgbClr val="a0522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'Chart Feed'!$A$5:$A$16</c:f>
              <c:numCache>
                <c:formatCode>General</c:formatCode>
                <c:ptCount val="12"/>
                <c:pt idx="0">
                  <c:v>3</c:v>
                </c:pt>
                <c:pt idx="1">
                  <c:v>7</c:v>
                </c:pt>
              </c:numCache>
            </c:numRef>
          </c:xVal>
          <c:yVal>
            <c:numRef>
              <c:f>'Chart Feed'!$I$5:$I$16</c:f>
              <c:numCache>
                <c:formatCode>0%</c:formatCode>
                <c:ptCount val="12"/>
              </c:numCache>
            </c:numRef>
          </c:yVal>
          <c:smooth val="0"/>
        </c:ser>
        <c:axId val="26420782"/>
        <c:axId val="56971381"/>
      </c:scatterChart>
      <c:valAx>
        <c:axId val="26420782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Rehab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971381"/>
        <c:crosses val="autoZero"/>
        <c:crossBetween val="midCat"/>
      </c:valAx>
      <c:valAx>
        <c:axId val="56971381"/>
        <c:scaling>
          <c:orientation val="minMax"/>
          <c:min val="0.4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LSI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42078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Strength — LSI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'Chart Feed'!$B$19</c:f>
              <c:strCache>
                <c:ptCount val="1"/>
                <c:pt idx="0">
                  <c:v>Quadriceps Iso (N)</c:v>
                </c:pt>
              </c:strCache>
            </c:strRef>
          </c:tx>
          <c:spPr>
            <a:solidFill>
              <a:srgbClr val="2f5dad"/>
            </a:solidFill>
            <a:ln w="21960">
              <a:solidFill>
                <a:srgbClr val="2f5dad"/>
              </a:solidFill>
              <a:round/>
            </a:ln>
          </c:spPr>
          <c:marker>
            <c:symbol val="circle"/>
            <c:size val="6"/>
            <c:spPr>
              <a:solidFill>
                <a:srgbClr val="2f5da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'Chart Feed'!$A$20:$A$31</c:f>
              <c:numCache>
                <c:formatCode>General</c:formatCode>
                <c:ptCount val="12"/>
                <c:pt idx="0">
                  <c:v>5</c:v>
                </c:pt>
                <c:pt idx="1">
                  <c:v>10</c:v>
                </c:pt>
              </c:numCache>
            </c:numRef>
          </c:xVal>
          <c:yVal>
            <c:numRef>
              <c:f>'Chart Feed'!$B$20:$B$31</c:f>
              <c:numCache>
                <c:formatCode>0%</c:formatCode>
                <c:ptCount val="12"/>
                <c:pt idx="0">
                  <c:v>0.65</c:v>
                </c:pt>
                <c:pt idx="1">
                  <c:v>0.806122448979592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'Chart Feed'!$C$19</c:f>
              <c:strCache>
                <c:ptCount val="1"/>
                <c:pt idx="0">
                  <c:v>Hamstrings Iso / NordBord (N)</c:v>
                </c:pt>
              </c:strCache>
            </c:strRef>
          </c:tx>
          <c:spPr>
            <a:solidFill>
              <a:srgbClr val="b98a00"/>
            </a:solidFill>
            <a:ln w="21960">
              <a:solidFill>
                <a:srgbClr val="b98a00"/>
              </a:solidFill>
              <a:round/>
            </a:ln>
          </c:spPr>
          <c:marker>
            <c:symbol val="triangle"/>
            <c:size val="6"/>
            <c:spPr>
              <a:solidFill>
                <a:srgbClr val="b98a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'Chart Feed'!$A$20:$A$31</c:f>
              <c:numCache>
                <c:formatCode>General</c:formatCode>
                <c:ptCount val="12"/>
                <c:pt idx="0">
                  <c:v>5</c:v>
                </c:pt>
                <c:pt idx="1">
                  <c:v>10</c:v>
                </c:pt>
              </c:numCache>
            </c:numRef>
          </c:xVal>
          <c:yVal>
            <c:numRef>
              <c:f>'Chart Feed'!$C$20:$C$31</c:f>
              <c:numCache>
                <c:formatCode>0%</c:formatCode>
                <c:ptCount val="12"/>
                <c:pt idx="0">
                  <c:v>0.85</c:v>
                </c:pt>
                <c:pt idx="1">
                  <c:v>0.921311475409836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'Chart Feed'!$D$19</c:f>
              <c:strCache>
                <c:ptCount val="1"/>
                <c:pt idx="0">
                  <c:v>Calf Iso (N)</c:v>
                </c:pt>
              </c:strCache>
            </c:strRef>
          </c:tx>
          <c:spPr>
            <a:solidFill>
              <a:srgbClr val="c8453f"/>
            </a:solidFill>
            <a:ln w="21960">
              <a:solidFill>
                <a:srgbClr val="c8453f"/>
              </a:solidFill>
              <a:round/>
            </a:ln>
          </c:spPr>
          <c:marker>
            <c:symbol val="square"/>
            <c:size val="6"/>
            <c:spPr>
              <a:solidFill>
                <a:srgbClr val="c8453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'Chart Feed'!$A$20:$A$31</c:f>
              <c:numCache>
                <c:formatCode>General</c:formatCode>
                <c:ptCount val="12"/>
                <c:pt idx="0">
                  <c:v>5</c:v>
                </c:pt>
                <c:pt idx="1">
                  <c:v>10</c:v>
                </c:pt>
              </c:numCache>
            </c:numRef>
          </c:xVal>
          <c:yVal>
            <c:numRef>
              <c:f>'Chart Feed'!$D$20:$D$31</c:f>
              <c:numCache>
                <c:formatCode>0%</c:formatCode>
                <c:ptCount val="12"/>
                <c:pt idx="0">
                  <c:v>0.806666666666667</c:v>
                </c:pt>
                <c:pt idx="1">
                  <c:v>0.907894736842105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'Chart Feed'!$E$19</c:f>
              <c:strCache>
                <c:ptCount val="1"/>
                <c:pt idx="0">
                  <c:v>Iso Hip Abduction (N)</c:v>
                </c:pt>
              </c:strCache>
            </c:strRef>
          </c:tx>
          <c:spPr>
            <a:solidFill>
              <a:srgbClr val="228b6b"/>
            </a:solidFill>
            <a:ln w="21960">
              <a:solidFill>
                <a:srgbClr val="228b6b"/>
              </a:solidFill>
              <a:round/>
            </a:ln>
          </c:spPr>
          <c:marker>
            <c:symbol val="diamond"/>
            <c:size val="6"/>
            <c:spPr>
              <a:solidFill>
                <a:srgbClr val="228b6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'Chart Feed'!$A$20:$A$31</c:f>
              <c:numCache>
                <c:formatCode>General</c:formatCode>
                <c:ptCount val="12"/>
                <c:pt idx="0">
                  <c:v>5</c:v>
                </c:pt>
                <c:pt idx="1">
                  <c:v>10</c:v>
                </c:pt>
              </c:numCache>
            </c:numRef>
          </c:xVal>
          <c:yVal>
            <c:numRef>
              <c:f>'Chart Feed'!$E$20:$E$31</c:f>
              <c:numCache>
                <c:formatCode>0%</c:formatCode>
                <c:ptCount val="12"/>
                <c:pt idx="0">
                  <c:v>0.928571428571429</c:v>
                </c:pt>
                <c:pt idx="1">
                  <c:v>0.954385964912281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'Chart Feed'!$F$19</c:f>
              <c:strCache>
                <c:ptCount val="1"/>
                <c:pt idx="0">
                  <c:v> </c:v>
                </c:pt>
              </c:strCache>
            </c:strRef>
          </c:tx>
          <c:spPr>
            <a:solidFill>
              <a:srgbClr val="8a5bb8"/>
            </a:solidFill>
            <a:ln w="21960">
              <a:solidFill>
                <a:srgbClr val="8a5bb8"/>
              </a:solidFill>
              <a:round/>
            </a:ln>
          </c:spPr>
          <c:marker>
            <c:symbol val="x"/>
            <c:size val="6"/>
            <c:spPr>
              <a:solidFill>
                <a:srgbClr val="8a5bb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'Chart Feed'!$A$20:$A$31</c:f>
              <c:numCache>
                <c:formatCode>General</c:formatCode>
                <c:ptCount val="12"/>
                <c:pt idx="0">
                  <c:v>5</c:v>
                </c:pt>
                <c:pt idx="1">
                  <c:v>10</c:v>
                </c:pt>
              </c:numCache>
            </c:numRef>
          </c:xVal>
          <c:yVal>
            <c:numRef>
              <c:f>'Chart Feed'!$F$20:$F$31</c:f>
              <c:numCache>
                <c:formatCode>0%</c:formatCode>
                <c:ptCount val="12"/>
              </c:numCache>
            </c:numRef>
          </c:yVal>
          <c:smooth val="0"/>
        </c:ser>
        <c:ser>
          <c:idx val="5"/>
          <c:order val="5"/>
          <c:tx>
            <c:strRef>
              <c:f>'Chart Feed'!$G$19</c:f>
              <c:strCache>
                <c:ptCount val="1"/>
                <c:pt idx="0">
                  <c:v> </c:v>
                </c:pt>
              </c:strCache>
            </c:strRef>
          </c:tx>
          <c:spPr>
            <a:solidFill>
              <a:srgbClr val="d9731a"/>
            </a:solidFill>
            <a:ln w="21960">
              <a:solidFill>
                <a:srgbClr val="d9731a"/>
              </a:solidFill>
              <a:round/>
            </a:ln>
          </c:spPr>
          <c:marker>
            <c:symbol val="square"/>
            <c:size val="6"/>
            <c:spPr>
              <a:solidFill>
                <a:srgbClr val="d9731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'Chart Feed'!$A$20:$A$31</c:f>
              <c:numCache>
                <c:formatCode>General</c:formatCode>
                <c:ptCount val="12"/>
                <c:pt idx="0">
                  <c:v>5</c:v>
                </c:pt>
                <c:pt idx="1">
                  <c:v>10</c:v>
                </c:pt>
              </c:numCache>
            </c:numRef>
          </c:xVal>
          <c:yVal>
            <c:numRef>
              <c:f>'Chart Feed'!$G$20:$G$31</c:f>
              <c:numCache>
                <c:formatCode>0%</c:formatCode>
                <c:ptCount val="12"/>
              </c:numCache>
            </c:numRef>
          </c:yVal>
          <c:smooth val="0"/>
        </c:ser>
        <c:ser>
          <c:idx val="6"/>
          <c:order val="6"/>
          <c:tx>
            <c:strRef>
              <c:f>'Chart Feed'!$H$19</c:f>
              <c:strCache>
                <c:ptCount val="1"/>
                <c:pt idx="0">
                  <c:v> </c:v>
                </c:pt>
              </c:strCache>
            </c:strRef>
          </c:tx>
          <c:spPr>
            <a:solidFill>
              <a:srgbClr val="2a9db8"/>
            </a:solidFill>
            <a:ln w="21960">
              <a:solidFill>
                <a:srgbClr val="2a9db8"/>
              </a:solidFill>
              <a:round/>
            </a:ln>
          </c:spPr>
          <c:marker>
            <c:symbol val="plus"/>
            <c:size val="6"/>
            <c:spPr>
              <a:solidFill>
                <a:srgbClr val="2a9db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'Chart Feed'!$A$20:$A$31</c:f>
              <c:numCache>
                <c:formatCode>General</c:formatCode>
                <c:ptCount val="12"/>
                <c:pt idx="0">
                  <c:v>5</c:v>
                </c:pt>
                <c:pt idx="1">
                  <c:v>10</c:v>
                </c:pt>
              </c:numCache>
            </c:numRef>
          </c:xVal>
          <c:yVal>
            <c:numRef>
              <c:f>'Chart Feed'!$H$20:$H$31</c:f>
              <c:numCache>
                <c:formatCode>0%</c:formatCode>
                <c:ptCount val="12"/>
              </c:numCache>
            </c:numRef>
          </c:yVal>
          <c:smooth val="0"/>
        </c:ser>
        <c:ser>
          <c:idx val="7"/>
          <c:order val="7"/>
          <c:tx>
            <c:strRef>
              <c:f>'Chart Feed'!$I$19</c:f>
              <c:strCache>
                <c:ptCount val="1"/>
                <c:pt idx="0">
                  <c:v> </c:v>
                </c:pt>
              </c:strCache>
            </c:strRef>
          </c:tx>
          <c:spPr>
            <a:solidFill>
              <a:srgbClr val="a0522d"/>
            </a:solidFill>
            <a:ln w="21960">
              <a:solidFill>
                <a:srgbClr val="a0522d"/>
              </a:solidFill>
              <a:round/>
            </a:ln>
          </c:spPr>
          <c:marker>
            <c:symbol val="dash"/>
            <c:size val="6"/>
            <c:spPr>
              <a:solidFill>
                <a:srgbClr val="a0522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'Chart Feed'!$A$20:$A$31</c:f>
              <c:numCache>
                <c:formatCode>General</c:formatCode>
                <c:ptCount val="12"/>
                <c:pt idx="0">
                  <c:v>5</c:v>
                </c:pt>
                <c:pt idx="1">
                  <c:v>10</c:v>
                </c:pt>
              </c:numCache>
            </c:numRef>
          </c:xVal>
          <c:yVal>
            <c:numRef>
              <c:f>'Chart Feed'!$I$20:$I$31</c:f>
              <c:numCache>
                <c:formatCode>0%</c:formatCode>
                <c:ptCount val="12"/>
              </c:numCache>
            </c:numRef>
          </c:yVal>
          <c:smooth val="0"/>
        </c:ser>
        <c:axId val="67160557"/>
        <c:axId val="28335188"/>
      </c:scatterChart>
      <c:valAx>
        <c:axId val="67160557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Rehab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335188"/>
        <c:crosses val="autoZero"/>
        <c:crossBetween val="midCat"/>
      </c:valAx>
      <c:valAx>
        <c:axId val="28335188"/>
        <c:scaling>
          <c:orientation val="minMax"/>
          <c:min val="0.4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LSI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16055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Jump / Power — LSI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'Chart Feed'!$B$34</c:f>
              <c:strCache>
                <c:ptCount val="1"/>
                <c:pt idx="0">
                  <c:v> </c:v>
                </c:pt>
              </c:strCache>
            </c:strRef>
          </c:tx>
          <c:spPr>
            <a:solidFill>
              <a:srgbClr val="2f5dad"/>
            </a:solidFill>
            <a:ln w="21960">
              <a:solidFill>
                <a:srgbClr val="2f5dad"/>
              </a:solidFill>
              <a:round/>
            </a:ln>
          </c:spPr>
          <c:marker>
            <c:symbol val="circle"/>
            <c:size val="6"/>
            <c:spPr>
              <a:solidFill>
                <a:srgbClr val="2f5da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'Chart Feed'!$A$35:$A$46</c:f>
              <c:numCache>
                <c:formatCode>General</c:formatCode>
                <c:ptCount val="12"/>
                <c:pt idx="0">
                  <c:v>10</c:v>
                </c:pt>
              </c:numCache>
            </c:numRef>
          </c:xVal>
          <c:yVal>
            <c:numRef>
              <c:f>'Chart Feed'!$B$35:$B$46</c:f>
              <c:numCache>
                <c:formatCode>0%</c:formatCode>
                <c:ptCount val="12"/>
              </c:numCache>
            </c:numRef>
          </c:yVal>
          <c:smooth val="0"/>
        </c:ser>
        <c:ser>
          <c:idx val="1"/>
          <c:order val="1"/>
          <c:tx>
            <c:strRef>
              <c:f>'Chart Feed'!$C$34</c:f>
              <c:strCache>
                <c:ptCount val="1"/>
                <c:pt idx="0">
                  <c:v>SL CMJ Height (cm)</c:v>
                </c:pt>
              </c:strCache>
            </c:strRef>
          </c:tx>
          <c:spPr>
            <a:solidFill>
              <a:srgbClr val="b98a00"/>
            </a:solidFill>
            <a:ln w="21960">
              <a:solidFill>
                <a:srgbClr val="b98a00"/>
              </a:solidFill>
              <a:round/>
            </a:ln>
          </c:spPr>
          <c:marker>
            <c:symbol val="triangle"/>
            <c:size val="6"/>
            <c:spPr>
              <a:solidFill>
                <a:srgbClr val="b98a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'Chart Feed'!$A$35:$A$46</c:f>
              <c:numCache>
                <c:formatCode>General</c:formatCode>
                <c:ptCount val="12"/>
                <c:pt idx="0">
                  <c:v>10</c:v>
                </c:pt>
              </c:numCache>
            </c:numRef>
          </c:xVal>
          <c:yVal>
            <c:numRef>
              <c:f>'Chart Feed'!$C$35:$C$46</c:f>
              <c:numCache>
                <c:formatCode>0%</c:formatCode>
                <c:ptCount val="12"/>
                <c:pt idx="0">
                  <c:v>0.747368421052632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'Chart Feed'!$D$34</c:f>
              <c:strCache>
                <c:ptCount val="1"/>
                <c:pt idx="0">
                  <c:v>SL Hop Distance (cm)</c:v>
                </c:pt>
              </c:strCache>
            </c:strRef>
          </c:tx>
          <c:spPr>
            <a:solidFill>
              <a:srgbClr val="c8453f"/>
            </a:solidFill>
            <a:ln w="21960">
              <a:solidFill>
                <a:srgbClr val="c8453f"/>
              </a:solidFill>
              <a:round/>
            </a:ln>
          </c:spPr>
          <c:marker>
            <c:symbol val="square"/>
            <c:size val="6"/>
            <c:spPr>
              <a:solidFill>
                <a:srgbClr val="c8453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'Chart Feed'!$A$35:$A$46</c:f>
              <c:numCache>
                <c:formatCode>General</c:formatCode>
                <c:ptCount val="12"/>
                <c:pt idx="0">
                  <c:v>10</c:v>
                </c:pt>
              </c:numCache>
            </c:numRef>
          </c:xVal>
          <c:yVal>
            <c:numRef>
              <c:f>'Chart Feed'!$D$35:$D$46</c:f>
              <c:numCache>
                <c:formatCode>0%</c:formatCode>
                <c:ptCount val="12"/>
                <c:pt idx="0">
                  <c:v>0.8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'Chart Feed'!$E$34</c:f>
              <c:strCache>
                <c:ptCount val="1"/>
                <c:pt idx="0">
                  <c:v>Triple Hop Distance (cm)</c:v>
                </c:pt>
              </c:strCache>
            </c:strRef>
          </c:tx>
          <c:spPr>
            <a:solidFill>
              <a:srgbClr val="228b6b"/>
            </a:solidFill>
            <a:ln w="21960">
              <a:solidFill>
                <a:srgbClr val="228b6b"/>
              </a:solidFill>
              <a:round/>
            </a:ln>
          </c:spPr>
          <c:marker>
            <c:symbol val="diamond"/>
            <c:size val="6"/>
            <c:spPr>
              <a:solidFill>
                <a:srgbClr val="228b6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'Chart Feed'!$A$35:$A$46</c:f>
              <c:numCache>
                <c:formatCode>General</c:formatCode>
                <c:ptCount val="12"/>
                <c:pt idx="0">
                  <c:v>10</c:v>
                </c:pt>
              </c:numCache>
            </c:numRef>
          </c:xVal>
          <c:yVal>
            <c:numRef>
              <c:f>'Chart Feed'!$E$35:$E$46</c:f>
              <c:numCache>
                <c:formatCode>0%</c:formatCode>
                <c:ptCount val="12"/>
              </c:numCache>
            </c:numRef>
          </c:yVal>
          <c:smooth val="0"/>
        </c:ser>
        <c:ser>
          <c:idx val="4"/>
          <c:order val="4"/>
          <c:tx>
            <c:strRef>
              <c:f>'Chart Feed'!$F$34</c:f>
              <c:strCache>
                <c:ptCount val="1"/>
                <c:pt idx="0">
                  <c:v>Lateral Capacity</c:v>
                </c:pt>
              </c:strCache>
            </c:strRef>
          </c:tx>
          <c:spPr>
            <a:solidFill>
              <a:srgbClr val="8a5bb8"/>
            </a:solidFill>
            <a:ln w="21960">
              <a:solidFill>
                <a:srgbClr val="8a5bb8"/>
              </a:solidFill>
              <a:round/>
            </a:ln>
          </c:spPr>
          <c:marker>
            <c:symbol val="x"/>
            <c:size val="6"/>
            <c:spPr>
              <a:solidFill>
                <a:srgbClr val="8a5bb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'Chart Feed'!$A$35:$A$46</c:f>
              <c:numCache>
                <c:formatCode>General</c:formatCode>
                <c:ptCount val="12"/>
                <c:pt idx="0">
                  <c:v>10</c:v>
                </c:pt>
              </c:numCache>
            </c:numRef>
          </c:xVal>
          <c:yVal>
            <c:numRef>
              <c:f>'Chart Feed'!$F$35:$F$46</c:f>
              <c:numCache>
                <c:formatCode>0%</c:formatCode>
                <c:ptCount val="12"/>
              </c:numCache>
            </c:numRef>
          </c:yVal>
          <c:smooth val="0"/>
        </c:ser>
        <c:ser>
          <c:idx val="5"/>
          <c:order val="5"/>
          <c:tx>
            <c:strRef>
              <c:f>'Chart Feed'!$G$34</c:f>
              <c:strCache>
                <c:ptCount val="1"/>
                <c:pt idx="0">
                  <c:v> </c:v>
                </c:pt>
              </c:strCache>
            </c:strRef>
          </c:tx>
          <c:spPr>
            <a:solidFill>
              <a:srgbClr val="d9731a"/>
            </a:solidFill>
            <a:ln w="21960">
              <a:solidFill>
                <a:srgbClr val="d9731a"/>
              </a:solidFill>
              <a:round/>
            </a:ln>
          </c:spPr>
          <c:marker>
            <c:symbol val="square"/>
            <c:size val="6"/>
            <c:spPr>
              <a:solidFill>
                <a:srgbClr val="d9731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'Chart Feed'!$A$35:$A$46</c:f>
              <c:numCache>
                <c:formatCode>General</c:formatCode>
                <c:ptCount val="12"/>
                <c:pt idx="0">
                  <c:v>10</c:v>
                </c:pt>
              </c:numCache>
            </c:numRef>
          </c:xVal>
          <c:yVal>
            <c:numRef>
              <c:f>'Chart Feed'!$G$35:$G$46</c:f>
              <c:numCache>
                <c:formatCode>0%</c:formatCode>
                <c:ptCount val="12"/>
              </c:numCache>
            </c:numRef>
          </c:yVal>
          <c:smooth val="0"/>
        </c:ser>
        <c:ser>
          <c:idx val="6"/>
          <c:order val="6"/>
          <c:tx>
            <c:strRef>
              <c:f>'Chart Feed'!$H$34</c:f>
              <c:strCache>
                <c:ptCount val="1"/>
                <c:pt idx="0">
                  <c:v>SL Drop Jump RSI</c:v>
                </c:pt>
              </c:strCache>
            </c:strRef>
          </c:tx>
          <c:spPr>
            <a:solidFill>
              <a:srgbClr val="2a9db8"/>
            </a:solidFill>
            <a:ln w="21960">
              <a:solidFill>
                <a:srgbClr val="2a9db8"/>
              </a:solidFill>
              <a:round/>
            </a:ln>
          </c:spPr>
          <c:marker>
            <c:symbol val="plus"/>
            <c:size val="6"/>
            <c:spPr>
              <a:solidFill>
                <a:srgbClr val="2a9db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'Chart Feed'!$A$35:$A$46</c:f>
              <c:numCache>
                <c:formatCode>General</c:formatCode>
                <c:ptCount val="12"/>
                <c:pt idx="0">
                  <c:v>10</c:v>
                </c:pt>
              </c:numCache>
            </c:numRef>
          </c:xVal>
          <c:yVal>
            <c:numRef>
              <c:f>'Chart Feed'!$H$35:$H$46</c:f>
              <c:numCache>
                <c:formatCode>0%</c:formatCode>
                <c:ptCount val="12"/>
              </c:numCache>
            </c:numRef>
          </c:yVal>
          <c:smooth val="0"/>
        </c:ser>
        <c:ser>
          <c:idx val="7"/>
          <c:order val="7"/>
          <c:tx>
            <c:strRef>
              <c:f>'Chart Feed'!$I$34</c:f>
              <c:strCache>
                <c:ptCount val="1"/>
                <c:pt idx="0">
                  <c:v> </c:v>
                </c:pt>
              </c:strCache>
            </c:strRef>
          </c:tx>
          <c:spPr>
            <a:solidFill>
              <a:srgbClr val="a0522d"/>
            </a:solidFill>
            <a:ln w="21960">
              <a:solidFill>
                <a:srgbClr val="a0522d"/>
              </a:solidFill>
              <a:round/>
            </a:ln>
          </c:spPr>
          <c:marker>
            <c:symbol val="dash"/>
            <c:size val="6"/>
            <c:spPr>
              <a:solidFill>
                <a:srgbClr val="a0522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'Chart Feed'!$A$35:$A$46</c:f>
              <c:numCache>
                <c:formatCode>General</c:formatCode>
                <c:ptCount val="12"/>
                <c:pt idx="0">
                  <c:v>10</c:v>
                </c:pt>
              </c:numCache>
            </c:numRef>
          </c:xVal>
          <c:yVal>
            <c:numRef>
              <c:f>'Chart Feed'!$I$35:$I$46</c:f>
              <c:numCache>
                <c:formatCode>0%</c:formatCode>
                <c:ptCount val="12"/>
              </c:numCache>
            </c:numRef>
          </c:yVal>
          <c:smooth val="0"/>
        </c:ser>
        <c:axId val="75288245"/>
        <c:axId val="31611771"/>
      </c:scatterChart>
      <c:valAx>
        <c:axId val="75288245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Rehab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611771"/>
        <c:crosses val="autoZero"/>
        <c:crossBetween val="midCat"/>
      </c:valAx>
      <c:valAx>
        <c:axId val="31611771"/>
        <c:scaling>
          <c:orientation val="minMax"/>
          <c:min val="0.4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LSI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28824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ROM: Hip Flexion (°) — L vs 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Hip!$C$35</c:f>
              <c:strCache>
                <c:ptCount val="1"/>
                <c:pt idx="0">
                  <c:v>L</c:v>
                </c:pt>
              </c:strCache>
            </c:strRef>
          </c:tx>
          <c:spPr>
            <a:solidFill>
              <a:srgbClr val="2f5dad"/>
            </a:solidFill>
            <a:ln w="21960">
              <a:solidFill>
                <a:srgbClr val="2f5dad"/>
              </a:solidFill>
              <a:round/>
            </a:ln>
          </c:spPr>
          <c:marker>
            <c:symbol val="circle"/>
            <c:size val="6"/>
            <c:spPr>
              <a:solidFill>
                <a:srgbClr val="2f5da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Hip!$B$36:$B$47</c:f>
              <c:numCache>
                <c:formatCode>General</c:formatCode>
                <c:ptCount val="12"/>
              </c:numCache>
            </c:numRef>
          </c:xVal>
          <c:yVal>
            <c:numRef>
              <c:f>Hip!$C$36:$C$47</c:f>
              <c:numCache>
                <c:formatCode>General</c:formatCode>
                <c:ptCount val="12"/>
              </c:numCache>
            </c:numRef>
          </c:yVal>
          <c:smooth val="0"/>
        </c:ser>
        <c:ser>
          <c:idx val="1"/>
          <c:order val="1"/>
          <c:tx>
            <c:strRef>
              <c:f>Hip!$D$35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rgbClr val="b98a00"/>
            </a:solidFill>
            <a:ln w="21960">
              <a:solidFill>
                <a:srgbClr val="b98a00"/>
              </a:solidFill>
              <a:round/>
            </a:ln>
          </c:spPr>
          <c:marker>
            <c:symbol val="triangle"/>
            <c:size val="6"/>
            <c:spPr>
              <a:solidFill>
                <a:srgbClr val="b98a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Hip!$B$36:$B$47</c:f>
              <c:numCache>
                <c:formatCode>General</c:formatCode>
                <c:ptCount val="12"/>
              </c:numCache>
            </c:numRef>
          </c:xVal>
          <c:yVal>
            <c:numRef>
              <c:f>Hip!$D$36:$D$47</c:f>
              <c:numCache>
                <c:formatCode>General</c:formatCode>
                <c:ptCount val="12"/>
              </c:numCache>
            </c:numRef>
          </c:yVal>
          <c:smooth val="0"/>
        </c:ser>
        <c:axId val="47866997"/>
        <c:axId val="57050476"/>
      </c:scatterChart>
      <c:valAx>
        <c:axId val="47866997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Rehab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050476"/>
        <c:crosses val="autoZero"/>
        <c:crossBetween val="midCat"/>
      </c:valAx>
      <c:valAx>
        <c:axId val="570504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Hip Flexion (°)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86699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Strength: Hip Flexion @ 90° (kg) — L vs 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Hip!$C$53</c:f>
              <c:strCache>
                <c:ptCount val="1"/>
                <c:pt idx="0">
                  <c:v>L</c:v>
                </c:pt>
              </c:strCache>
            </c:strRef>
          </c:tx>
          <c:spPr>
            <a:solidFill>
              <a:srgbClr val="2f5dad"/>
            </a:solidFill>
            <a:ln w="21960">
              <a:solidFill>
                <a:srgbClr val="2f5dad"/>
              </a:solidFill>
              <a:round/>
            </a:ln>
          </c:spPr>
          <c:marker>
            <c:symbol val="circle"/>
            <c:size val="6"/>
            <c:spPr>
              <a:solidFill>
                <a:srgbClr val="2f5da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Hip!$B$54:$B$65</c:f>
              <c:numCache>
                <c:formatCode>General</c:formatCode>
                <c:ptCount val="12"/>
                <c:pt idx="0">
                  <c:v>8</c:v>
                </c:pt>
                <c:pt idx="1">
                  <c:v>11</c:v>
                </c:pt>
              </c:numCache>
            </c:numRef>
          </c:xVal>
          <c:yVal>
            <c:numRef>
              <c:f>Hip!$C$54:$C$65</c:f>
              <c:numCache>
                <c:formatCode>General</c:formatCode>
                <c:ptCount val="12"/>
                <c:pt idx="0">
                  <c:v>20.1</c:v>
                </c:pt>
                <c:pt idx="1">
                  <c:v>22.6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Hip!$D$53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rgbClr val="b98a00"/>
            </a:solidFill>
            <a:ln w="21960">
              <a:solidFill>
                <a:srgbClr val="b98a00"/>
              </a:solidFill>
              <a:round/>
            </a:ln>
          </c:spPr>
          <c:marker>
            <c:symbol val="triangle"/>
            <c:size val="6"/>
            <c:spPr>
              <a:solidFill>
                <a:srgbClr val="b98a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Hip!$B$54:$B$65</c:f>
              <c:numCache>
                <c:formatCode>General</c:formatCode>
                <c:ptCount val="12"/>
                <c:pt idx="0">
                  <c:v>8</c:v>
                </c:pt>
                <c:pt idx="1">
                  <c:v>11</c:v>
                </c:pt>
              </c:numCache>
            </c:numRef>
          </c:xVal>
          <c:yVal>
            <c:numRef>
              <c:f>Hip!$D$54:$D$65</c:f>
              <c:numCache>
                <c:formatCode>General</c:formatCode>
                <c:ptCount val="12"/>
                <c:pt idx="0">
                  <c:v>24</c:v>
                </c:pt>
                <c:pt idx="1">
                  <c:v>24.3</c:v>
                </c:pt>
              </c:numCache>
            </c:numRef>
          </c:yVal>
          <c:smooth val="0"/>
        </c:ser>
        <c:axId val="41593909"/>
        <c:axId val="53775045"/>
      </c:scatterChart>
      <c:valAx>
        <c:axId val="41593909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Rehab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775045"/>
        <c:crosses val="autoZero"/>
        <c:crossBetween val="midCat"/>
      </c:valAx>
      <c:valAx>
        <c:axId val="537750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Hip Flexion @ 90° (kg)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59390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Jump / Power: DL CMJ Height (cm)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Hip!$C$71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2f5dad"/>
            </a:solidFill>
            <a:ln w="21960">
              <a:solidFill>
                <a:srgbClr val="2f5dad"/>
              </a:solidFill>
              <a:round/>
            </a:ln>
          </c:spPr>
          <c:marker>
            <c:symbol val="circle"/>
            <c:size val="6"/>
            <c:spPr>
              <a:solidFill>
                <a:srgbClr val="2f5da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Hip!$B$72:$B$83</c:f>
              <c:numCache>
                <c:formatCode>General</c:formatCode>
                <c:ptCount val="12"/>
              </c:numCache>
            </c:numRef>
          </c:xVal>
          <c:yVal>
            <c:numRef>
              <c:f>Hip!$C$72:$C$83</c:f>
              <c:numCache>
                <c:formatCode>General</c:formatCode>
                <c:ptCount val="12"/>
              </c:numCache>
            </c:numRef>
          </c:yVal>
          <c:smooth val="0"/>
        </c:ser>
        <c:axId val="86403216"/>
        <c:axId val="84900109"/>
      </c:scatterChart>
      <c:valAx>
        <c:axId val="86403216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Rehab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900109"/>
        <c:crosses val="autoZero"/>
        <c:crossBetween val="midCat"/>
      </c:valAx>
      <c:valAx>
        <c:axId val="849001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DL CMJ Height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40321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ROM: Active Knee Extension (°) — L vs 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Hamstring!$C$35</c:f>
              <c:strCache>
                <c:ptCount val="1"/>
                <c:pt idx="0">
                  <c:v>L</c:v>
                </c:pt>
              </c:strCache>
            </c:strRef>
          </c:tx>
          <c:spPr>
            <a:solidFill>
              <a:srgbClr val="2f5dad"/>
            </a:solidFill>
            <a:ln w="21960">
              <a:solidFill>
                <a:srgbClr val="2f5dad"/>
              </a:solidFill>
              <a:round/>
            </a:ln>
          </c:spPr>
          <c:marker>
            <c:symbol val="circle"/>
            <c:size val="6"/>
            <c:spPr>
              <a:solidFill>
                <a:srgbClr val="2f5da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Hamstring!$B$36:$B$47</c:f>
              <c:numCache>
                <c:formatCode>General</c:formatCode>
                <c:ptCount val="12"/>
              </c:numCache>
            </c:numRef>
          </c:xVal>
          <c:yVal>
            <c:numRef>
              <c:f>Hamstring!$C$36:$C$47</c:f>
              <c:numCache>
                <c:formatCode>General</c:formatCode>
                <c:ptCount val="12"/>
              </c:numCache>
            </c:numRef>
          </c:yVal>
          <c:smooth val="0"/>
        </c:ser>
        <c:ser>
          <c:idx val="1"/>
          <c:order val="1"/>
          <c:tx>
            <c:strRef>
              <c:f>Hamstring!$D$35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rgbClr val="b98a00"/>
            </a:solidFill>
            <a:ln w="21960">
              <a:solidFill>
                <a:srgbClr val="b98a00"/>
              </a:solidFill>
              <a:round/>
            </a:ln>
          </c:spPr>
          <c:marker>
            <c:symbol val="triangle"/>
            <c:size val="6"/>
            <c:spPr>
              <a:solidFill>
                <a:srgbClr val="b98a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Hamstring!$B$36:$B$47</c:f>
              <c:numCache>
                <c:formatCode>General</c:formatCode>
                <c:ptCount val="12"/>
              </c:numCache>
            </c:numRef>
          </c:xVal>
          <c:yVal>
            <c:numRef>
              <c:f>Hamstring!$D$36:$D$47</c:f>
              <c:numCache>
                <c:formatCode>General</c:formatCode>
                <c:ptCount val="12"/>
              </c:numCache>
            </c:numRef>
          </c:yVal>
          <c:smooth val="0"/>
        </c:ser>
        <c:axId val="88887157"/>
        <c:axId val="7616669"/>
      </c:scatterChart>
      <c:valAx>
        <c:axId val="88887157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Rehab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16669"/>
        <c:crosses val="autoZero"/>
        <c:crossBetween val="midCat"/>
      </c:valAx>
      <c:valAx>
        <c:axId val="76166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Active Knee Extension (°)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88715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Strength: NordBord Eccentric (N) — L vs 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Hamstring!$C$53</c:f>
              <c:strCache>
                <c:ptCount val="1"/>
                <c:pt idx="0">
                  <c:v>L</c:v>
                </c:pt>
              </c:strCache>
            </c:strRef>
          </c:tx>
          <c:spPr>
            <a:solidFill>
              <a:srgbClr val="2f5dad"/>
            </a:solidFill>
            <a:ln w="21960">
              <a:solidFill>
                <a:srgbClr val="2f5dad"/>
              </a:solidFill>
              <a:round/>
            </a:ln>
          </c:spPr>
          <c:marker>
            <c:symbol val="circle"/>
            <c:size val="6"/>
            <c:spPr>
              <a:solidFill>
                <a:srgbClr val="2f5da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Hamstring!$B$54:$B$65</c:f>
              <c:numCache>
                <c:formatCode>General</c:formatCode>
                <c:ptCount val="12"/>
              </c:numCache>
            </c:numRef>
          </c:xVal>
          <c:yVal>
            <c:numRef>
              <c:f>Hamstring!$C$54:$C$65</c:f>
              <c:numCache>
                <c:formatCode>General</c:formatCode>
                <c:ptCount val="12"/>
              </c:numCache>
            </c:numRef>
          </c:yVal>
          <c:smooth val="0"/>
        </c:ser>
        <c:ser>
          <c:idx val="1"/>
          <c:order val="1"/>
          <c:tx>
            <c:strRef>
              <c:f>Hamstring!$D$53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rgbClr val="b98a00"/>
            </a:solidFill>
            <a:ln w="21960">
              <a:solidFill>
                <a:srgbClr val="b98a00"/>
              </a:solidFill>
              <a:round/>
            </a:ln>
          </c:spPr>
          <c:marker>
            <c:symbol val="triangle"/>
            <c:size val="6"/>
            <c:spPr>
              <a:solidFill>
                <a:srgbClr val="b98a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Hamstring!$B$54:$B$65</c:f>
              <c:numCache>
                <c:formatCode>General</c:formatCode>
                <c:ptCount val="12"/>
              </c:numCache>
            </c:numRef>
          </c:xVal>
          <c:yVal>
            <c:numRef>
              <c:f>Hamstring!$D$54:$D$65</c:f>
              <c:numCache>
                <c:formatCode>General</c:formatCode>
                <c:ptCount val="12"/>
              </c:numCache>
            </c:numRef>
          </c:yVal>
          <c:smooth val="0"/>
        </c:ser>
        <c:axId val="7094398"/>
        <c:axId val="24152782"/>
      </c:scatterChart>
      <c:valAx>
        <c:axId val="7094398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Rehab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152782"/>
        <c:crosses val="autoZero"/>
        <c:crossBetween val="midCat"/>
      </c:valAx>
      <c:valAx>
        <c:axId val="241527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NordBord Eccentric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9439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Jump / Power: DL CMJ Height (cm)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Hamstring!$C$71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2f5dad"/>
            </a:solidFill>
            <a:ln w="21960">
              <a:solidFill>
                <a:srgbClr val="2f5dad"/>
              </a:solidFill>
              <a:round/>
            </a:ln>
          </c:spPr>
          <c:marker>
            <c:symbol val="circle"/>
            <c:size val="6"/>
            <c:spPr>
              <a:solidFill>
                <a:srgbClr val="2f5da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Hamstring!$B$72:$B$83</c:f>
              <c:numCache>
                <c:formatCode>General</c:formatCode>
                <c:ptCount val="12"/>
              </c:numCache>
            </c:numRef>
          </c:xVal>
          <c:yVal>
            <c:numRef>
              <c:f>Hamstring!$C$72:$C$83</c:f>
              <c:numCache>
                <c:formatCode>General</c:formatCode>
                <c:ptCount val="12"/>
              </c:numCache>
            </c:numRef>
          </c:yVal>
          <c:smooth val="0"/>
        </c:ser>
        <c:axId val="53148954"/>
        <c:axId val="15286074"/>
      </c:scatterChart>
      <c:valAx>
        <c:axId val="53148954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Rehab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286074"/>
        <c:crosses val="autoZero"/>
        <c:crossBetween val="midCat"/>
      </c:valAx>
      <c:valAx>
        <c:axId val="152860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DL CMJ Height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14895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ROM: Knee Flexion (°) — L vs 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Knee!$C$35</c:f>
              <c:strCache>
                <c:ptCount val="1"/>
                <c:pt idx="0">
                  <c:v>L</c:v>
                </c:pt>
              </c:strCache>
            </c:strRef>
          </c:tx>
          <c:spPr>
            <a:solidFill>
              <a:srgbClr val="2f5dad"/>
            </a:solidFill>
            <a:ln w="21960">
              <a:solidFill>
                <a:srgbClr val="2f5dad"/>
              </a:solidFill>
              <a:round/>
            </a:ln>
          </c:spPr>
          <c:marker>
            <c:symbol val="circle"/>
            <c:size val="6"/>
            <c:spPr>
              <a:solidFill>
                <a:srgbClr val="2f5da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Knee!$B$36:$B$47</c:f>
              <c:numCache>
                <c:formatCode>General</c:formatCode>
                <c:ptCount val="12"/>
                <c:pt idx="0">
                  <c:v>3</c:v>
                </c:pt>
                <c:pt idx="1">
                  <c:v>7</c:v>
                </c:pt>
              </c:numCache>
            </c:numRef>
          </c:xVal>
          <c:yVal>
            <c:numRef>
              <c:f>Knee!$C$36:$C$47</c:f>
              <c:numCache>
                <c:formatCode>General</c:formatCode>
                <c:ptCount val="12"/>
                <c:pt idx="0">
                  <c:v>118</c:v>
                </c:pt>
                <c:pt idx="1">
                  <c:v>135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Knee!$D$35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rgbClr val="b98a00"/>
            </a:solidFill>
            <a:ln w="21960">
              <a:solidFill>
                <a:srgbClr val="b98a00"/>
              </a:solidFill>
              <a:round/>
            </a:ln>
          </c:spPr>
          <c:marker>
            <c:symbol val="triangle"/>
            <c:size val="6"/>
            <c:spPr>
              <a:solidFill>
                <a:srgbClr val="b98a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Knee!$B$36:$B$47</c:f>
              <c:numCache>
                <c:formatCode>General</c:formatCode>
                <c:ptCount val="12"/>
                <c:pt idx="0">
                  <c:v>3</c:v>
                </c:pt>
                <c:pt idx="1">
                  <c:v>7</c:v>
                </c:pt>
              </c:numCache>
            </c:numRef>
          </c:xVal>
          <c:yVal>
            <c:numRef>
              <c:f>Knee!$D$36:$D$47</c:f>
              <c:numCache>
                <c:formatCode>General</c:formatCode>
                <c:ptCount val="12"/>
                <c:pt idx="0">
                  <c:v>140</c:v>
                </c:pt>
                <c:pt idx="1">
                  <c:v>141</c:v>
                </c:pt>
              </c:numCache>
            </c:numRef>
          </c:yVal>
          <c:smooth val="0"/>
        </c:ser>
        <c:axId val="2261593"/>
        <c:axId val="58266032"/>
      </c:scatterChart>
      <c:valAx>
        <c:axId val="2261593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Rehab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266032"/>
        <c:crosses val="autoZero"/>
        <c:crossBetween val="midCat"/>
      </c:valAx>
      <c:valAx>
        <c:axId val="582660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Knee Flexion (°)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6159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Strength: Quadriceps Iso (N) — L vs 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Knee!$C$53</c:f>
              <c:strCache>
                <c:ptCount val="1"/>
                <c:pt idx="0">
                  <c:v>L</c:v>
                </c:pt>
              </c:strCache>
            </c:strRef>
          </c:tx>
          <c:spPr>
            <a:solidFill>
              <a:srgbClr val="2f5dad"/>
            </a:solidFill>
            <a:ln w="21960">
              <a:solidFill>
                <a:srgbClr val="2f5dad"/>
              </a:solidFill>
              <a:round/>
            </a:ln>
          </c:spPr>
          <c:marker>
            <c:symbol val="circle"/>
            <c:size val="6"/>
            <c:spPr>
              <a:solidFill>
                <a:srgbClr val="2f5da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Knee!$B$54:$B$65</c:f>
              <c:numCache>
                <c:formatCode>General</c:formatCode>
                <c:ptCount val="12"/>
                <c:pt idx="0">
                  <c:v>5</c:v>
                </c:pt>
                <c:pt idx="1">
                  <c:v>10</c:v>
                </c:pt>
              </c:numCache>
            </c:numRef>
          </c:xVal>
          <c:yVal>
            <c:numRef>
              <c:f>Knee!$C$54:$C$65</c:f>
              <c:numCache>
                <c:formatCode>General</c:formatCode>
                <c:ptCount val="12"/>
                <c:pt idx="0">
                  <c:v>312</c:v>
                </c:pt>
                <c:pt idx="1">
                  <c:v>395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Knee!$D$53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rgbClr val="b98a00"/>
            </a:solidFill>
            <a:ln w="21960">
              <a:solidFill>
                <a:srgbClr val="b98a00"/>
              </a:solidFill>
              <a:round/>
            </a:ln>
          </c:spPr>
          <c:marker>
            <c:symbol val="triangle"/>
            <c:size val="6"/>
            <c:spPr>
              <a:solidFill>
                <a:srgbClr val="b98a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Knee!$B$54:$B$65</c:f>
              <c:numCache>
                <c:formatCode>General</c:formatCode>
                <c:ptCount val="12"/>
                <c:pt idx="0">
                  <c:v>5</c:v>
                </c:pt>
                <c:pt idx="1">
                  <c:v>10</c:v>
                </c:pt>
              </c:numCache>
            </c:numRef>
          </c:xVal>
          <c:yVal>
            <c:numRef>
              <c:f>Knee!$D$54:$D$65</c:f>
              <c:numCache>
                <c:formatCode>General</c:formatCode>
                <c:ptCount val="12"/>
                <c:pt idx="0">
                  <c:v>480</c:v>
                </c:pt>
                <c:pt idx="1">
                  <c:v>490</c:v>
                </c:pt>
              </c:numCache>
            </c:numRef>
          </c:yVal>
          <c:smooth val="0"/>
        </c:ser>
        <c:axId val="40039856"/>
        <c:axId val="43022490"/>
      </c:scatterChart>
      <c:valAx>
        <c:axId val="40039856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Rehab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022490"/>
        <c:crosses val="autoZero"/>
        <c:crossBetween val="midCat"/>
      </c:valAx>
      <c:valAx>
        <c:axId val="430224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Quadriceps Iso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039856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Jump / Power: DL CMJ Height (cm)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Knee!$C$71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2f5dad"/>
            </a:solidFill>
            <a:ln w="21960">
              <a:solidFill>
                <a:srgbClr val="2f5dad"/>
              </a:solidFill>
              <a:round/>
            </a:ln>
          </c:spPr>
          <c:marker>
            <c:symbol val="circle"/>
            <c:size val="6"/>
            <c:spPr>
              <a:solidFill>
                <a:srgbClr val="2f5da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Knee!$B$72:$B$83</c:f>
              <c:numCache>
                <c:formatCode>General</c:formatCode>
                <c:ptCount val="12"/>
                <c:pt idx="0">
                  <c:v>10</c:v>
                </c:pt>
              </c:numCache>
            </c:numRef>
          </c:xVal>
          <c:yVal>
            <c:numRef>
              <c:f>Knee!$C$72:$C$83</c:f>
              <c:numCache>
                <c:formatCode>General</c:formatCode>
                <c:ptCount val="12"/>
                <c:pt idx="0">
                  <c:v>27.5</c:v>
                </c:pt>
              </c:numCache>
            </c:numRef>
          </c:yVal>
          <c:smooth val="0"/>
        </c:ser>
        <c:axId val="79016643"/>
        <c:axId val="27904088"/>
      </c:scatterChart>
      <c:valAx>
        <c:axId val="79016643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Rehab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904088"/>
        <c:crosses val="autoZero"/>
        <c:crossBetween val="midCat"/>
      </c:valAx>
      <c:valAx>
        <c:axId val="279040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DL CMJ Height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01664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ROM: Ankle DF Knee-to-Wall (cm) — L vs 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'Ankle-Foot'!$C$35</c:f>
              <c:strCache>
                <c:ptCount val="1"/>
                <c:pt idx="0">
                  <c:v>L</c:v>
                </c:pt>
              </c:strCache>
            </c:strRef>
          </c:tx>
          <c:spPr>
            <a:solidFill>
              <a:srgbClr val="2f5dad"/>
            </a:solidFill>
            <a:ln w="21960">
              <a:solidFill>
                <a:srgbClr val="2f5dad"/>
              </a:solidFill>
              <a:round/>
            </a:ln>
          </c:spPr>
          <c:marker>
            <c:symbol val="circle"/>
            <c:size val="6"/>
            <c:spPr>
              <a:solidFill>
                <a:srgbClr val="2f5da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'Ankle-Foot'!$B$36:$B$47</c:f>
              <c:numCache>
                <c:formatCode>General</c:formatCode>
                <c:ptCount val="12"/>
              </c:numCache>
            </c:numRef>
          </c:xVal>
          <c:yVal>
            <c:numRef>
              <c:f>'Ankle-Foot'!$C$36:$C$47</c:f>
              <c:numCache>
                <c:formatCode>General</c:formatCode>
                <c:ptCount val="12"/>
              </c:numCache>
            </c:numRef>
          </c:yVal>
          <c:smooth val="0"/>
        </c:ser>
        <c:ser>
          <c:idx val="1"/>
          <c:order val="1"/>
          <c:tx>
            <c:strRef>
              <c:f>'Ankle-Foot'!$D$35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rgbClr val="b98a00"/>
            </a:solidFill>
            <a:ln w="21960">
              <a:solidFill>
                <a:srgbClr val="b98a00"/>
              </a:solidFill>
              <a:round/>
            </a:ln>
          </c:spPr>
          <c:marker>
            <c:symbol val="triangle"/>
            <c:size val="6"/>
            <c:spPr>
              <a:solidFill>
                <a:srgbClr val="b98a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'Ankle-Foot'!$B$36:$B$47</c:f>
              <c:numCache>
                <c:formatCode>General</c:formatCode>
                <c:ptCount val="12"/>
              </c:numCache>
            </c:numRef>
          </c:xVal>
          <c:yVal>
            <c:numRef>
              <c:f>'Ankle-Foot'!$D$36:$D$47</c:f>
              <c:numCache>
                <c:formatCode>General</c:formatCode>
                <c:ptCount val="12"/>
              </c:numCache>
            </c:numRef>
          </c:yVal>
          <c:smooth val="0"/>
        </c:ser>
        <c:axId val="48857629"/>
        <c:axId val="1858111"/>
      </c:scatterChart>
      <c:valAx>
        <c:axId val="48857629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Rehab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58111"/>
        <c:crosses val="autoZero"/>
        <c:crossBetween val="midCat"/>
      </c:valAx>
      <c:valAx>
        <c:axId val="18581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Ankle DF Knee-to-Wall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85762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Strength: SL Heel Raise (reps) — L vs 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'Ankle-Foot'!$C$53</c:f>
              <c:strCache>
                <c:ptCount val="1"/>
                <c:pt idx="0">
                  <c:v>L</c:v>
                </c:pt>
              </c:strCache>
            </c:strRef>
          </c:tx>
          <c:spPr>
            <a:solidFill>
              <a:srgbClr val="2f5dad"/>
            </a:solidFill>
            <a:ln w="21960">
              <a:solidFill>
                <a:srgbClr val="2f5dad"/>
              </a:solidFill>
              <a:round/>
            </a:ln>
          </c:spPr>
          <c:marker>
            <c:symbol val="circle"/>
            <c:size val="6"/>
            <c:spPr>
              <a:solidFill>
                <a:srgbClr val="2f5da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'Ankle-Foot'!$B$54:$B$65</c:f>
              <c:numCache>
                <c:formatCode>General</c:formatCode>
                <c:ptCount val="12"/>
              </c:numCache>
            </c:numRef>
          </c:xVal>
          <c:yVal>
            <c:numRef>
              <c:f>'Ankle-Foot'!$C$54:$C$65</c:f>
              <c:numCache>
                <c:formatCode>General</c:formatCode>
                <c:ptCount val="12"/>
              </c:numCache>
            </c:numRef>
          </c:yVal>
          <c:smooth val="0"/>
        </c:ser>
        <c:ser>
          <c:idx val="1"/>
          <c:order val="1"/>
          <c:tx>
            <c:strRef>
              <c:f>'Ankle-Foot'!$D$53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rgbClr val="b98a00"/>
            </a:solidFill>
            <a:ln w="21960">
              <a:solidFill>
                <a:srgbClr val="b98a00"/>
              </a:solidFill>
              <a:round/>
            </a:ln>
          </c:spPr>
          <c:marker>
            <c:symbol val="triangle"/>
            <c:size val="6"/>
            <c:spPr>
              <a:solidFill>
                <a:srgbClr val="b98a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'Ankle-Foot'!$B$54:$B$65</c:f>
              <c:numCache>
                <c:formatCode>General</c:formatCode>
                <c:ptCount val="12"/>
              </c:numCache>
            </c:numRef>
          </c:xVal>
          <c:yVal>
            <c:numRef>
              <c:f>'Ankle-Foot'!$D$54:$D$65</c:f>
              <c:numCache>
                <c:formatCode>General</c:formatCode>
                <c:ptCount val="12"/>
              </c:numCache>
            </c:numRef>
          </c:yVal>
          <c:smooth val="0"/>
        </c:ser>
        <c:axId val="62678270"/>
        <c:axId val="92445969"/>
      </c:scatterChart>
      <c:valAx>
        <c:axId val="62678270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Rehab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445969"/>
        <c:crosses val="autoZero"/>
        <c:crossBetween val="midCat"/>
      </c:valAx>
      <c:valAx>
        <c:axId val="924459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SL Heel Raise (reps)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67827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Jump / Power: DL CMJ Height (cm)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'Ankle-Foot'!$C$71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2f5dad"/>
            </a:solidFill>
            <a:ln w="21960">
              <a:solidFill>
                <a:srgbClr val="2f5dad"/>
              </a:solidFill>
              <a:round/>
            </a:ln>
          </c:spPr>
          <c:marker>
            <c:symbol val="circle"/>
            <c:size val="6"/>
            <c:spPr>
              <a:solidFill>
                <a:srgbClr val="2f5da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'Ankle-Foot'!$B$72:$B$83</c:f>
              <c:numCache>
                <c:formatCode>General</c:formatCode>
                <c:ptCount val="12"/>
              </c:numCache>
            </c:numRef>
          </c:xVal>
          <c:yVal>
            <c:numRef>
              <c:f>'Ankle-Foot'!$C$72:$C$83</c:f>
              <c:numCache>
                <c:formatCode>General</c:formatCode>
                <c:ptCount val="12"/>
              </c:numCache>
            </c:numRef>
          </c:yVal>
          <c:smooth val="0"/>
        </c:ser>
        <c:axId val="59344375"/>
        <c:axId val="76271732"/>
      </c:scatterChart>
      <c:valAx>
        <c:axId val="59344375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Rehab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271732"/>
        <c:crosses val="autoZero"/>
        <c:crossBetween val="midCat"/>
      </c:valAx>
      <c:valAx>
        <c:axId val="762717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DL CMJ Height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34437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ROM: Shoulder Flexion (°) — L vs 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Shoulder!$C$35</c:f>
              <c:strCache>
                <c:ptCount val="1"/>
                <c:pt idx="0">
                  <c:v>L</c:v>
                </c:pt>
              </c:strCache>
            </c:strRef>
          </c:tx>
          <c:spPr>
            <a:solidFill>
              <a:srgbClr val="2f5dad"/>
            </a:solidFill>
            <a:ln w="21960">
              <a:solidFill>
                <a:srgbClr val="2f5dad"/>
              </a:solidFill>
              <a:round/>
            </a:ln>
          </c:spPr>
          <c:marker>
            <c:symbol val="circle"/>
            <c:size val="6"/>
            <c:spPr>
              <a:solidFill>
                <a:srgbClr val="2f5da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Shoulder!$B$36:$B$47</c:f>
              <c:numCache>
                <c:formatCode>General</c:formatCode>
                <c:ptCount val="12"/>
              </c:numCache>
            </c:numRef>
          </c:xVal>
          <c:yVal>
            <c:numRef>
              <c:f>Shoulder!$C$36:$C$47</c:f>
              <c:numCache>
                <c:formatCode>General</c:formatCode>
                <c:ptCount val="12"/>
              </c:numCache>
            </c:numRef>
          </c:yVal>
          <c:smooth val="0"/>
        </c:ser>
        <c:ser>
          <c:idx val="1"/>
          <c:order val="1"/>
          <c:tx>
            <c:strRef>
              <c:f>Shoulder!$D$35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rgbClr val="b98a00"/>
            </a:solidFill>
            <a:ln w="21960">
              <a:solidFill>
                <a:srgbClr val="b98a00"/>
              </a:solidFill>
              <a:round/>
            </a:ln>
          </c:spPr>
          <c:marker>
            <c:symbol val="triangle"/>
            <c:size val="6"/>
            <c:spPr>
              <a:solidFill>
                <a:srgbClr val="b98a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Shoulder!$B$36:$B$47</c:f>
              <c:numCache>
                <c:formatCode>General</c:formatCode>
                <c:ptCount val="12"/>
              </c:numCache>
            </c:numRef>
          </c:xVal>
          <c:yVal>
            <c:numRef>
              <c:f>Shoulder!$D$36:$D$47</c:f>
              <c:numCache>
                <c:formatCode>General</c:formatCode>
                <c:ptCount val="12"/>
              </c:numCache>
            </c:numRef>
          </c:yVal>
          <c:smooth val="0"/>
        </c:ser>
        <c:axId val="64774339"/>
        <c:axId val="2753546"/>
      </c:scatterChart>
      <c:valAx>
        <c:axId val="64774339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Rehab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53546"/>
        <c:crosses val="autoZero"/>
        <c:crossBetween val="midCat"/>
      </c:valAx>
      <c:valAx>
        <c:axId val="27535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Shoulder Flexion (°)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77433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Strength: Iso ER (N) — L vs 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Shoulder!$C$53</c:f>
              <c:strCache>
                <c:ptCount val="1"/>
                <c:pt idx="0">
                  <c:v>L</c:v>
                </c:pt>
              </c:strCache>
            </c:strRef>
          </c:tx>
          <c:spPr>
            <a:solidFill>
              <a:srgbClr val="2f5dad"/>
            </a:solidFill>
            <a:ln w="21960">
              <a:solidFill>
                <a:srgbClr val="2f5dad"/>
              </a:solidFill>
              <a:round/>
            </a:ln>
          </c:spPr>
          <c:marker>
            <c:symbol val="circle"/>
            <c:size val="6"/>
            <c:spPr>
              <a:solidFill>
                <a:srgbClr val="2f5da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Shoulder!$B$54:$B$65</c:f>
              <c:numCache>
                <c:formatCode>General</c:formatCode>
                <c:ptCount val="12"/>
              </c:numCache>
            </c:numRef>
          </c:xVal>
          <c:yVal>
            <c:numRef>
              <c:f>Shoulder!$C$54:$C$65</c:f>
              <c:numCache>
                <c:formatCode>General</c:formatCode>
                <c:ptCount val="12"/>
              </c:numCache>
            </c:numRef>
          </c:yVal>
          <c:smooth val="0"/>
        </c:ser>
        <c:ser>
          <c:idx val="1"/>
          <c:order val="1"/>
          <c:tx>
            <c:strRef>
              <c:f>Shoulder!$D$53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rgbClr val="b98a00"/>
            </a:solidFill>
            <a:ln w="21960">
              <a:solidFill>
                <a:srgbClr val="b98a00"/>
              </a:solidFill>
              <a:round/>
            </a:ln>
          </c:spPr>
          <c:marker>
            <c:symbol val="triangle"/>
            <c:size val="6"/>
            <c:spPr>
              <a:solidFill>
                <a:srgbClr val="b98a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Shoulder!$B$54:$B$65</c:f>
              <c:numCache>
                <c:formatCode>General</c:formatCode>
                <c:ptCount val="12"/>
              </c:numCache>
            </c:numRef>
          </c:xVal>
          <c:yVal>
            <c:numRef>
              <c:f>Shoulder!$D$54:$D$65</c:f>
              <c:numCache>
                <c:formatCode>General</c:formatCode>
                <c:ptCount val="12"/>
              </c:numCache>
            </c:numRef>
          </c:yVal>
          <c:smooth val="0"/>
        </c:ser>
        <c:axId val="7330607"/>
        <c:axId val="70887312"/>
      </c:scatterChart>
      <c:valAx>
        <c:axId val="7330607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Rehab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887312"/>
        <c:crosses val="autoZero"/>
        <c:crossBetween val="midCat"/>
      </c:valAx>
      <c:valAx>
        <c:axId val="708873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Iso ER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3060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Jump / Power: DL CMJ Height (cm)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Shoulder!$C$71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2f5dad"/>
            </a:solidFill>
            <a:ln w="21960">
              <a:solidFill>
                <a:srgbClr val="2f5dad"/>
              </a:solidFill>
              <a:round/>
            </a:ln>
          </c:spPr>
          <c:marker>
            <c:symbol val="circle"/>
            <c:size val="6"/>
            <c:spPr>
              <a:solidFill>
                <a:srgbClr val="2f5da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Shoulder!$B$72:$B$83</c:f>
              <c:numCache>
                <c:formatCode>General</c:formatCode>
                <c:ptCount val="12"/>
              </c:numCache>
            </c:numRef>
          </c:xVal>
          <c:yVal>
            <c:numRef>
              <c:f>Shoulder!$C$72:$C$83</c:f>
              <c:numCache>
                <c:formatCode>General</c:formatCode>
                <c:ptCount val="12"/>
              </c:numCache>
            </c:numRef>
          </c:yVal>
          <c:smooth val="0"/>
        </c:ser>
        <c:axId val="61691482"/>
        <c:axId val="50500106"/>
      </c:scatterChart>
      <c:valAx>
        <c:axId val="61691482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Rehab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500106"/>
        <c:crosses val="autoZero"/>
        <c:crossBetween val="midCat"/>
      </c:valAx>
      <c:valAx>
        <c:axId val="505001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DL CMJ Height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69148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total distance (m)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'Chart Feed'!$B$49</c:f>
              <c:strCache>
                <c:ptCount val="1"/>
                <c:pt idx="0">
                  <c:v>TD (m)</c:v>
                </c:pt>
              </c:strCache>
            </c:strRef>
          </c:tx>
          <c:spPr>
            <a:solidFill>
              <a:srgbClr val="2f5dad"/>
            </a:solidFill>
            <a:ln w="21960">
              <a:solidFill>
                <a:srgbClr val="2f5dad"/>
              </a:solidFill>
              <a:round/>
            </a:ln>
          </c:spPr>
          <c:marker>
            <c:symbol val="circle"/>
            <c:size val="6"/>
            <c:spPr>
              <a:solidFill>
                <a:srgbClr val="2f5da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Feed'!$A$50:$A$101</c:f>
              <c:strCach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strCache>
            </c:strRef>
          </c:cat>
          <c:val>
            <c:numRef>
              <c:f>'Chart Feed'!$B$50:$B$101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10470</c:v>
                </c:pt>
                <c:pt idx="10">
                  <c:v>3900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2295082"/>
        <c:axId val="79444665"/>
      </c:lineChart>
      <c:catAx>
        <c:axId val="822950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Rehab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444665"/>
        <c:crosses val="autoZero"/>
        <c:auto val="1"/>
        <c:lblAlgn val="ctr"/>
        <c:lblOffset val="100"/>
        <c:noMultiLvlLbl val="0"/>
      </c:catAx>
      <c:valAx>
        <c:axId val="794446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metres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2950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HSR &amp; sprint distance (m)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'Chart Feed'!$C$49</c:f>
              <c:strCache>
                <c:ptCount val="1"/>
                <c:pt idx="0">
                  <c:v>HSR (m)</c:v>
                </c:pt>
              </c:strCache>
            </c:strRef>
          </c:tx>
          <c:spPr>
            <a:solidFill>
              <a:srgbClr val="2f5dad"/>
            </a:solidFill>
            <a:ln w="21960">
              <a:solidFill>
                <a:srgbClr val="2f5dad"/>
              </a:solidFill>
              <a:round/>
            </a:ln>
          </c:spPr>
          <c:marker>
            <c:symbol val="circle"/>
            <c:size val="6"/>
            <c:spPr>
              <a:solidFill>
                <a:srgbClr val="2f5da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Feed'!$A$50:$A$101</c:f>
              <c:strCach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strCache>
            </c:strRef>
          </c:cat>
          <c:val>
            <c:numRef>
              <c:f>'Chart Feed'!$C$50:$C$101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475</c:v>
                </c:pt>
                <c:pt idx="10">
                  <c:v>140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'Chart Feed'!$D$49</c:f>
              <c:strCache>
                <c:ptCount val="1"/>
                <c:pt idx="0">
                  <c:v>SD (m)</c:v>
                </c:pt>
              </c:strCache>
            </c:strRef>
          </c:tx>
          <c:spPr>
            <a:solidFill>
              <a:srgbClr val="b98a00"/>
            </a:solidFill>
            <a:ln w="21960">
              <a:solidFill>
                <a:srgbClr val="b98a00"/>
              </a:solidFill>
              <a:round/>
            </a:ln>
          </c:spPr>
          <c:marker>
            <c:symbol val="triangle"/>
            <c:size val="6"/>
            <c:spPr>
              <a:solidFill>
                <a:srgbClr val="b98a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Feed'!$A$50:$A$101</c:f>
              <c:strCach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strCache>
            </c:strRef>
          </c:cat>
          <c:val>
            <c:numRef>
              <c:f>'Chart Feed'!$D$50:$D$101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125</c:v>
                </c:pt>
                <c:pt idx="10">
                  <c:v>30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7401062"/>
        <c:axId val="3078907"/>
      </c:lineChart>
      <c:catAx>
        <c:axId val="974010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Rehab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78907"/>
        <c:crosses val="autoZero"/>
        <c:auto val="1"/>
        <c:lblAlgn val="ctr"/>
        <c:lblOffset val="100"/>
        <c:noMultiLvlLbl val="0"/>
      </c:catAx>
      <c:valAx>
        <c:axId val="30789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metres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40106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top speed (m/s)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'Chart Feed'!$F$49</c:f>
              <c:strCache>
                <c:ptCount val="1"/>
                <c:pt idx="0">
                  <c:v>Top Speed (m/s)</c:v>
                </c:pt>
              </c:strCache>
            </c:strRef>
          </c:tx>
          <c:spPr>
            <a:solidFill>
              <a:srgbClr val="2f5dad"/>
            </a:solidFill>
            <a:ln w="21960">
              <a:solidFill>
                <a:srgbClr val="2f5dad"/>
              </a:solidFill>
              <a:round/>
            </a:ln>
          </c:spPr>
          <c:marker>
            <c:symbol val="circle"/>
            <c:size val="6"/>
            <c:spPr>
              <a:solidFill>
                <a:srgbClr val="2f5da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Feed'!$A$50:$A$101</c:f>
              <c:strCach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strCache>
            </c:strRef>
          </c:cat>
          <c:val>
            <c:numRef>
              <c:f>'Chart Feed'!$F$50:$F$101</c:f>
              <c:numCache>
                <c:formatCode>0.0</c:formatCode>
                <c:ptCount val="52"/>
                <c:pt idx="9">
                  <c:v>7.9</c:v>
                </c:pt>
                <c:pt idx="10">
                  <c:v>7.1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8711042"/>
        <c:axId val="11653843"/>
      </c:lineChart>
      <c:catAx>
        <c:axId val="987110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Rehab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653843"/>
        <c:crosses val="autoZero"/>
        <c:auto val="1"/>
        <c:lblAlgn val="ctr"/>
        <c:lblOffset val="100"/>
        <c:noMultiLvlLbl val="0"/>
      </c:catAx>
      <c:valAx>
        <c:axId val="116538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m/s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7110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chart" Target="../charts/chart19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Relationship Id="rId3" Type="http://schemas.openxmlformats.org/officeDocument/2006/relationships/chart" Target="../charts/chart2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46</xdr:row>
      <xdr:rowOff>0</xdr:rowOff>
    </xdr:from>
    <xdr:to>
      <xdr:col>16</xdr:col>
      <xdr:colOff>383400</xdr:colOff>
      <xdr:row>58</xdr:row>
      <xdr:rowOff>17640</xdr:rowOff>
    </xdr:to>
    <xdr:graphicFrame>
      <xdr:nvGraphicFramePr>
        <xdr:cNvPr id="0" name="Chart 1"/>
        <xdr:cNvGraphicFramePr/>
      </xdr:nvGraphicFramePr>
      <xdr:xfrm>
        <a:off x="5920920" y="9801360"/>
        <a:ext cx="4823640" cy="230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63</xdr:row>
      <xdr:rowOff>0</xdr:rowOff>
    </xdr:from>
    <xdr:to>
      <xdr:col>16</xdr:col>
      <xdr:colOff>383400</xdr:colOff>
      <xdr:row>82</xdr:row>
      <xdr:rowOff>160200</xdr:rowOff>
    </xdr:to>
    <xdr:graphicFrame>
      <xdr:nvGraphicFramePr>
        <xdr:cNvPr id="1" name="Chart 2"/>
        <xdr:cNvGraphicFramePr/>
      </xdr:nvGraphicFramePr>
      <xdr:xfrm>
        <a:off x="5920920" y="13096800"/>
        <a:ext cx="4823640" cy="37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85</xdr:row>
      <xdr:rowOff>0</xdr:rowOff>
    </xdr:from>
    <xdr:to>
      <xdr:col>16</xdr:col>
      <xdr:colOff>383400</xdr:colOff>
      <xdr:row>104</xdr:row>
      <xdr:rowOff>160200</xdr:rowOff>
    </xdr:to>
    <xdr:graphicFrame>
      <xdr:nvGraphicFramePr>
        <xdr:cNvPr id="2" name="Chart 3"/>
        <xdr:cNvGraphicFramePr/>
      </xdr:nvGraphicFramePr>
      <xdr:xfrm>
        <a:off x="5920920" y="17287920"/>
        <a:ext cx="4823640" cy="37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107</xdr:row>
      <xdr:rowOff>0</xdr:rowOff>
    </xdr:from>
    <xdr:to>
      <xdr:col>16</xdr:col>
      <xdr:colOff>383400</xdr:colOff>
      <xdr:row>126</xdr:row>
      <xdr:rowOff>160200</xdr:rowOff>
    </xdr:to>
    <xdr:graphicFrame>
      <xdr:nvGraphicFramePr>
        <xdr:cNvPr id="3" name="Chart 4"/>
        <xdr:cNvGraphicFramePr/>
      </xdr:nvGraphicFramePr>
      <xdr:xfrm>
        <a:off x="5920920" y="21479040"/>
        <a:ext cx="4823640" cy="37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87</xdr:row>
      <xdr:rowOff>0</xdr:rowOff>
    </xdr:from>
    <xdr:to>
      <xdr:col>6</xdr:col>
      <xdr:colOff>700920</xdr:colOff>
      <xdr:row>101</xdr:row>
      <xdr:rowOff>32760</xdr:rowOff>
    </xdr:to>
    <xdr:graphicFrame>
      <xdr:nvGraphicFramePr>
        <xdr:cNvPr id="4" name="Chart 1"/>
        <xdr:cNvGraphicFramePr/>
      </xdr:nvGraphicFramePr>
      <xdr:xfrm>
        <a:off x="0" y="18945360"/>
        <a:ext cx="48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87</xdr:row>
      <xdr:rowOff>0</xdr:rowOff>
    </xdr:from>
    <xdr:to>
      <xdr:col>16</xdr:col>
      <xdr:colOff>630360</xdr:colOff>
      <xdr:row>101</xdr:row>
      <xdr:rowOff>32760</xdr:rowOff>
    </xdr:to>
    <xdr:graphicFrame>
      <xdr:nvGraphicFramePr>
        <xdr:cNvPr id="5" name="Chart 2"/>
        <xdr:cNvGraphicFramePr/>
      </xdr:nvGraphicFramePr>
      <xdr:xfrm>
        <a:off x="6977880" y="18945360"/>
        <a:ext cx="48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0</xdr:colOff>
      <xdr:row>87</xdr:row>
      <xdr:rowOff>0</xdr:rowOff>
    </xdr:from>
    <xdr:to>
      <xdr:col>25</xdr:col>
      <xdr:colOff>630720</xdr:colOff>
      <xdr:row>101</xdr:row>
      <xdr:rowOff>32760</xdr:rowOff>
    </xdr:to>
    <xdr:graphicFrame>
      <xdr:nvGraphicFramePr>
        <xdr:cNvPr id="6" name="Chart 3"/>
        <xdr:cNvGraphicFramePr/>
      </xdr:nvGraphicFramePr>
      <xdr:xfrm>
        <a:off x="13321800" y="18945360"/>
        <a:ext cx="48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87</xdr:row>
      <xdr:rowOff>0</xdr:rowOff>
    </xdr:from>
    <xdr:to>
      <xdr:col>6</xdr:col>
      <xdr:colOff>700920</xdr:colOff>
      <xdr:row>101</xdr:row>
      <xdr:rowOff>32760</xdr:rowOff>
    </xdr:to>
    <xdr:graphicFrame>
      <xdr:nvGraphicFramePr>
        <xdr:cNvPr id="7" name="Chart 1"/>
        <xdr:cNvGraphicFramePr/>
      </xdr:nvGraphicFramePr>
      <xdr:xfrm>
        <a:off x="0" y="18945360"/>
        <a:ext cx="48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87</xdr:row>
      <xdr:rowOff>0</xdr:rowOff>
    </xdr:from>
    <xdr:to>
      <xdr:col>16</xdr:col>
      <xdr:colOff>630360</xdr:colOff>
      <xdr:row>101</xdr:row>
      <xdr:rowOff>32760</xdr:rowOff>
    </xdr:to>
    <xdr:graphicFrame>
      <xdr:nvGraphicFramePr>
        <xdr:cNvPr id="8" name="Chart 2"/>
        <xdr:cNvGraphicFramePr/>
      </xdr:nvGraphicFramePr>
      <xdr:xfrm>
        <a:off x="6977880" y="18945360"/>
        <a:ext cx="48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0</xdr:colOff>
      <xdr:row>87</xdr:row>
      <xdr:rowOff>0</xdr:rowOff>
    </xdr:from>
    <xdr:to>
      <xdr:col>25</xdr:col>
      <xdr:colOff>630720</xdr:colOff>
      <xdr:row>101</xdr:row>
      <xdr:rowOff>32760</xdr:rowOff>
    </xdr:to>
    <xdr:graphicFrame>
      <xdr:nvGraphicFramePr>
        <xdr:cNvPr id="9" name="Chart 3"/>
        <xdr:cNvGraphicFramePr/>
      </xdr:nvGraphicFramePr>
      <xdr:xfrm>
        <a:off x="13321800" y="18945360"/>
        <a:ext cx="48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87</xdr:row>
      <xdr:rowOff>0</xdr:rowOff>
    </xdr:from>
    <xdr:to>
      <xdr:col>6</xdr:col>
      <xdr:colOff>700920</xdr:colOff>
      <xdr:row>101</xdr:row>
      <xdr:rowOff>32760</xdr:rowOff>
    </xdr:to>
    <xdr:graphicFrame>
      <xdr:nvGraphicFramePr>
        <xdr:cNvPr id="10" name="Chart 1"/>
        <xdr:cNvGraphicFramePr/>
      </xdr:nvGraphicFramePr>
      <xdr:xfrm>
        <a:off x="0" y="18945360"/>
        <a:ext cx="48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87</xdr:row>
      <xdr:rowOff>0</xdr:rowOff>
    </xdr:from>
    <xdr:to>
      <xdr:col>16</xdr:col>
      <xdr:colOff>630360</xdr:colOff>
      <xdr:row>101</xdr:row>
      <xdr:rowOff>32760</xdr:rowOff>
    </xdr:to>
    <xdr:graphicFrame>
      <xdr:nvGraphicFramePr>
        <xdr:cNvPr id="11" name="Chart 2"/>
        <xdr:cNvGraphicFramePr/>
      </xdr:nvGraphicFramePr>
      <xdr:xfrm>
        <a:off x="6977880" y="18945360"/>
        <a:ext cx="48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0</xdr:colOff>
      <xdr:row>87</xdr:row>
      <xdr:rowOff>0</xdr:rowOff>
    </xdr:from>
    <xdr:to>
      <xdr:col>25</xdr:col>
      <xdr:colOff>630720</xdr:colOff>
      <xdr:row>101</xdr:row>
      <xdr:rowOff>32760</xdr:rowOff>
    </xdr:to>
    <xdr:graphicFrame>
      <xdr:nvGraphicFramePr>
        <xdr:cNvPr id="12" name="Chart 3"/>
        <xdr:cNvGraphicFramePr/>
      </xdr:nvGraphicFramePr>
      <xdr:xfrm>
        <a:off x="13321800" y="18945360"/>
        <a:ext cx="48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87</xdr:row>
      <xdr:rowOff>0</xdr:rowOff>
    </xdr:from>
    <xdr:to>
      <xdr:col>6</xdr:col>
      <xdr:colOff>700920</xdr:colOff>
      <xdr:row>101</xdr:row>
      <xdr:rowOff>32760</xdr:rowOff>
    </xdr:to>
    <xdr:graphicFrame>
      <xdr:nvGraphicFramePr>
        <xdr:cNvPr id="13" name="Chart 1"/>
        <xdr:cNvGraphicFramePr/>
      </xdr:nvGraphicFramePr>
      <xdr:xfrm>
        <a:off x="0" y="18945360"/>
        <a:ext cx="48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87</xdr:row>
      <xdr:rowOff>0</xdr:rowOff>
    </xdr:from>
    <xdr:to>
      <xdr:col>16</xdr:col>
      <xdr:colOff>630360</xdr:colOff>
      <xdr:row>101</xdr:row>
      <xdr:rowOff>32760</xdr:rowOff>
    </xdr:to>
    <xdr:graphicFrame>
      <xdr:nvGraphicFramePr>
        <xdr:cNvPr id="14" name="Chart 2"/>
        <xdr:cNvGraphicFramePr/>
      </xdr:nvGraphicFramePr>
      <xdr:xfrm>
        <a:off x="6977880" y="18945360"/>
        <a:ext cx="48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0</xdr:colOff>
      <xdr:row>87</xdr:row>
      <xdr:rowOff>0</xdr:rowOff>
    </xdr:from>
    <xdr:to>
      <xdr:col>25</xdr:col>
      <xdr:colOff>630720</xdr:colOff>
      <xdr:row>101</xdr:row>
      <xdr:rowOff>32760</xdr:rowOff>
    </xdr:to>
    <xdr:graphicFrame>
      <xdr:nvGraphicFramePr>
        <xdr:cNvPr id="15" name="Chart 3"/>
        <xdr:cNvGraphicFramePr/>
      </xdr:nvGraphicFramePr>
      <xdr:xfrm>
        <a:off x="13321800" y="18945360"/>
        <a:ext cx="48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87</xdr:row>
      <xdr:rowOff>0</xdr:rowOff>
    </xdr:from>
    <xdr:to>
      <xdr:col>6</xdr:col>
      <xdr:colOff>700920</xdr:colOff>
      <xdr:row>101</xdr:row>
      <xdr:rowOff>32760</xdr:rowOff>
    </xdr:to>
    <xdr:graphicFrame>
      <xdr:nvGraphicFramePr>
        <xdr:cNvPr id="16" name="Chart 1"/>
        <xdr:cNvGraphicFramePr/>
      </xdr:nvGraphicFramePr>
      <xdr:xfrm>
        <a:off x="0" y="18945360"/>
        <a:ext cx="48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87</xdr:row>
      <xdr:rowOff>0</xdr:rowOff>
    </xdr:from>
    <xdr:to>
      <xdr:col>16</xdr:col>
      <xdr:colOff>630360</xdr:colOff>
      <xdr:row>101</xdr:row>
      <xdr:rowOff>32760</xdr:rowOff>
    </xdr:to>
    <xdr:graphicFrame>
      <xdr:nvGraphicFramePr>
        <xdr:cNvPr id="17" name="Chart 2"/>
        <xdr:cNvGraphicFramePr/>
      </xdr:nvGraphicFramePr>
      <xdr:xfrm>
        <a:off x="6977880" y="18945360"/>
        <a:ext cx="48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0</xdr:colOff>
      <xdr:row>87</xdr:row>
      <xdr:rowOff>0</xdr:rowOff>
    </xdr:from>
    <xdr:to>
      <xdr:col>25</xdr:col>
      <xdr:colOff>630720</xdr:colOff>
      <xdr:row>101</xdr:row>
      <xdr:rowOff>32760</xdr:rowOff>
    </xdr:to>
    <xdr:graphicFrame>
      <xdr:nvGraphicFramePr>
        <xdr:cNvPr id="18" name="Chart 3"/>
        <xdr:cNvGraphicFramePr/>
      </xdr:nvGraphicFramePr>
      <xdr:xfrm>
        <a:off x="13321800" y="18945360"/>
        <a:ext cx="48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14</xdr:row>
      <xdr:rowOff>200160</xdr:rowOff>
    </xdr:from>
    <xdr:to>
      <xdr:col>21</xdr:col>
      <xdr:colOff>76320</xdr:colOff>
      <xdr:row>19</xdr:row>
      <xdr:rowOff>128160</xdr:rowOff>
    </xdr:to>
    <xdr:graphicFrame>
      <xdr:nvGraphicFramePr>
        <xdr:cNvPr id="19" name="Chart 1"/>
        <xdr:cNvGraphicFramePr/>
      </xdr:nvGraphicFramePr>
      <xdr:xfrm>
        <a:off x="10127160" y="408636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23</xdr:row>
      <xdr:rowOff>152280</xdr:rowOff>
    </xdr:from>
    <xdr:to>
      <xdr:col>21</xdr:col>
      <xdr:colOff>76320</xdr:colOff>
      <xdr:row>37</xdr:row>
      <xdr:rowOff>185040</xdr:rowOff>
    </xdr:to>
    <xdr:graphicFrame>
      <xdr:nvGraphicFramePr>
        <xdr:cNvPr id="20" name="Chart 2"/>
        <xdr:cNvGraphicFramePr/>
      </xdr:nvGraphicFramePr>
      <xdr:xfrm>
        <a:off x="10127160" y="757224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0</xdr:colOff>
      <xdr:row>40</xdr:row>
      <xdr:rowOff>152280</xdr:rowOff>
    </xdr:from>
    <xdr:to>
      <xdr:col>21</xdr:col>
      <xdr:colOff>76320</xdr:colOff>
      <xdr:row>54</xdr:row>
      <xdr:rowOff>185040</xdr:rowOff>
    </xdr:to>
    <xdr:graphicFrame>
      <xdr:nvGraphicFramePr>
        <xdr:cNvPr id="21" name="Chart 3"/>
        <xdr:cNvGraphicFramePr/>
      </xdr:nvGraphicFramePr>
      <xdr:xfrm>
        <a:off x="10127160" y="1081080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D00"/>
    <pageSetUpPr fitToPage="false"/>
  </sheetPr>
  <dimension ref="A1:Q175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4" min="3" style="0" width="13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2"/>
    <col collapsed="false" customWidth="true" hidden="false" outlineLevel="0" max="11" min="11" style="0" width="18"/>
    <col collapsed="false" customWidth="true" hidden="false" outlineLevel="0" max="17" min="12" style="0" width="9"/>
    <col collapsed="false" customWidth="true" hidden="false" outlineLevel="0" max="18" min="18" style="0" width="2"/>
  </cols>
  <sheetData>
    <row r="1" customFormat="false" ht="36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/>
      <c r="P1" s="2"/>
      <c r="Q1" s="2"/>
    </row>
    <row r="2" customFormat="false" ht="4.5" hidden="false" customHeight="true" outlineLevel="0" collapsed="false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customFormat="false" ht="9.75" hidden="false" customHeight="true" outlineLevel="0" collapsed="false"/>
    <row r="4" customFormat="false" ht="12.75" hidden="false" customHeight="true" outlineLevel="0" collapsed="false">
      <c r="B4" s="4" t="s">
        <v>2</v>
      </c>
      <c r="C4" s="4"/>
      <c r="D4" s="4"/>
      <c r="E4" s="4" t="s">
        <v>3</v>
      </c>
      <c r="F4" s="4"/>
      <c r="G4" s="4" t="s">
        <v>4</v>
      </c>
      <c r="H4" s="4"/>
      <c r="I4" s="4"/>
      <c r="K4" s="5" t="s">
        <v>5</v>
      </c>
      <c r="L4" s="4" t="s">
        <v>6</v>
      </c>
      <c r="M4" s="4"/>
      <c r="N4" s="4" t="s">
        <v>7</v>
      </c>
      <c r="O4" s="4"/>
      <c r="P4" s="4" t="s">
        <v>8</v>
      </c>
      <c r="Q4" s="4"/>
    </row>
    <row r="5" customFormat="false" ht="25.5" hidden="false" customHeight="true" outlineLevel="0" collapsed="false">
      <c r="B5" s="6" t="s">
        <v>9</v>
      </c>
      <c r="C5" s="6"/>
      <c r="D5" s="6"/>
      <c r="E5" s="7" t="s">
        <v>10</v>
      </c>
      <c r="F5" s="7"/>
      <c r="G5" s="8" t="s">
        <v>11</v>
      </c>
      <c r="H5" s="8"/>
      <c r="I5" s="8"/>
      <c r="K5" s="7" t="s">
        <v>12</v>
      </c>
      <c r="L5" s="9" t="n">
        <v>46244</v>
      </c>
      <c r="M5" s="9"/>
      <c r="N5" s="10" t="n">
        <f aca="true">IF($L$5="","",INT((TODAY()-$L$5)/7)+1)</f>
        <v>11</v>
      </c>
      <c r="O5" s="10"/>
      <c r="P5" s="9" t="n">
        <v>46419</v>
      </c>
      <c r="Q5" s="9"/>
    </row>
    <row r="6" customFormat="false" ht="6" hidden="false" customHeight="true" outlineLevel="0" collapsed="false"/>
    <row r="7" customFormat="false" ht="12.75" hidden="false" customHeight="true" outlineLevel="0" collapsed="false">
      <c r="B7" s="5" t="s">
        <v>13</v>
      </c>
      <c r="C7" s="5" t="s">
        <v>14</v>
      </c>
      <c r="D7" s="5" t="s">
        <v>15</v>
      </c>
      <c r="E7" s="4" t="s">
        <v>16</v>
      </c>
      <c r="F7" s="4"/>
      <c r="G7" s="4" t="s">
        <v>17</v>
      </c>
      <c r="H7" s="4"/>
      <c r="I7" s="5" t="s">
        <v>18</v>
      </c>
      <c r="K7" s="5" t="s">
        <v>19</v>
      </c>
      <c r="L7" s="4" t="s">
        <v>20</v>
      </c>
      <c r="M7" s="4"/>
      <c r="N7" s="4" t="s">
        <v>21</v>
      </c>
      <c r="O7" s="4"/>
      <c r="P7" s="4" t="s">
        <v>22</v>
      </c>
      <c r="Q7" s="4"/>
    </row>
    <row r="8" customFormat="false" ht="24" hidden="false" customHeight="true" outlineLevel="0" collapsed="false">
      <c r="B8" s="11" t="n">
        <v>40616</v>
      </c>
      <c r="C8" s="12" t="n">
        <f aca="true">IF(B8="","",(TODAY()-B8)/365.25)</f>
        <v>15.605749486653</v>
      </c>
      <c r="D8" s="12" t="n">
        <f aca="false">IF(OR(B8="",$L$5=""),"",($L$5-B8)/365.25)</f>
        <v>15.4086242299795</v>
      </c>
      <c r="E8" s="13" t="n">
        <v>171.4</v>
      </c>
      <c r="F8" s="13"/>
      <c r="G8" s="13" t="n">
        <v>58.2</v>
      </c>
      <c r="H8" s="13"/>
      <c r="I8" s="14" t="n">
        <v>0.6</v>
      </c>
      <c r="K8" s="15" t="str">
        <f aca="false">IF(L8&lt;&gt;"",IF(IF(L8&lt;=1.5,L8*100,L8)&lt;85,"Pre-PHV",IF(IF(L8&lt;=1.5,L8*100,L8)&lt;=95,"Circa-PHV","Post-PHV")),IF(I8&lt;&gt;"",IF(I8&lt;-1,"Pre-PHV",IF(I8&lt;=1,"Circa-PHV","Post-PHV")),""))</f>
        <v>Circa-PHV</v>
      </c>
      <c r="L8" s="13"/>
      <c r="M8" s="13"/>
      <c r="N8" s="9" t="n">
        <v>46266</v>
      </c>
      <c r="O8" s="9"/>
      <c r="P8" s="16" t="n">
        <f aca="true">IF($L$5="","",TODAY()-$L$5)</f>
        <v>72</v>
      </c>
      <c r="Q8" s="16"/>
    </row>
    <row r="9" customFormat="false" ht="13.5" hidden="false" customHeight="true" outlineLevel="0" collapsed="false">
      <c r="B9" s="17" t="s">
        <v>23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</row>
    <row r="10" customFormat="false" ht="7.5" hidden="false" customHeight="true" outlineLevel="0" collapsed="false"/>
    <row r="11" customFormat="false" ht="19.5" hidden="false" customHeight="true" outlineLevel="0" collapsed="false">
      <c r="B11" s="18" t="s">
        <v>24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customFormat="false" ht="12.75" hidden="false" customHeight="true" outlineLevel="0" collapsed="false">
      <c r="B12" s="19" t="s">
        <v>25</v>
      </c>
      <c r="C12" s="19"/>
      <c r="D12" s="19"/>
      <c r="E12" s="19"/>
      <c r="F12" s="19"/>
      <c r="G12" s="19"/>
      <c r="H12" s="19"/>
      <c r="I12" s="19"/>
      <c r="K12" s="19" t="s">
        <v>26</v>
      </c>
      <c r="L12" s="19"/>
      <c r="M12" s="19"/>
      <c r="N12" s="19"/>
      <c r="O12" s="19"/>
      <c r="P12" s="19"/>
      <c r="Q12" s="19"/>
    </row>
    <row r="13" customFormat="false" ht="30" hidden="false" customHeight="true" outlineLevel="0" collapsed="false">
      <c r="B13" s="20" t="str">
        <f aca="false">'Dash Feed'!$B$15</f>
        <v>Unavailable — training &amp; fixtures</v>
      </c>
      <c r="C13" s="20"/>
      <c r="D13" s="20"/>
      <c r="E13" s="20"/>
      <c r="F13" s="20"/>
      <c r="G13" s="20"/>
      <c r="H13" s="20"/>
      <c r="I13" s="20"/>
      <c r="K13" s="21" t="str">
        <f aca="false">'Dash Feed'!$B$16</f>
        <v>Pitch-based — linear running / volume focus + accel/decel</v>
      </c>
      <c r="L13" s="21"/>
      <c r="M13" s="21"/>
      <c r="N13" s="21"/>
      <c r="O13" s="21"/>
      <c r="P13" s="21"/>
      <c r="Q13" s="21"/>
    </row>
    <row r="14" customFormat="false" ht="15" hidden="false" customHeight="false" outlineLevel="0" collapsed="false">
      <c r="B14" s="17" t="str">
        <f aca="false">IF('Dash Feed'!$B$18="","Set availability and focus on the Status Log tab (newest entry by date drives this headline).","In current focus since "&amp;TEXT('Dash Feed'!$B$18,"dd/mm/yy")&amp;IF('Dash Feed'!$B$19="",""," (wk "&amp;'Dash Feed'!$B$19&amp;")")&amp;"   ·   set on the Status Log tab")</f>
        <v>In current focus since 12/10/26 (wk 10)   ·   set on the Status Log tab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</row>
    <row r="15" customFormat="false" ht="7.5" hidden="false" customHeight="true" outlineLevel="0" collapsed="false"/>
    <row r="16" customFormat="false" ht="15" hidden="false" customHeight="false" outlineLevel="0" collapsed="false">
      <c r="B16" s="19" t="str">
        <f aca="false">"PITCH EXPOSURE   ·   "&amp;IF('Dash Feed'!$H$20="","no GPS sessions logged yet",UPPER('Dash Feed'!$H$20))</f>
        <v>PITCH EXPOSURE   ·   LATEST LOGGED GPS WEEK: WK 11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  <row r="17" customFormat="false" ht="19.5" hidden="false" customHeight="true" outlineLevel="0" collapsed="false">
      <c r="B17" s="22" t="str">
        <f aca="false">'Dash Feed'!$A$24</f>
        <v>Running volume</v>
      </c>
      <c r="C17" s="22"/>
      <c r="D17" s="22" t="str">
        <f aca="false">'Dash Feed'!$A$25</f>
        <v>Accel / decel</v>
      </c>
      <c r="E17" s="22"/>
      <c r="F17" s="22"/>
      <c r="G17" s="22" t="str">
        <f aca="false">'Dash Feed'!$A$26</f>
        <v>Change of direction</v>
      </c>
      <c r="H17" s="22"/>
      <c r="I17" s="22"/>
      <c r="K17" s="22" t="str">
        <f aca="false">'Dash Feed'!$A$27</f>
        <v>High-speed running</v>
      </c>
      <c r="L17" s="22"/>
      <c r="M17" s="22" t="str">
        <f aca="false">'Dash Feed'!$A$28</f>
        <v>Sprint distance</v>
      </c>
      <c r="N17" s="22"/>
      <c r="O17" s="22"/>
      <c r="P17" s="22" t="str">
        <f aca="false">'Dash Feed'!$A$29</f>
        <v>Top speed</v>
      </c>
      <c r="Q17" s="22"/>
    </row>
    <row r="18" customFormat="false" ht="19.5" hidden="false" customHeight="true" outlineLevel="0" collapsed="false">
      <c r="B18" s="23" t="str">
        <f aca="false">'Dash Feed'!$C$24</f>
        <v>3,900 m total</v>
      </c>
      <c r="C18" s="23"/>
      <c r="D18" s="23" t="str">
        <f aca="false">'Dash Feed'!$C$25</f>
        <v>29 acc + dec</v>
      </c>
      <c r="E18" s="23"/>
      <c r="F18" s="23"/>
      <c r="G18" s="23" t="str">
        <f aca="false">'Dash Feed'!$C$26</f>
        <v>not GPS-tracked</v>
      </c>
      <c r="H18" s="23"/>
      <c r="I18" s="23"/>
      <c r="K18" s="23" t="str">
        <f aca="false">'Dash Feed'!$C$27</f>
        <v>140 m HSR</v>
      </c>
      <c r="L18" s="23"/>
      <c r="M18" s="23" t="str">
        <f aca="false">'Dash Feed'!$C$28</f>
        <v>30 m sprint</v>
      </c>
      <c r="N18" s="23"/>
      <c r="O18" s="23"/>
      <c r="P18" s="23" t="str">
        <f aca="false">'Dash Feed'!$C$29</f>
        <v>7.1 m/s · 80%</v>
      </c>
      <c r="Q18" s="23"/>
    </row>
    <row r="19" customFormat="false" ht="15" hidden="false" customHeight="true" outlineLevel="0" collapsed="false">
      <c r="B19" s="24" t="str">
        <f aca="false">'Dash Feed'!$F$24</f>
        <v>since 12/10/26 · wk 10</v>
      </c>
      <c r="C19" s="24"/>
      <c r="D19" s="24" t="str">
        <f aca="false">'Dash Feed'!$F$25</f>
        <v>since 19/10/26 · wk 11</v>
      </c>
      <c r="E19" s="24"/>
      <c r="F19" s="24"/>
      <c r="G19" s="24" t="str">
        <f aca="false">'Dash Feed'!$F$26</f>
        <v>not yet introduced</v>
      </c>
      <c r="H19" s="24"/>
      <c r="I19" s="24"/>
      <c r="K19" s="24" t="str">
        <f aca="false">'Dash Feed'!$F$27</f>
        <v>not yet introduced</v>
      </c>
      <c r="L19" s="24"/>
      <c r="M19" s="24" t="str">
        <f aca="false">'Dash Feed'!$F$28</f>
        <v>not yet introduced</v>
      </c>
      <c r="N19" s="24"/>
      <c r="O19" s="24"/>
      <c r="P19" s="24" t="str">
        <f aca="false">'Dash Feed'!$F$29</f>
        <v>not yet introduced</v>
      </c>
      <c r="Q19" s="24"/>
    </row>
    <row r="20" customFormat="false" ht="6" hidden="false" customHeight="true" outlineLevel="0" collapsed="false">
      <c r="B20" s="25" t="n">
        <f aca="false">'Dash Feed'!$B$24</f>
        <v>1</v>
      </c>
      <c r="D20" s="25" t="n">
        <f aca="false">'Dash Feed'!$B$25</f>
        <v>1</v>
      </c>
      <c r="G20" s="25" t="n">
        <f aca="false">'Dash Feed'!$B$26</f>
        <v>0</v>
      </c>
      <c r="K20" s="25" t="n">
        <f aca="false">'Dash Feed'!$B$27</f>
        <v>0</v>
      </c>
      <c r="M20" s="25" t="n">
        <f aca="false">'Dash Feed'!$B$28</f>
        <v>0</v>
      </c>
      <c r="P20" s="25" t="n">
        <f aca="false">'Dash Feed'!$B$29</f>
        <v>0</v>
      </c>
    </row>
    <row r="21" customFormat="false" ht="15" hidden="false" customHeight="false" outlineLevel="0" collapsed="false">
      <c r="B21" s="19" t="s">
        <v>27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</row>
    <row r="22" customFormat="false" ht="15.75" hidden="false" customHeight="true" outlineLevel="0" collapsed="false">
      <c r="B22" s="26" t="str">
        <f aca="false">'Dash Feed'!$E$33</f>
        <v>10/08/26   ·   wk 1</v>
      </c>
      <c r="C22" s="26"/>
      <c r="D22" s="26" t="str">
        <f aca="false">'Dash Feed'!$E$34</f>
        <v>14/09/26   ·   wk 6</v>
      </c>
      <c r="E22" s="26"/>
      <c r="F22" s="26"/>
      <c r="G22" s="26" t="str">
        <f aca="false">'Dash Feed'!$E$35</f>
        <v>12/10/26   ·   wk 10</v>
      </c>
      <c r="H22" s="26"/>
      <c r="I22" s="26"/>
      <c r="K22" s="26" t="str">
        <f aca="false">'Dash Feed'!$E$36</f>
        <v>19/10/26   ·   wk 11</v>
      </c>
      <c r="L22" s="26"/>
      <c r="M22" s="26" t="str">
        <f aca="false">'Dash Feed'!$E$37</f>
        <v/>
      </c>
      <c r="N22" s="26"/>
      <c r="O22" s="26"/>
      <c r="P22" s="26" t="str">
        <f aca="false">'Dash Feed'!$E$38</f>
        <v/>
      </c>
      <c r="Q22" s="26"/>
    </row>
    <row r="23" customFormat="false" ht="39.75" hidden="false" customHeight="true" outlineLevel="0" collapsed="false">
      <c r="B23" s="27" t="str">
        <f aca="false">'Dash Feed'!$G$33</f>
        <v>Gym-based — strength focus</v>
      </c>
      <c r="C23" s="27"/>
      <c r="D23" s="27" t="str">
        <f aca="false">'Dash Feed'!$G$34</f>
        <v>Gym-based — strength + plyometric focus</v>
      </c>
      <c r="E23" s="27"/>
      <c r="F23" s="27"/>
      <c r="G23" s="27" t="str">
        <f aca="false">'Dash Feed'!$G$35</f>
        <v>Pitch-based — linear running / volume focus</v>
      </c>
      <c r="H23" s="27"/>
      <c r="I23" s="27"/>
      <c r="K23" s="27" t="str">
        <f aca="false">'Dash Feed'!$G$36</f>
        <v>Pitch-based — linear running / volume focus + accel/decel</v>
      </c>
      <c r="L23" s="27"/>
      <c r="M23" s="27" t="str">
        <f aca="false">'Dash Feed'!$G$37</f>
        <v/>
      </c>
      <c r="N23" s="27"/>
      <c r="O23" s="27"/>
      <c r="P23" s="27" t="str">
        <f aca="false">'Dash Feed'!$G$38</f>
        <v/>
      </c>
      <c r="Q23" s="27"/>
    </row>
    <row r="24" customFormat="false" ht="24" hidden="false" customHeight="true" outlineLevel="0" collapsed="false">
      <c r="B24" s="28" t="str">
        <f aca="false">'Dash Feed'!$K$33</f>
        <v>Unavailable — training &amp; fixtures</v>
      </c>
      <c r="C24" s="28"/>
      <c r="D24" s="28" t="str">
        <f aca="false">'Dash Feed'!$K$34</f>
        <v>Unavailable — training &amp; fixtures</v>
      </c>
      <c r="E24" s="28"/>
      <c r="F24" s="28"/>
      <c r="G24" s="28" t="str">
        <f aca="false">'Dash Feed'!$K$35</f>
        <v>Unavailable — training &amp; fixtures</v>
      </c>
      <c r="H24" s="28"/>
      <c r="I24" s="28"/>
      <c r="K24" s="28" t="str">
        <f aca="false">'Dash Feed'!$K$36</f>
        <v>Unavailable — training &amp; fixtures</v>
      </c>
      <c r="L24" s="28"/>
      <c r="M24" s="28" t="str">
        <f aca="false">'Dash Feed'!$K$37</f>
        <v/>
      </c>
      <c r="N24" s="28"/>
      <c r="O24" s="28"/>
      <c r="P24" s="28" t="str">
        <f aca="false">'Dash Feed'!$K$38</f>
        <v/>
      </c>
      <c r="Q24" s="28"/>
    </row>
    <row r="25" customFormat="false" ht="9.75" hidden="false" customHeight="true" outlineLevel="0" collapsed="false"/>
    <row r="26" customFormat="false" ht="19.5" hidden="false" customHeight="true" outlineLevel="0" collapsed="false">
      <c r="B26" s="18" t="s">
        <v>28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</row>
    <row r="27" customFormat="false" ht="12.75" hidden="false" customHeight="true" outlineLevel="0" collapsed="false">
      <c r="B27" s="29" t="s">
        <v>29</v>
      </c>
      <c r="C27" s="29"/>
      <c r="D27" s="29" t="s">
        <v>30</v>
      </c>
      <c r="E27" s="29"/>
      <c r="F27" s="29" t="s">
        <v>31</v>
      </c>
      <c r="G27" s="29"/>
      <c r="H27" s="29" t="s">
        <v>32</v>
      </c>
      <c r="I27" s="29"/>
      <c r="K27" s="29" t="s">
        <v>33</v>
      </c>
      <c r="L27" s="29"/>
      <c r="M27" s="29" t="s">
        <v>34</v>
      </c>
      <c r="N27" s="29"/>
      <c r="O27" s="29" t="s">
        <v>35</v>
      </c>
      <c r="P27" s="29"/>
      <c r="Q27" s="29"/>
    </row>
    <row r="28" customFormat="false" ht="25.5" hidden="false" customHeight="true" outlineLevel="0" collapsed="false">
      <c r="B28" s="30" t="s">
        <v>36</v>
      </c>
      <c r="C28" s="30"/>
      <c r="D28" s="30"/>
      <c r="E28" s="30"/>
      <c r="F28" s="30" t="s">
        <v>36</v>
      </c>
      <c r="G28" s="30"/>
      <c r="H28" s="30"/>
      <c r="I28" s="30"/>
      <c r="K28" s="30"/>
      <c r="L28" s="30"/>
      <c r="M28" s="31" t="n">
        <v>0.9</v>
      </c>
      <c r="N28" s="31"/>
      <c r="O28" s="32" t="s">
        <v>37</v>
      </c>
      <c r="P28" s="32"/>
      <c r="Q28" s="32"/>
    </row>
    <row r="29" customFormat="false" ht="21.75" hidden="false" customHeight="true" outlineLevel="0" collapsed="false">
      <c r="B29" s="17" t="s">
        <v>38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</row>
    <row r="30" customFormat="false" ht="7.5" hidden="false" customHeight="true" outlineLevel="0" collapsed="false"/>
    <row r="31" customFormat="false" ht="19.5" hidden="false" customHeight="true" outlineLevel="0" collapsed="false">
      <c r="B31" s="18" t="s">
        <v>39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</row>
    <row r="32" customFormat="false" ht="15.75" hidden="false" customHeight="true" outlineLevel="0" collapsed="false">
      <c r="B32" s="33" t="s">
        <v>40</v>
      </c>
      <c r="C32" s="33"/>
      <c r="D32" s="33" t="s">
        <v>41</v>
      </c>
      <c r="E32" s="33"/>
      <c r="F32" s="33"/>
      <c r="G32" s="33" t="s">
        <v>42</v>
      </c>
      <c r="H32" s="33" t="s">
        <v>43</v>
      </c>
      <c r="I32" s="33"/>
      <c r="J32" s="33"/>
      <c r="K32" s="33"/>
      <c r="L32" s="33"/>
      <c r="M32" s="33"/>
      <c r="N32" s="33"/>
      <c r="O32" s="33"/>
      <c r="P32" s="33"/>
      <c r="Q32" s="33"/>
    </row>
    <row r="33" customFormat="false" ht="18" hidden="false" customHeight="true" outlineLevel="0" collapsed="false">
      <c r="B33" s="34" t="str">
        <f aca="false">'Dash Feed'!$C$42</f>
        <v>Hip</v>
      </c>
      <c r="C33" s="34"/>
      <c r="D33" s="35" t="str">
        <f aca="false">'Dash Feed'!$D$42</f>
        <v>1. Protection</v>
      </c>
      <c r="E33" s="35"/>
      <c r="F33" s="35"/>
      <c r="G33" s="36" t="str">
        <f aca="false">'Dash Feed'!$F$42</f>
        <v>0 / 6</v>
      </c>
      <c r="H33" s="37" t="str">
        <f aca="false">'Dash Feed'!$G$42</f>
        <v>Pain ≤ 2/10 with ADLs, full weight-bearing   ·   No night pain</v>
      </c>
      <c r="I33" s="37"/>
      <c r="J33" s="37"/>
      <c r="K33" s="37"/>
      <c r="L33" s="37"/>
      <c r="M33" s="37"/>
      <c r="N33" s="37"/>
      <c r="O33" s="37"/>
      <c r="P33" s="37"/>
      <c r="Q33" s="37"/>
    </row>
    <row r="34" customFormat="false" ht="18" hidden="false" customHeight="true" outlineLevel="0" collapsed="false">
      <c r="B34" s="34" t="str">
        <f aca="false">'Dash Feed'!$C$43</f>
        <v>Knee</v>
      </c>
      <c r="C34" s="34"/>
      <c r="D34" s="35" t="str">
        <f aca="false">'Dash Feed'!$D$43</f>
        <v>3. Specific Loading</v>
      </c>
      <c r="E34" s="35"/>
      <c r="F34" s="35"/>
      <c r="G34" s="36" t="str">
        <f aca="false">'Dash Feed'!$F$43</f>
        <v>2 / 6</v>
      </c>
      <c r="H34" s="37" t="str">
        <f aca="false">'Dash Feed'!$G$43</f>
        <v>Pain-free jogging</v>
      </c>
      <c r="I34" s="37"/>
      <c r="J34" s="37"/>
      <c r="K34" s="37"/>
      <c r="L34" s="37"/>
      <c r="M34" s="37"/>
      <c r="N34" s="37"/>
      <c r="O34" s="37"/>
      <c r="P34" s="37"/>
      <c r="Q34" s="37"/>
    </row>
    <row r="35" customFormat="false" ht="18" hidden="false" customHeight="true" outlineLevel="0" collapsed="false">
      <c r="B35" s="34" t="str">
        <f aca="false">'Dash Feed'!$C$44</f>
        <v/>
      </c>
      <c r="C35" s="34"/>
      <c r="D35" s="35" t="str">
        <f aca="false">'Dash Feed'!$D$44</f>
        <v/>
      </c>
      <c r="E35" s="35"/>
      <c r="F35" s="35"/>
      <c r="G35" s="36" t="str">
        <f aca="false">'Dash Feed'!$F$44</f>
        <v/>
      </c>
      <c r="H35" s="37" t="str">
        <f aca="false">'Dash Feed'!$G$44</f>
        <v/>
      </c>
      <c r="I35" s="37"/>
      <c r="J35" s="37"/>
      <c r="K35" s="37"/>
      <c r="L35" s="37"/>
      <c r="M35" s="37"/>
      <c r="N35" s="37"/>
      <c r="O35" s="37"/>
      <c r="P35" s="37"/>
      <c r="Q35" s="37"/>
    </row>
    <row r="36" customFormat="false" ht="18" hidden="false" customHeight="true" outlineLevel="0" collapsed="false">
      <c r="B36" s="34" t="str">
        <f aca="false">'Dash Feed'!$C$45</f>
        <v/>
      </c>
      <c r="C36" s="34"/>
      <c r="D36" s="35" t="str">
        <f aca="false">'Dash Feed'!$D$45</f>
        <v/>
      </c>
      <c r="E36" s="35"/>
      <c r="F36" s="35"/>
      <c r="G36" s="36" t="str">
        <f aca="false">'Dash Feed'!$F$45</f>
        <v/>
      </c>
      <c r="H36" s="37" t="str">
        <f aca="false">'Dash Feed'!$G$45</f>
        <v/>
      </c>
      <c r="I36" s="37"/>
      <c r="J36" s="37"/>
      <c r="K36" s="37"/>
      <c r="L36" s="37"/>
      <c r="M36" s="37"/>
      <c r="N36" s="37"/>
      <c r="O36" s="37"/>
      <c r="P36" s="37"/>
      <c r="Q36" s="37"/>
    </row>
    <row r="37" customFormat="false" ht="18" hidden="false" customHeight="true" outlineLevel="0" collapsed="false">
      <c r="B37" s="34" t="str">
        <f aca="false">'Dash Feed'!$C$46</f>
        <v/>
      </c>
      <c r="C37" s="34"/>
      <c r="D37" s="35" t="str">
        <f aca="false">'Dash Feed'!$D$46</f>
        <v/>
      </c>
      <c r="E37" s="35"/>
      <c r="F37" s="35"/>
      <c r="G37" s="36" t="str">
        <f aca="false">'Dash Feed'!$F$46</f>
        <v/>
      </c>
      <c r="H37" s="37" t="str">
        <f aca="false">'Dash Feed'!$G$46</f>
        <v/>
      </c>
      <c r="I37" s="37"/>
      <c r="J37" s="37"/>
      <c r="K37" s="37"/>
      <c r="L37" s="37"/>
      <c r="M37" s="37"/>
      <c r="N37" s="37"/>
      <c r="O37" s="37"/>
      <c r="P37" s="37"/>
      <c r="Q37" s="37"/>
    </row>
    <row r="38" customFormat="false" ht="9.75" hidden="false" customHeight="true" outlineLevel="0" collapsed="false"/>
    <row r="39" customFormat="false" ht="19.5" hidden="false" customHeight="true" outlineLevel="0" collapsed="false">
      <c r="B39" s="18" t="s">
        <v>44</v>
      </c>
      <c r="C39" s="18"/>
      <c r="D39" s="18"/>
      <c r="E39" s="18"/>
      <c r="F39" s="18"/>
      <c r="G39" s="18"/>
      <c r="H39" s="18"/>
      <c r="I39" s="18"/>
      <c r="K39" s="18" t="s">
        <v>45</v>
      </c>
      <c r="L39" s="18"/>
      <c r="M39" s="18"/>
      <c r="N39" s="18"/>
      <c r="O39" s="18"/>
      <c r="P39" s="18"/>
      <c r="Q39" s="18"/>
    </row>
    <row r="40" customFormat="false" ht="24" hidden="false" customHeight="true" outlineLevel="0" collapsed="false">
      <c r="B40" s="33" t="s">
        <v>46</v>
      </c>
      <c r="C40" s="33" t="s">
        <v>47</v>
      </c>
      <c r="D40" s="33"/>
      <c r="E40" s="33" t="s">
        <v>48</v>
      </c>
      <c r="F40" s="33" t="s">
        <v>49</v>
      </c>
      <c r="G40" s="33" t="s">
        <v>50</v>
      </c>
      <c r="H40" s="33" t="s">
        <v>51</v>
      </c>
      <c r="I40" s="33" t="s">
        <v>52</v>
      </c>
      <c r="K40" s="38"/>
      <c r="L40" s="38" t="s">
        <v>53</v>
      </c>
      <c r="M40" s="38" t="s">
        <v>54</v>
      </c>
      <c r="N40" s="38" t="s">
        <v>55</v>
      </c>
      <c r="O40" s="38" t="s">
        <v>56</v>
      </c>
      <c r="P40" s="38" t="s">
        <v>57</v>
      </c>
      <c r="Q40" s="38" t="s">
        <v>58</v>
      </c>
    </row>
    <row r="41" customFormat="false" ht="15" hidden="false" customHeight="true" outlineLevel="0" collapsed="false">
      <c r="A41" s="25" t="n">
        <f aca="false">IF('Dash Feed'!$D$50,1,0)</f>
        <v>1</v>
      </c>
      <c r="B41" s="39" t="str">
        <f aca="false">'Dash Feed'!$F$50</f>
        <v>HIP</v>
      </c>
      <c r="C41" s="40" t="str">
        <f aca="false">'Dash Feed'!$G$50</f>
        <v>1. Protection  ·  0 / 6</v>
      </c>
      <c r="D41" s="40"/>
      <c r="E41" s="36" t="str">
        <f aca="false">'Dash Feed'!$H$50</f>
        <v/>
      </c>
      <c r="F41" s="36" t="str">
        <f aca="false">'Dash Feed'!$I$50</f>
        <v/>
      </c>
      <c r="G41" s="41" t="str">
        <f aca="false">'Dash Feed'!$J$50</f>
        <v/>
      </c>
      <c r="H41" s="36" t="str">
        <f aca="false">'Dash Feed'!$K$50</f>
        <v/>
      </c>
      <c r="I41" s="42" t="n">
        <f aca="false">'Dash Feed'!$L$50</f>
        <v>46314</v>
      </c>
      <c r="K41" s="43" t="s">
        <v>59</v>
      </c>
      <c r="L41" s="44" t="n">
        <f aca="false">IF(GPS!C16="","",GPS!C16)</f>
        <v>20000</v>
      </c>
      <c r="M41" s="44" t="n">
        <f aca="false">IF(GPS!D16="","",GPS!D16)</f>
        <v>800</v>
      </c>
      <c r="N41" s="44" t="n">
        <f aca="false">IF(GPS!E16="","",GPS!E16)</f>
        <v>300</v>
      </c>
      <c r="O41" s="44" t="n">
        <f aca="false">IF(GPS!F16="","",GPS!F16)</f>
        <v>80</v>
      </c>
      <c r="P41" s="44" t="n">
        <f aca="false">IF(GPS!G16="","",GPS!G16)</f>
        <v>80</v>
      </c>
      <c r="Q41" s="45" t="n">
        <f aca="false">IF(GPS!H16="","",GPS!H16)</f>
        <v>8.9</v>
      </c>
    </row>
    <row r="42" customFormat="false" ht="15" hidden="false" customHeight="true" outlineLevel="0" collapsed="false">
      <c r="A42" s="25" t="n">
        <f aca="false">IF('Dash Feed'!$D$51,1,0)</f>
        <v>0</v>
      </c>
      <c r="B42" s="39" t="str">
        <f aca="false">'Dash Feed'!$F$51</f>
        <v>ROM</v>
      </c>
      <c r="C42" s="40" t="str">
        <f aca="false">'Dash Feed'!$G$51</f>
        <v>Hip Flexion (°)</v>
      </c>
      <c r="D42" s="40"/>
      <c r="E42" s="36" t="str">
        <f aca="false">'Dash Feed'!$H$51</f>
        <v/>
      </c>
      <c r="F42" s="36" t="str">
        <f aca="false">'Dash Feed'!$I$51</f>
        <v/>
      </c>
      <c r="G42" s="41" t="str">
        <f aca="false">'Dash Feed'!$J$51</f>
        <v/>
      </c>
      <c r="H42" s="36" t="str">
        <f aca="false">'Dash Feed'!$K$51</f>
        <v/>
      </c>
      <c r="I42" s="42" t="str">
        <f aca="false">'Dash Feed'!$L$51</f>
        <v/>
      </c>
      <c r="K42" s="43" t="str">
        <f aca="false">"Latest week"&amp;IF('Chart Feed'!$H$49=0,""," (wk "&amp;'Chart Feed'!$H$49&amp;")")</f>
        <v>Latest week (wk 11)</v>
      </c>
      <c r="L42" s="44" t="n">
        <f aca="false">IFERROR(IF(INDEX(GPS!C$20:C$71,'Chart Feed'!$H$49)="","",INDEX(GPS!C$20:C$71,'Chart Feed'!$H$49)),"")</f>
        <v>3900</v>
      </c>
      <c r="M42" s="44" t="n">
        <f aca="false">IFERROR(IF(INDEX(GPS!D$20:D$71,'Chart Feed'!$H$49)="","",INDEX(GPS!D$20:D$71,'Chart Feed'!$H$49)),"")</f>
        <v>140</v>
      </c>
      <c r="N42" s="44" t="n">
        <f aca="false">IFERROR(IF(INDEX(GPS!E$20:E$71,'Chart Feed'!$H$49)="","",INDEX(GPS!E$20:E$71,'Chart Feed'!$H$49)),"")</f>
        <v>30</v>
      </c>
      <c r="O42" s="44" t="n">
        <f aca="false">IFERROR(IF(INDEX(GPS!F$20:F$71,'Chart Feed'!$H$49)="","",INDEX(GPS!F$20:F$71,'Chart Feed'!$H$49)),"")</f>
        <v>15</v>
      </c>
      <c r="P42" s="44" t="n">
        <f aca="false">IFERROR(IF(INDEX(GPS!G$20:G$71,'Chart Feed'!$H$49)="","",INDEX(GPS!G$20:G$71,'Chart Feed'!$H$49)),"")</f>
        <v>14</v>
      </c>
      <c r="Q42" s="45" t="n">
        <f aca="false">IFERROR(IF(INDEX(GPS!H$20:H$71,'Chart Feed'!$H$49)="","",INDEX(GPS!H$20:H$71,'Chart Feed'!$H$49)),"")</f>
        <v>7.1</v>
      </c>
    </row>
    <row r="43" customFormat="false" ht="15" hidden="false" customHeight="true" outlineLevel="0" collapsed="false">
      <c r="A43" s="25" t="n">
        <f aca="false">IF('Dash Feed'!$D$52,1,0)</f>
        <v>0</v>
      </c>
      <c r="B43" s="39" t="str">
        <f aca="false">'Dash Feed'!$F$52</f>
        <v/>
      </c>
      <c r="C43" s="40" t="str">
        <f aca="false">'Dash Feed'!$G$52</f>
        <v>Hip Extension (°)</v>
      </c>
      <c r="D43" s="40"/>
      <c r="E43" s="36" t="str">
        <f aca="false">'Dash Feed'!$H$52</f>
        <v/>
      </c>
      <c r="F43" s="36" t="str">
        <f aca="false">'Dash Feed'!$I$52</f>
        <v/>
      </c>
      <c r="G43" s="41" t="str">
        <f aca="false">'Dash Feed'!$J$52</f>
        <v/>
      </c>
      <c r="H43" s="36" t="str">
        <f aca="false">'Dash Feed'!$K$52</f>
        <v/>
      </c>
      <c r="I43" s="42" t="str">
        <f aca="false">'Dash Feed'!$L$52</f>
        <v/>
      </c>
      <c r="K43" s="43" t="s">
        <v>60</v>
      </c>
      <c r="L43" s="46" t="n">
        <f aca="false">IFERROR(IF(OR(L42="",L41=""),"",L42/L41),"")</f>
        <v>0.195</v>
      </c>
      <c r="M43" s="46" t="n">
        <f aca="false">IFERROR(IF(OR(M42="",M41=""),"",M42/M41),"")</f>
        <v>0.175</v>
      </c>
      <c r="N43" s="46" t="n">
        <f aca="false">IFERROR(IF(OR(N42="",N41=""),"",N42/N41),"")</f>
        <v>0.1</v>
      </c>
      <c r="O43" s="46" t="n">
        <f aca="false">IFERROR(IF(OR(O42="",O41=""),"",O42/O41),"")</f>
        <v>0.1875</v>
      </c>
      <c r="P43" s="46" t="n">
        <f aca="false">IFERROR(IF(OR(P42="",P41=""),"",P42/P41),"")</f>
        <v>0.175</v>
      </c>
      <c r="Q43" s="46" t="n">
        <f aca="false">IFERROR(IF(OR(Q42="",Q41=""),"",Q42/Q41),"")</f>
        <v>0.797752808988764</v>
      </c>
    </row>
    <row r="44" customFormat="false" ht="15" hidden="false" customHeight="true" outlineLevel="0" collapsed="false">
      <c r="A44" s="25" t="n">
        <f aca="false">IF('Dash Feed'!$D$53,1,0)</f>
        <v>0</v>
      </c>
      <c r="B44" s="39" t="str">
        <f aca="false">'Dash Feed'!$F$53</f>
        <v/>
      </c>
      <c r="C44" s="40" t="str">
        <f aca="false">'Dash Feed'!$G$53</f>
        <v>Hip IR @ 90° (°)</v>
      </c>
      <c r="D44" s="40"/>
      <c r="E44" s="36" t="str">
        <f aca="false">'Dash Feed'!$H$53</f>
        <v/>
      </c>
      <c r="F44" s="36" t="str">
        <f aca="false">'Dash Feed'!$I$53</f>
        <v/>
      </c>
      <c r="G44" s="41" t="str">
        <f aca="false">'Dash Feed'!$J$53</f>
        <v/>
      </c>
      <c r="H44" s="36" t="str">
        <f aca="false">'Dash Feed'!$K$53</f>
        <v/>
      </c>
      <c r="I44" s="42" t="str">
        <f aca="false">'Dash Feed'!$L$53</f>
        <v/>
      </c>
      <c r="K44" s="43" t="s">
        <v>61</v>
      </c>
      <c r="L44" s="44" t="n">
        <f aca="false">IF(COUNT(GPS!C$20:C$71)=0,"",MAX(GPS!C$20:C$71))</f>
        <v>10470</v>
      </c>
      <c r="M44" s="44" t="n">
        <f aca="false">IF(COUNT(GPS!D$20:D$71)=0,"",MAX(GPS!D$20:D$71))</f>
        <v>475</v>
      </c>
      <c r="N44" s="44" t="n">
        <f aca="false">IF(COUNT(GPS!E$20:E$71)=0,"",MAX(GPS!E$20:E$71))</f>
        <v>125</v>
      </c>
      <c r="O44" s="44" t="n">
        <f aca="false">IF(COUNT(GPS!F$20:F$71)=0,"",MAX(GPS!F$20:F$71))</f>
        <v>47</v>
      </c>
      <c r="P44" s="44" t="n">
        <f aca="false">IF(COUNT(GPS!G$20:G$71)=0,"",MAX(GPS!G$20:G$71))</f>
        <v>42</v>
      </c>
      <c r="Q44" s="45" t="n">
        <f aca="false">IF(COUNT(GPS!H$20:H$71)=0,"",MAX(GPS!H$20:H$71))</f>
        <v>7.9</v>
      </c>
    </row>
    <row r="45" customFormat="false" ht="15" hidden="false" customHeight="true" outlineLevel="0" collapsed="false">
      <c r="A45" s="25" t="n">
        <f aca="false">IF('Dash Feed'!$D$54,1,0)</f>
        <v>0</v>
      </c>
      <c r="B45" s="39" t="str">
        <f aca="false">'Dash Feed'!$F$54</f>
        <v/>
      </c>
      <c r="C45" s="40" t="str">
        <f aca="false">'Dash Feed'!$G$54</f>
        <v>Hip ER @ 90° (°)</v>
      </c>
      <c r="D45" s="40"/>
      <c r="E45" s="36" t="str">
        <f aca="false">'Dash Feed'!$H$54</f>
        <v/>
      </c>
      <c r="F45" s="36" t="str">
        <f aca="false">'Dash Feed'!$I$54</f>
        <v/>
      </c>
      <c r="G45" s="41" t="str">
        <f aca="false">'Dash Feed'!$J$54</f>
        <v/>
      </c>
      <c r="H45" s="36" t="str">
        <f aca="false">'Dash Feed'!$K$54</f>
        <v/>
      </c>
      <c r="I45" s="42" t="str">
        <f aca="false">'Dash Feed'!$L$54</f>
        <v/>
      </c>
      <c r="K45" s="17" t="s">
        <v>62</v>
      </c>
      <c r="L45" s="17"/>
      <c r="M45" s="17"/>
      <c r="N45" s="17"/>
      <c r="O45" s="17"/>
      <c r="P45" s="17"/>
      <c r="Q45" s="17"/>
    </row>
    <row r="46" customFormat="false" ht="15" hidden="false" customHeight="true" outlineLevel="0" collapsed="false">
      <c r="A46" s="25" t="n">
        <f aca="false">IF('Dash Feed'!$D$55,1,0)</f>
        <v>0</v>
      </c>
      <c r="B46" s="39" t="str">
        <f aca="false">'Dash Feed'!$F$55</f>
        <v/>
      </c>
      <c r="C46" s="40" t="str">
        <f aca="false">'Dash Feed'!$G$55</f>
        <v>Active Abduction (°)</v>
      </c>
      <c r="D46" s="40"/>
      <c r="E46" s="36" t="str">
        <f aca="false">'Dash Feed'!$H$55</f>
        <v/>
      </c>
      <c r="F46" s="36" t="str">
        <f aca="false">'Dash Feed'!$I$55</f>
        <v/>
      </c>
      <c r="G46" s="41" t="str">
        <f aca="false">'Dash Feed'!$J$55</f>
        <v/>
      </c>
      <c r="H46" s="36" t="str">
        <f aca="false">'Dash Feed'!$K$55</f>
        <v/>
      </c>
      <c r="I46" s="42" t="str">
        <f aca="false">'Dash Feed'!$L$55</f>
        <v/>
      </c>
    </row>
    <row r="47" customFormat="false" ht="15" hidden="false" customHeight="true" outlineLevel="0" collapsed="false">
      <c r="A47" s="25" t="n">
        <f aca="false">IF('Dash Feed'!$D$56,1,0)</f>
        <v>0</v>
      </c>
      <c r="B47" s="39" t="str">
        <f aca="false">'Dash Feed'!$F$56</f>
        <v/>
      </c>
      <c r="C47" s="40" t="str">
        <f aca="false">'Dash Feed'!$G$56</f>
        <v>Passive Abduction (°)</v>
      </c>
      <c r="D47" s="40"/>
      <c r="E47" s="36" t="str">
        <f aca="false">'Dash Feed'!$H$56</f>
        <v/>
      </c>
      <c r="F47" s="36" t="str">
        <f aca="false">'Dash Feed'!$I$56</f>
        <v/>
      </c>
      <c r="G47" s="41" t="str">
        <f aca="false">'Dash Feed'!$J$56</f>
        <v/>
      </c>
      <c r="H47" s="36" t="str">
        <f aca="false">'Dash Feed'!$K$56</f>
        <v/>
      </c>
      <c r="I47" s="42" t="str">
        <f aca="false">'Dash Feed'!$L$56</f>
        <v/>
      </c>
    </row>
    <row r="48" customFormat="false" ht="15" hidden="false" customHeight="true" outlineLevel="0" collapsed="false">
      <c r="A48" s="25" t="n">
        <f aca="false">IF('Dash Feed'!$D$57,1,0)</f>
        <v>0</v>
      </c>
      <c r="B48" s="39" t="str">
        <f aca="false">'Dash Feed'!$F$57</f>
        <v>Strength</v>
      </c>
      <c r="C48" s="40" t="str">
        <f aca="false">'Dash Feed'!$G$57</f>
        <v>Hip Flexion @ 90° (kg)</v>
      </c>
      <c r="D48" s="40"/>
      <c r="E48" s="36" t="n">
        <f aca="false">'Dash Feed'!$H$57</f>
        <v>22.6</v>
      </c>
      <c r="F48" s="36" t="n">
        <f aca="false">'Dash Feed'!$I$57</f>
        <v>24.3</v>
      </c>
      <c r="G48" s="41" t="n">
        <f aca="false">'Dash Feed'!$J$57</f>
        <v>0.930041152263375</v>
      </c>
      <c r="H48" s="36" t="str">
        <f aca="false">'Dash Feed'!$K$57</f>
        <v>+9 pts</v>
      </c>
      <c r="I48" s="42" t="n">
        <f aca="false">'Dash Feed'!$L$57</f>
        <v>46314</v>
      </c>
    </row>
    <row r="49" customFormat="false" ht="15" hidden="false" customHeight="true" outlineLevel="0" collapsed="false">
      <c r="A49" s="25" t="n">
        <f aca="false">IF('Dash Feed'!$D$58,1,0)</f>
        <v>0</v>
      </c>
      <c r="B49" s="39" t="str">
        <f aca="false">'Dash Feed'!$F$58</f>
        <v/>
      </c>
      <c r="C49" s="40" t="str">
        <f aca="false">'Dash Feed'!$G$58</f>
        <v>Hip Extension (kg)</v>
      </c>
      <c r="D49" s="40"/>
      <c r="E49" s="36" t="n">
        <f aca="false">'Dash Feed'!$H$58</f>
        <v>30.4</v>
      </c>
      <c r="F49" s="36" t="n">
        <f aca="false">'Dash Feed'!$I$58</f>
        <v>31.2</v>
      </c>
      <c r="G49" s="41" t="n">
        <f aca="false">'Dash Feed'!$J$58</f>
        <v>0.974358974358974</v>
      </c>
      <c r="H49" s="36" t="str">
        <f aca="false">'Dash Feed'!$K$58</f>
        <v>+4 pts</v>
      </c>
      <c r="I49" s="42" t="n">
        <f aca="false">'Dash Feed'!$L$58</f>
        <v>46314</v>
      </c>
    </row>
    <row r="50" customFormat="false" ht="15" hidden="false" customHeight="true" outlineLevel="0" collapsed="false">
      <c r="A50" s="25" t="n">
        <f aca="false">IF('Dash Feed'!$D$59,1,0)</f>
        <v>0</v>
      </c>
      <c r="B50" s="39" t="str">
        <f aca="false">'Dash Feed'!$F$59</f>
        <v/>
      </c>
      <c r="C50" s="40" t="str">
        <f aca="false">'Dash Feed'!$G$59</f>
        <v>Hip IR @ 90° (kg)</v>
      </c>
      <c r="D50" s="40"/>
      <c r="E50" s="36" t="n">
        <f aca="false">'Dash Feed'!$H$59</f>
        <v>12.1</v>
      </c>
      <c r="F50" s="36" t="n">
        <f aca="false">'Dash Feed'!$I$59</f>
        <v>12.9</v>
      </c>
      <c r="G50" s="41" t="n">
        <f aca="false">'Dash Feed'!$J$59</f>
        <v>0.937984496124031</v>
      </c>
      <c r="H50" s="36" t="str">
        <f aca="false">'Dash Feed'!$K$59</f>
        <v>+6 pts</v>
      </c>
      <c r="I50" s="42" t="n">
        <f aca="false">'Dash Feed'!$L$59</f>
        <v>46314</v>
      </c>
    </row>
    <row r="51" customFormat="false" ht="15" hidden="false" customHeight="true" outlineLevel="0" collapsed="false">
      <c r="A51" s="25" t="n">
        <f aca="false">IF('Dash Feed'!$D$60,1,0)</f>
        <v>0</v>
      </c>
      <c r="B51" s="39" t="str">
        <f aca="false">'Dash Feed'!$F$60</f>
        <v/>
      </c>
      <c r="C51" s="40" t="str">
        <f aca="false">'Dash Feed'!$G$60</f>
        <v>Hip ER @ 90° (kg)</v>
      </c>
      <c r="D51" s="40"/>
      <c r="E51" s="36" t="n">
        <f aca="false">'Dash Feed'!$H$60</f>
        <v>13.4</v>
      </c>
      <c r="F51" s="36" t="n">
        <f aca="false">'Dash Feed'!$I$60</f>
        <v>13.2</v>
      </c>
      <c r="G51" s="41" t="n">
        <f aca="false">'Dash Feed'!$J$60</f>
        <v>1.01515151515152</v>
      </c>
      <c r="H51" s="36" t="str">
        <f aca="false">'Dash Feed'!$K$60</f>
        <v>+2 pts</v>
      </c>
      <c r="I51" s="42" t="n">
        <f aca="false">'Dash Feed'!$L$60</f>
        <v>46314</v>
      </c>
    </row>
    <row r="52" customFormat="false" ht="15" hidden="false" customHeight="true" outlineLevel="0" collapsed="false">
      <c r="A52" s="25" t="n">
        <f aca="false">IF('Dash Feed'!$D$61,1,0)</f>
        <v>0</v>
      </c>
      <c r="B52" s="39" t="str">
        <f aca="false">'Dash Feed'!$F$61</f>
        <v/>
      </c>
      <c r="C52" s="40" t="str">
        <f aca="false">'Dash Feed'!$G$61</f>
        <v>Adduction @ 30° (kg)</v>
      </c>
      <c r="D52" s="40"/>
      <c r="E52" s="36" t="n">
        <f aca="false">'Dash Feed'!$H$61</f>
        <v>28.1</v>
      </c>
      <c r="F52" s="36" t="n">
        <f aca="false">'Dash Feed'!$I$61</f>
        <v>30.4</v>
      </c>
      <c r="G52" s="41" t="n">
        <f aca="false">'Dash Feed'!$J$61</f>
        <v>0.924342105263158</v>
      </c>
      <c r="H52" s="36" t="str">
        <f aca="false">'Dash Feed'!$K$61</f>
        <v>+7 pts</v>
      </c>
      <c r="I52" s="42" t="n">
        <f aca="false">'Dash Feed'!$L$61</f>
        <v>46314</v>
      </c>
    </row>
    <row r="53" customFormat="false" ht="15" hidden="false" customHeight="true" outlineLevel="0" collapsed="false">
      <c r="A53" s="25" t="n">
        <f aca="false">IF('Dash Feed'!$D$62,1,0)</f>
        <v>0</v>
      </c>
      <c r="B53" s="39" t="str">
        <f aca="false">'Dash Feed'!$F$62</f>
        <v/>
      </c>
      <c r="C53" s="40" t="str">
        <f aca="false">'Dash Feed'!$G$62</f>
        <v>Abduction @ 30° (kg)</v>
      </c>
      <c r="D53" s="40"/>
      <c r="E53" s="36" t="n">
        <f aca="false">'Dash Feed'!$H$62</f>
        <v>25.8</v>
      </c>
      <c r="F53" s="36" t="n">
        <f aca="false">'Dash Feed'!$I$62</f>
        <v>27.6</v>
      </c>
      <c r="G53" s="41" t="n">
        <f aca="false">'Dash Feed'!$J$62</f>
        <v>0.934782608695652</v>
      </c>
      <c r="H53" s="36" t="str">
        <f aca="false">'Dash Feed'!$K$62</f>
        <v>+6 pts</v>
      </c>
      <c r="I53" s="42" t="n">
        <f aca="false">'Dash Feed'!$L$62</f>
        <v>46314</v>
      </c>
    </row>
    <row r="54" customFormat="false" ht="15" hidden="false" customHeight="true" outlineLevel="0" collapsed="false">
      <c r="A54" s="25" t="n">
        <f aca="false">IF('Dash Feed'!$D$63,1,0)</f>
        <v>0</v>
      </c>
      <c r="B54" s="39" t="str">
        <f aca="false">'Dash Feed'!$F$63</f>
        <v/>
      </c>
      <c r="C54" s="40" t="str">
        <f aca="false">'Dash Feed'!$G$63</f>
        <v>Hip Flexion @ 60° (kg)</v>
      </c>
      <c r="D54" s="40"/>
      <c r="E54" s="36" t="n">
        <f aca="false">'Dash Feed'!$H$63</f>
        <v>20.5</v>
      </c>
      <c r="F54" s="36" t="n">
        <f aca="false">'Dash Feed'!$I$63</f>
        <v>22</v>
      </c>
      <c r="G54" s="41" t="n">
        <f aca="false">'Dash Feed'!$J$63</f>
        <v>0.931818181818182</v>
      </c>
      <c r="H54" s="36" t="str">
        <f aca="false">'Dash Feed'!$K$63</f>
        <v>+8 pts</v>
      </c>
      <c r="I54" s="42" t="n">
        <f aca="false">'Dash Feed'!$L$63</f>
        <v>46314</v>
      </c>
    </row>
    <row r="55" customFormat="false" ht="15" hidden="false" customHeight="true" outlineLevel="0" collapsed="false">
      <c r="A55" s="25" t="n">
        <f aca="false">IF('Dash Feed'!$D$64,1,0)</f>
        <v>0</v>
      </c>
      <c r="B55" s="39" t="str">
        <f aca="false">'Dash Feed'!$F$64</f>
        <v>Jump / Power</v>
      </c>
      <c r="C55" s="40" t="str">
        <f aca="false">'Dash Feed'!$G$64</f>
        <v>DL CMJ Height (cm)</v>
      </c>
      <c r="D55" s="40"/>
      <c r="E55" s="36" t="str">
        <f aca="false">'Dash Feed'!$H$64</f>
        <v/>
      </c>
      <c r="F55" s="36" t="str">
        <f aca="false">'Dash Feed'!$I$64</f>
        <v/>
      </c>
      <c r="G55" s="41" t="str">
        <f aca="false">'Dash Feed'!$J$64</f>
        <v/>
      </c>
      <c r="H55" s="36" t="str">
        <f aca="false">'Dash Feed'!$K$64</f>
        <v/>
      </c>
      <c r="I55" s="42" t="str">
        <f aca="false">'Dash Feed'!$L$64</f>
        <v/>
      </c>
    </row>
    <row r="56" customFormat="false" ht="15" hidden="false" customHeight="true" outlineLevel="0" collapsed="false">
      <c r="A56" s="25" t="n">
        <f aca="false">IF('Dash Feed'!$D$65,1,0)</f>
        <v>0</v>
      </c>
      <c r="B56" s="39" t="str">
        <f aca="false">'Dash Feed'!$F$65</f>
        <v/>
      </c>
      <c r="C56" s="40" t="str">
        <f aca="false">'Dash Feed'!$G$65</f>
        <v>SL CMJ Height (cm)</v>
      </c>
      <c r="D56" s="40"/>
      <c r="E56" s="36" t="str">
        <f aca="false">'Dash Feed'!$H$65</f>
        <v/>
      </c>
      <c r="F56" s="36" t="str">
        <f aca="false">'Dash Feed'!$I$65</f>
        <v/>
      </c>
      <c r="G56" s="41" t="str">
        <f aca="false">'Dash Feed'!$J$65</f>
        <v/>
      </c>
      <c r="H56" s="36" t="str">
        <f aca="false">'Dash Feed'!$K$65</f>
        <v/>
      </c>
      <c r="I56" s="42" t="str">
        <f aca="false">'Dash Feed'!$L$65</f>
        <v/>
      </c>
    </row>
    <row r="57" customFormat="false" ht="15" hidden="false" customHeight="true" outlineLevel="0" collapsed="false">
      <c r="A57" s="25" t="n">
        <f aca="false">IF('Dash Feed'!$D$66,1,0)</f>
        <v>0</v>
      </c>
      <c r="B57" s="39" t="str">
        <f aca="false">'Dash Feed'!$F$66</f>
        <v/>
      </c>
      <c r="C57" s="40" t="str">
        <f aca="false">'Dash Feed'!$G$66</f>
        <v>SL Hop Distance (cm)</v>
      </c>
      <c r="D57" s="40"/>
      <c r="E57" s="36" t="str">
        <f aca="false">'Dash Feed'!$H$66</f>
        <v/>
      </c>
      <c r="F57" s="36" t="str">
        <f aca="false">'Dash Feed'!$I$66</f>
        <v/>
      </c>
      <c r="G57" s="41" t="str">
        <f aca="false">'Dash Feed'!$J$66</f>
        <v/>
      </c>
      <c r="H57" s="36" t="str">
        <f aca="false">'Dash Feed'!$K$66</f>
        <v/>
      </c>
      <c r="I57" s="42" t="str">
        <f aca="false">'Dash Feed'!$L$66</f>
        <v/>
      </c>
    </row>
    <row r="58" customFormat="false" ht="15" hidden="false" customHeight="true" outlineLevel="0" collapsed="false">
      <c r="A58" s="25" t="n">
        <f aca="false">IF('Dash Feed'!$D$67,1,0)</f>
        <v>0</v>
      </c>
      <c r="B58" s="39" t="str">
        <f aca="false">'Dash Feed'!$F$67</f>
        <v/>
      </c>
      <c r="C58" s="40" t="str">
        <f aca="false">'Dash Feed'!$G$67</f>
        <v>Triple Hop Distance (cm)</v>
      </c>
      <c r="D58" s="40"/>
      <c r="E58" s="36" t="str">
        <f aca="false">'Dash Feed'!$H$67</f>
        <v/>
      </c>
      <c r="F58" s="36" t="str">
        <f aca="false">'Dash Feed'!$I$67</f>
        <v/>
      </c>
      <c r="G58" s="41" t="str">
        <f aca="false">'Dash Feed'!$J$67</f>
        <v/>
      </c>
      <c r="H58" s="36" t="str">
        <f aca="false">'Dash Feed'!$K$67</f>
        <v/>
      </c>
      <c r="I58" s="42" t="str">
        <f aca="false">'Dash Feed'!$L$67</f>
        <v/>
      </c>
    </row>
    <row r="59" customFormat="false" ht="15" hidden="false" customHeight="true" outlineLevel="0" collapsed="false">
      <c r="A59" s="25" t="n">
        <f aca="false">IF('Dash Feed'!$D$68,1,0)</f>
        <v>0</v>
      </c>
      <c r="B59" s="39" t="str">
        <f aca="false">'Dash Feed'!$F$68</f>
        <v/>
      </c>
      <c r="C59" s="40" t="str">
        <f aca="false">'Dash Feed'!$G$68</f>
        <v>Lateral Capacity</v>
      </c>
      <c r="D59" s="40"/>
      <c r="E59" s="36" t="str">
        <f aca="false">'Dash Feed'!$H$68</f>
        <v/>
      </c>
      <c r="F59" s="36" t="str">
        <f aca="false">'Dash Feed'!$I$68</f>
        <v/>
      </c>
      <c r="G59" s="41" t="str">
        <f aca="false">'Dash Feed'!$J$68</f>
        <v/>
      </c>
      <c r="H59" s="36" t="str">
        <f aca="false">'Dash Feed'!$K$68</f>
        <v/>
      </c>
      <c r="I59" s="42" t="str">
        <f aca="false">'Dash Feed'!$L$68</f>
        <v/>
      </c>
    </row>
    <row r="60" customFormat="false" ht="15" hidden="false" customHeight="true" outlineLevel="0" collapsed="false">
      <c r="A60" s="25" t="n">
        <f aca="false">IF('Dash Feed'!$D$69,1,0)</f>
        <v>0</v>
      </c>
      <c r="B60" s="39" t="str">
        <f aca="false">'Dash Feed'!$F$69</f>
        <v/>
      </c>
      <c r="C60" s="40" t="str">
        <f aca="false">'Dash Feed'!$G$69</f>
        <v>DL Drop Jump RSI</v>
      </c>
      <c r="D60" s="40"/>
      <c r="E60" s="36" t="str">
        <f aca="false">'Dash Feed'!$H$69</f>
        <v/>
      </c>
      <c r="F60" s="36" t="str">
        <f aca="false">'Dash Feed'!$I$69</f>
        <v/>
      </c>
      <c r="G60" s="41" t="str">
        <f aca="false">'Dash Feed'!$J$69</f>
        <v/>
      </c>
      <c r="H60" s="36" t="str">
        <f aca="false">'Dash Feed'!$K$69</f>
        <v/>
      </c>
      <c r="I60" s="42" t="str">
        <f aca="false">'Dash Feed'!$L$69</f>
        <v/>
      </c>
    </row>
    <row r="61" customFormat="false" ht="15" hidden="false" customHeight="true" outlineLevel="0" collapsed="false">
      <c r="A61" s="25" t="n">
        <f aca="false">IF('Dash Feed'!$D$70,1,0)</f>
        <v>0</v>
      </c>
      <c r="B61" s="39" t="str">
        <f aca="false">'Dash Feed'!$F$70</f>
        <v/>
      </c>
      <c r="C61" s="40" t="str">
        <f aca="false">'Dash Feed'!$G$70</f>
        <v>SL Drop Jump RSI</v>
      </c>
      <c r="D61" s="40"/>
      <c r="E61" s="36" t="str">
        <f aca="false">'Dash Feed'!$H$70</f>
        <v/>
      </c>
      <c r="F61" s="36" t="str">
        <f aca="false">'Dash Feed'!$I$70</f>
        <v/>
      </c>
      <c r="G61" s="41" t="str">
        <f aca="false">'Dash Feed'!$J$70</f>
        <v/>
      </c>
      <c r="H61" s="36" t="str">
        <f aca="false">'Dash Feed'!$K$70</f>
        <v/>
      </c>
      <c r="I61" s="42" t="str">
        <f aca="false">'Dash Feed'!$L$70</f>
        <v/>
      </c>
    </row>
    <row r="62" customFormat="false" ht="19.5" hidden="false" customHeight="true" outlineLevel="0" collapsed="false">
      <c r="A62" s="25" t="n">
        <f aca="false">IF('Dash Feed'!$D$71,1,0)</f>
        <v>0</v>
      </c>
      <c r="B62" s="39" t="str">
        <f aca="false">'Dash Feed'!$F$71</f>
        <v/>
      </c>
      <c r="C62" s="40" t="str">
        <f aca="false">'Dash Feed'!$G$71</f>
        <v>10-5 Repeated Hops RSI</v>
      </c>
      <c r="D62" s="40"/>
      <c r="E62" s="36" t="str">
        <f aca="false">'Dash Feed'!$H$71</f>
        <v/>
      </c>
      <c r="F62" s="36" t="str">
        <f aca="false">'Dash Feed'!$I$71</f>
        <v/>
      </c>
      <c r="G62" s="41" t="str">
        <f aca="false">'Dash Feed'!$J$71</f>
        <v/>
      </c>
      <c r="H62" s="36" t="str">
        <f aca="false">'Dash Feed'!$K$71</f>
        <v/>
      </c>
      <c r="I62" s="42" t="str">
        <f aca="false">'Dash Feed'!$L$71</f>
        <v/>
      </c>
      <c r="K62" s="18" t="str">
        <f aca="false">"Progression   ·   LSI by rehab week   ·   "&amp;'Dash Feed'!$B$10&amp;"   (target "&amp;TEXT($M$28,"0%")&amp;")"</f>
        <v>Progression   ·   LSI by rehab week   ·   Knee   (target 90%)</v>
      </c>
      <c r="L62" s="18"/>
      <c r="M62" s="18"/>
      <c r="N62" s="18"/>
      <c r="O62" s="18"/>
      <c r="P62" s="18"/>
      <c r="Q62" s="18"/>
    </row>
    <row r="63" customFormat="false" ht="15" hidden="false" customHeight="true" outlineLevel="0" collapsed="false">
      <c r="A63" s="25" t="n">
        <f aca="false">IF('Dash Feed'!$D$72,1,0)</f>
        <v>1</v>
      </c>
      <c r="B63" s="39" t="str">
        <f aca="false">'Dash Feed'!$F$72</f>
        <v>KNEE</v>
      </c>
      <c r="C63" s="40" t="str">
        <f aca="false">'Dash Feed'!$G$72</f>
        <v>3. Specific Loading  ·  2 / 6</v>
      </c>
      <c r="D63" s="40"/>
      <c r="E63" s="36" t="str">
        <f aca="false">'Dash Feed'!$H$72</f>
        <v/>
      </c>
      <c r="F63" s="36" t="str">
        <f aca="false">'Dash Feed'!$I$72</f>
        <v/>
      </c>
      <c r="G63" s="41" t="str">
        <f aca="false">'Dash Feed'!$J$72</f>
        <v/>
      </c>
      <c r="H63" s="36" t="str">
        <f aca="false">'Dash Feed'!$K$72</f>
        <v/>
      </c>
      <c r="I63" s="42" t="n">
        <f aca="false">'Dash Feed'!$L$72</f>
        <v>46307</v>
      </c>
    </row>
    <row r="64" customFormat="false" ht="15" hidden="false" customHeight="true" outlineLevel="0" collapsed="false">
      <c r="A64" s="25" t="n">
        <f aca="false">IF('Dash Feed'!$D$73,1,0)</f>
        <v>0</v>
      </c>
      <c r="B64" s="39" t="str">
        <f aca="false">'Dash Feed'!$F$73</f>
        <v>ROM</v>
      </c>
      <c r="C64" s="40" t="str">
        <f aca="false">'Dash Feed'!$G$73</f>
        <v>Knee Flexion (°)</v>
      </c>
      <c r="D64" s="40"/>
      <c r="E64" s="36" t="n">
        <f aca="false">'Dash Feed'!$H$73</f>
        <v>135</v>
      </c>
      <c r="F64" s="36" t="n">
        <f aca="false">'Dash Feed'!$I$73</f>
        <v>141</v>
      </c>
      <c r="G64" s="41" t="n">
        <f aca="false">'Dash Feed'!$J$73</f>
        <v>0.957446808510638</v>
      </c>
      <c r="H64" s="36" t="str">
        <f aca="false">'Dash Feed'!$K$73</f>
        <v>+11 pts</v>
      </c>
      <c r="I64" s="42" t="n">
        <f aca="false">'Dash Feed'!$L$73</f>
        <v>46286</v>
      </c>
    </row>
    <row r="65" customFormat="false" ht="15" hidden="false" customHeight="true" outlineLevel="0" collapsed="false">
      <c r="A65" s="25" t="n">
        <f aca="false">IF('Dash Feed'!$D$74,1,0)</f>
        <v>0</v>
      </c>
      <c r="B65" s="39" t="str">
        <f aca="false">'Dash Feed'!$F$74</f>
        <v/>
      </c>
      <c r="C65" s="40" t="str">
        <f aca="false">'Dash Feed'!$G$74</f>
        <v>Knee Extension (° hyperext = +)</v>
      </c>
      <c r="D65" s="40"/>
      <c r="E65" s="36" t="n">
        <f aca="false">'Dash Feed'!$H$74</f>
        <v>3</v>
      </c>
      <c r="F65" s="36" t="n">
        <f aca="false">'Dash Feed'!$I$74</f>
        <v>3</v>
      </c>
      <c r="G65" s="41" t="n">
        <f aca="false">'Dash Feed'!$J$74</f>
        <v>1</v>
      </c>
      <c r="H65" s="36" t="str">
        <f aca="false">'Dash Feed'!$K$74</f>
        <v>+33 pts</v>
      </c>
      <c r="I65" s="42" t="n">
        <f aca="false">'Dash Feed'!$L$74</f>
        <v>46286</v>
      </c>
    </row>
    <row r="66" customFormat="false" ht="15" hidden="false" customHeight="true" outlineLevel="0" collapsed="false">
      <c r="A66" s="25" t="n">
        <f aca="false">IF('Dash Feed'!$D$75,1,0)</f>
        <v>0</v>
      </c>
      <c r="B66" s="39" t="str">
        <f aca="false">'Dash Feed'!$F$75</f>
        <v/>
      </c>
      <c r="C66" s="40" t="str">
        <f aca="false">'Dash Feed'!$G$75</f>
        <v>Ankle DF Knee-to-Wall (cm)</v>
      </c>
      <c r="D66" s="40"/>
      <c r="E66" s="36" t="n">
        <f aca="false">'Dash Feed'!$H$75</f>
        <v>11</v>
      </c>
      <c r="F66" s="36" t="n">
        <f aca="false">'Dash Feed'!$I$75</f>
        <v>12</v>
      </c>
      <c r="G66" s="41" t="n">
        <f aca="false">'Dash Feed'!$J$75</f>
        <v>0.916666666666667</v>
      </c>
      <c r="H66" s="36" t="str">
        <f aca="false">'Dash Feed'!$K$75</f>
        <v>+13 pts</v>
      </c>
      <c r="I66" s="42" t="n">
        <f aca="false">'Dash Feed'!$L$75</f>
        <v>46286</v>
      </c>
    </row>
    <row r="67" customFormat="false" ht="15" hidden="false" customHeight="true" outlineLevel="0" collapsed="false">
      <c r="A67" s="25" t="n">
        <f aca="false">IF('Dash Feed'!$D$76,1,0)</f>
        <v>0</v>
      </c>
      <c r="B67" s="39" t="str">
        <f aca="false">'Dash Feed'!$F$76</f>
        <v/>
      </c>
      <c r="C67" s="40" t="str">
        <f aca="false">'Dash Feed'!$G$76</f>
        <v>Thigh Circumference 10 cm (cm)</v>
      </c>
      <c r="D67" s="40"/>
      <c r="E67" s="36" t="n">
        <f aca="false">'Dash Feed'!$H$76</f>
        <v>45.5</v>
      </c>
      <c r="F67" s="36" t="n">
        <f aca="false">'Dash Feed'!$I$76</f>
        <v>47</v>
      </c>
      <c r="G67" s="41" t="n">
        <f aca="false">'Dash Feed'!$J$76</f>
        <v>0.968085106382979</v>
      </c>
      <c r="H67" s="36" t="str">
        <f aca="false">'Dash Feed'!$K$76</f>
        <v>+2 pts</v>
      </c>
      <c r="I67" s="42" t="n">
        <f aca="false">'Dash Feed'!$L$76</f>
        <v>46286</v>
      </c>
    </row>
    <row r="68" customFormat="false" ht="15" hidden="false" customHeight="true" outlineLevel="0" collapsed="false">
      <c r="A68" s="25" t="n">
        <f aca="false">IF('Dash Feed'!$D$77,1,0)</f>
        <v>0</v>
      </c>
      <c r="B68" s="39" t="str">
        <f aca="false">'Dash Feed'!$F$77</f>
        <v>Strength</v>
      </c>
      <c r="C68" s="40" t="str">
        <f aca="false">'Dash Feed'!$G$77</f>
        <v>Quadriceps Iso (N)</v>
      </c>
      <c r="D68" s="40"/>
      <c r="E68" s="36" t="n">
        <f aca="false">'Dash Feed'!$H$77</f>
        <v>395</v>
      </c>
      <c r="F68" s="36" t="n">
        <f aca="false">'Dash Feed'!$I$77</f>
        <v>490</v>
      </c>
      <c r="G68" s="41" t="n">
        <f aca="false">'Dash Feed'!$J$77</f>
        <v>0.806122448979592</v>
      </c>
      <c r="H68" s="36" t="str">
        <f aca="false">'Dash Feed'!$K$77</f>
        <v>+16 pts</v>
      </c>
      <c r="I68" s="42" t="n">
        <f aca="false">'Dash Feed'!$L$77</f>
        <v>46307</v>
      </c>
    </row>
    <row r="69" customFormat="false" ht="15" hidden="false" customHeight="true" outlineLevel="0" collapsed="false">
      <c r="A69" s="25" t="n">
        <f aca="false">IF('Dash Feed'!$D$78,1,0)</f>
        <v>0</v>
      </c>
      <c r="B69" s="39" t="str">
        <f aca="false">'Dash Feed'!$F$78</f>
        <v/>
      </c>
      <c r="C69" s="40" t="str">
        <f aca="false">'Dash Feed'!$G$78</f>
        <v>Hamstrings Iso / NordBord (N)</v>
      </c>
      <c r="D69" s="40"/>
      <c r="E69" s="36" t="n">
        <f aca="false">'Dash Feed'!$H$78</f>
        <v>281</v>
      </c>
      <c r="F69" s="36" t="n">
        <f aca="false">'Dash Feed'!$I$78</f>
        <v>305</v>
      </c>
      <c r="G69" s="41" t="n">
        <f aca="false">'Dash Feed'!$J$78</f>
        <v>0.921311475409836</v>
      </c>
      <c r="H69" s="36" t="str">
        <f aca="false">'Dash Feed'!$K$78</f>
        <v>+7 pts</v>
      </c>
      <c r="I69" s="42" t="n">
        <f aca="false">'Dash Feed'!$L$78</f>
        <v>46307</v>
      </c>
    </row>
    <row r="70" customFormat="false" ht="15" hidden="false" customHeight="true" outlineLevel="0" collapsed="false">
      <c r="A70" s="25" t="n">
        <f aca="false">IF('Dash Feed'!$D$79,1,0)</f>
        <v>0</v>
      </c>
      <c r="B70" s="39" t="str">
        <f aca="false">'Dash Feed'!$F$79</f>
        <v/>
      </c>
      <c r="C70" s="40" t="str">
        <f aca="false">'Dash Feed'!$G$79</f>
        <v>Calf Iso (N)</v>
      </c>
      <c r="D70" s="40"/>
      <c r="E70" s="36" t="n">
        <f aca="false">'Dash Feed'!$H$79</f>
        <v>1380</v>
      </c>
      <c r="F70" s="36" t="n">
        <f aca="false">'Dash Feed'!$I$79</f>
        <v>1520</v>
      </c>
      <c r="G70" s="41" t="n">
        <f aca="false">'Dash Feed'!$J$79</f>
        <v>0.907894736842105</v>
      </c>
      <c r="H70" s="36" t="str">
        <f aca="false">'Dash Feed'!$K$79</f>
        <v>+10 pts</v>
      </c>
      <c r="I70" s="42" t="n">
        <f aca="false">'Dash Feed'!$L$79</f>
        <v>46307</v>
      </c>
    </row>
    <row r="71" customFormat="false" ht="15" hidden="false" customHeight="true" outlineLevel="0" collapsed="false">
      <c r="A71" s="25" t="n">
        <f aca="false">IF('Dash Feed'!$D$80,1,0)</f>
        <v>0</v>
      </c>
      <c r="B71" s="39" t="str">
        <f aca="false">'Dash Feed'!$F$80</f>
        <v/>
      </c>
      <c r="C71" s="40" t="str">
        <f aca="false">'Dash Feed'!$G$80</f>
        <v>Iso Hip Abduction (N)</v>
      </c>
      <c r="D71" s="40"/>
      <c r="E71" s="36" t="n">
        <f aca="false">'Dash Feed'!$H$80</f>
        <v>272</v>
      </c>
      <c r="F71" s="36" t="n">
        <f aca="false">'Dash Feed'!$I$80</f>
        <v>285</v>
      </c>
      <c r="G71" s="41" t="n">
        <f aca="false">'Dash Feed'!$J$80</f>
        <v>0.954385964912281</v>
      </c>
      <c r="H71" s="36" t="str">
        <f aca="false">'Dash Feed'!$K$80</f>
        <v>+3 pts</v>
      </c>
      <c r="I71" s="42" t="n">
        <f aca="false">'Dash Feed'!$L$80</f>
        <v>46307</v>
      </c>
    </row>
    <row r="72" customFormat="false" ht="15" hidden="false" customHeight="true" outlineLevel="0" collapsed="false">
      <c r="A72" s="25" t="n">
        <f aca="false">IF('Dash Feed'!$D$81,1,0)</f>
        <v>0</v>
      </c>
      <c r="B72" s="39" t="str">
        <f aca="false">'Dash Feed'!$F$81</f>
        <v>Jump / Power</v>
      </c>
      <c r="C72" s="40" t="str">
        <f aca="false">'Dash Feed'!$G$81</f>
        <v>DL CMJ Height (cm)</v>
      </c>
      <c r="D72" s="40"/>
      <c r="E72" s="36" t="n">
        <f aca="false">'Dash Feed'!$H$81</f>
        <v>27.5</v>
      </c>
      <c r="F72" s="36" t="str">
        <f aca="false">'Dash Feed'!$I$81</f>
        <v/>
      </c>
      <c r="G72" s="41" t="str">
        <f aca="false">'Dash Feed'!$J$81</f>
        <v/>
      </c>
      <c r="H72" s="36" t="str">
        <f aca="false">'Dash Feed'!$K$81</f>
        <v/>
      </c>
      <c r="I72" s="42" t="n">
        <f aca="false">'Dash Feed'!$L$81</f>
        <v>46307</v>
      </c>
    </row>
    <row r="73" customFormat="false" ht="15" hidden="false" customHeight="true" outlineLevel="0" collapsed="false">
      <c r="A73" s="25" t="n">
        <f aca="false">IF('Dash Feed'!$D$82,1,0)</f>
        <v>0</v>
      </c>
      <c r="B73" s="39" t="str">
        <f aca="false">'Dash Feed'!$F$82</f>
        <v/>
      </c>
      <c r="C73" s="40" t="str">
        <f aca="false">'Dash Feed'!$G$82</f>
        <v>SL CMJ Height (cm)</v>
      </c>
      <c r="D73" s="40"/>
      <c r="E73" s="36" t="n">
        <f aca="false">'Dash Feed'!$H$82</f>
        <v>14.2</v>
      </c>
      <c r="F73" s="36" t="n">
        <f aca="false">'Dash Feed'!$I$82</f>
        <v>19</v>
      </c>
      <c r="G73" s="41" t="n">
        <f aca="false">'Dash Feed'!$J$82</f>
        <v>0.747368421052632</v>
      </c>
      <c r="H73" s="36" t="str">
        <f aca="false">'Dash Feed'!$K$82</f>
        <v/>
      </c>
      <c r="I73" s="42" t="n">
        <f aca="false">'Dash Feed'!$L$82</f>
        <v>46307</v>
      </c>
    </row>
    <row r="74" customFormat="false" ht="15" hidden="false" customHeight="true" outlineLevel="0" collapsed="false">
      <c r="A74" s="25" t="n">
        <f aca="false">IF('Dash Feed'!$D$83,1,0)</f>
        <v>0</v>
      </c>
      <c r="B74" s="39" t="str">
        <f aca="false">'Dash Feed'!$F$83</f>
        <v/>
      </c>
      <c r="C74" s="40" t="str">
        <f aca="false">'Dash Feed'!$G$83</f>
        <v>SL Hop Distance (cm)</v>
      </c>
      <c r="D74" s="40"/>
      <c r="E74" s="36" t="n">
        <f aca="false">'Dash Feed'!$H$83</f>
        <v>128</v>
      </c>
      <c r="F74" s="36" t="n">
        <f aca="false">'Dash Feed'!$I$83</f>
        <v>160</v>
      </c>
      <c r="G74" s="41" t="n">
        <f aca="false">'Dash Feed'!$J$83</f>
        <v>0.8</v>
      </c>
      <c r="H74" s="36" t="str">
        <f aca="false">'Dash Feed'!$K$83</f>
        <v/>
      </c>
      <c r="I74" s="42" t="n">
        <f aca="false">'Dash Feed'!$L$83</f>
        <v>46307</v>
      </c>
    </row>
    <row r="75" customFormat="false" ht="15" hidden="false" customHeight="true" outlineLevel="0" collapsed="false">
      <c r="A75" s="25" t="n">
        <f aca="false">IF('Dash Feed'!$D$84,1,0)</f>
        <v>0</v>
      </c>
      <c r="B75" s="39" t="str">
        <f aca="false">'Dash Feed'!$F$84</f>
        <v/>
      </c>
      <c r="C75" s="40" t="str">
        <f aca="false">'Dash Feed'!$G$84</f>
        <v>Triple Hop Distance (cm)</v>
      </c>
      <c r="D75" s="40"/>
      <c r="E75" s="36" t="str">
        <f aca="false">'Dash Feed'!$H$84</f>
        <v/>
      </c>
      <c r="F75" s="36" t="str">
        <f aca="false">'Dash Feed'!$I$84</f>
        <v/>
      </c>
      <c r="G75" s="41" t="str">
        <f aca="false">'Dash Feed'!$J$84</f>
        <v/>
      </c>
      <c r="H75" s="36" t="str">
        <f aca="false">'Dash Feed'!$K$84</f>
        <v/>
      </c>
      <c r="I75" s="42" t="str">
        <f aca="false">'Dash Feed'!$L$84</f>
        <v/>
      </c>
    </row>
    <row r="76" customFormat="false" ht="15" hidden="false" customHeight="true" outlineLevel="0" collapsed="false">
      <c r="A76" s="25" t="n">
        <f aca="false">IF('Dash Feed'!$D$85,1,0)</f>
        <v>0</v>
      </c>
      <c r="B76" s="39" t="str">
        <f aca="false">'Dash Feed'!$F$85</f>
        <v/>
      </c>
      <c r="C76" s="40" t="str">
        <f aca="false">'Dash Feed'!$G$85</f>
        <v>Lateral Capacity</v>
      </c>
      <c r="D76" s="40"/>
      <c r="E76" s="36" t="str">
        <f aca="false">'Dash Feed'!$H$85</f>
        <v/>
      </c>
      <c r="F76" s="36" t="str">
        <f aca="false">'Dash Feed'!$I$85</f>
        <v/>
      </c>
      <c r="G76" s="41" t="str">
        <f aca="false">'Dash Feed'!$J$85</f>
        <v/>
      </c>
      <c r="H76" s="36" t="str">
        <f aca="false">'Dash Feed'!$K$85</f>
        <v/>
      </c>
      <c r="I76" s="42" t="str">
        <f aca="false">'Dash Feed'!$L$85</f>
        <v/>
      </c>
    </row>
    <row r="77" customFormat="false" ht="15" hidden="false" customHeight="true" outlineLevel="0" collapsed="false">
      <c r="A77" s="25" t="n">
        <f aca="false">IF('Dash Feed'!$D$86,1,0)</f>
        <v>0</v>
      </c>
      <c r="B77" s="39" t="str">
        <f aca="false">'Dash Feed'!$F$86</f>
        <v/>
      </c>
      <c r="C77" s="40" t="str">
        <f aca="false">'Dash Feed'!$G$86</f>
        <v>DL Drop Jump RSI</v>
      </c>
      <c r="D77" s="40"/>
      <c r="E77" s="36" t="n">
        <f aca="false">'Dash Feed'!$H$86</f>
        <v>1.62</v>
      </c>
      <c r="F77" s="36" t="str">
        <f aca="false">'Dash Feed'!$I$86</f>
        <v/>
      </c>
      <c r="G77" s="41" t="str">
        <f aca="false">'Dash Feed'!$J$86</f>
        <v/>
      </c>
      <c r="H77" s="36" t="str">
        <f aca="false">'Dash Feed'!$K$86</f>
        <v/>
      </c>
      <c r="I77" s="42" t="n">
        <f aca="false">'Dash Feed'!$L$86</f>
        <v>46307</v>
      </c>
    </row>
    <row r="78" customFormat="false" ht="15" hidden="false" customHeight="true" outlineLevel="0" collapsed="false">
      <c r="A78" s="25" t="n">
        <f aca="false">IF('Dash Feed'!$D$87,1,0)</f>
        <v>0</v>
      </c>
      <c r="B78" s="39" t="str">
        <f aca="false">'Dash Feed'!$F$87</f>
        <v/>
      </c>
      <c r="C78" s="40" t="str">
        <f aca="false">'Dash Feed'!$G$87</f>
        <v>SL Drop Jump RSI</v>
      </c>
      <c r="D78" s="40"/>
      <c r="E78" s="36" t="str">
        <f aca="false">'Dash Feed'!$H$87</f>
        <v/>
      </c>
      <c r="F78" s="36" t="str">
        <f aca="false">'Dash Feed'!$I$87</f>
        <v/>
      </c>
      <c r="G78" s="41" t="str">
        <f aca="false">'Dash Feed'!$J$87</f>
        <v/>
      </c>
      <c r="H78" s="36" t="str">
        <f aca="false">'Dash Feed'!$K$87</f>
        <v/>
      </c>
      <c r="I78" s="42" t="str">
        <f aca="false">'Dash Feed'!$L$87</f>
        <v/>
      </c>
    </row>
    <row r="79" customFormat="false" ht="15" hidden="false" customHeight="true" outlineLevel="0" collapsed="false">
      <c r="A79" s="25" t="n">
        <f aca="false">IF('Dash Feed'!$D$88,1,0)</f>
        <v>0</v>
      </c>
      <c r="B79" s="39" t="str">
        <f aca="false">'Dash Feed'!$F$88</f>
        <v/>
      </c>
      <c r="C79" s="40" t="str">
        <f aca="false">'Dash Feed'!$G$88</f>
        <v>10-5 Repeated Hops RSI</v>
      </c>
      <c r="D79" s="40"/>
      <c r="E79" s="36" t="n">
        <f aca="false">'Dash Feed'!$H$88</f>
        <v>1.85</v>
      </c>
      <c r="F79" s="36" t="str">
        <f aca="false">'Dash Feed'!$I$88</f>
        <v/>
      </c>
      <c r="G79" s="41" t="str">
        <f aca="false">'Dash Feed'!$J$88</f>
        <v/>
      </c>
      <c r="H79" s="36" t="str">
        <f aca="false">'Dash Feed'!$K$88</f>
        <v/>
      </c>
      <c r="I79" s="42" t="n">
        <f aca="false">'Dash Feed'!$L$88</f>
        <v>46307</v>
      </c>
    </row>
    <row r="80" customFormat="false" ht="15" hidden="false" customHeight="true" outlineLevel="0" collapsed="false">
      <c r="A80" s="25" t="n">
        <f aca="false">IF('Dash Feed'!$D$89,1,0)</f>
        <v>0</v>
      </c>
      <c r="B80" s="39" t="str">
        <f aca="false">'Dash Feed'!$F$89</f>
        <v/>
      </c>
      <c r="C80" s="40" t="str">
        <f aca="false">'Dash Feed'!$G$89</f>
        <v/>
      </c>
      <c r="D80" s="40"/>
      <c r="E80" s="36" t="str">
        <f aca="false">'Dash Feed'!$H$89</f>
        <v/>
      </c>
      <c r="F80" s="36" t="str">
        <f aca="false">'Dash Feed'!$I$89</f>
        <v/>
      </c>
      <c r="G80" s="41" t="str">
        <f aca="false">'Dash Feed'!$J$89</f>
        <v/>
      </c>
      <c r="H80" s="36" t="str">
        <f aca="false">'Dash Feed'!$K$89</f>
        <v/>
      </c>
      <c r="I80" s="42" t="str">
        <f aca="false">'Dash Feed'!$L$89</f>
        <v/>
      </c>
    </row>
    <row r="81" customFormat="false" ht="15" hidden="false" customHeight="true" outlineLevel="0" collapsed="false">
      <c r="A81" s="25" t="n">
        <f aca="false">IF('Dash Feed'!$D$90,1,0)</f>
        <v>0</v>
      </c>
      <c r="B81" s="39" t="str">
        <f aca="false">'Dash Feed'!$F$90</f>
        <v/>
      </c>
      <c r="C81" s="40" t="str">
        <f aca="false">'Dash Feed'!$G$90</f>
        <v/>
      </c>
      <c r="D81" s="40"/>
      <c r="E81" s="36" t="str">
        <f aca="false">'Dash Feed'!$H$90</f>
        <v/>
      </c>
      <c r="F81" s="36" t="str">
        <f aca="false">'Dash Feed'!$I$90</f>
        <v/>
      </c>
      <c r="G81" s="41" t="str">
        <f aca="false">'Dash Feed'!$J$90</f>
        <v/>
      </c>
      <c r="H81" s="36" t="str">
        <f aca="false">'Dash Feed'!$K$90</f>
        <v/>
      </c>
      <c r="I81" s="42" t="str">
        <f aca="false">'Dash Feed'!$L$90</f>
        <v/>
      </c>
    </row>
    <row r="82" customFormat="false" ht="15" hidden="false" customHeight="true" outlineLevel="0" collapsed="false">
      <c r="A82" s="25" t="n">
        <f aca="false">IF('Dash Feed'!$D$91,1,0)</f>
        <v>0</v>
      </c>
      <c r="B82" s="39" t="str">
        <f aca="false">'Dash Feed'!$F$91</f>
        <v/>
      </c>
      <c r="C82" s="40" t="str">
        <f aca="false">'Dash Feed'!$G$91</f>
        <v/>
      </c>
      <c r="D82" s="40"/>
      <c r="E82" s="36" t="str">
        <f aca="false">'Dash Feed'!$H$91</f>
        <v/>
      </c>
      <c r="F82" s="36" t="str">
        <f aca="false">'Dash Feed'!$I$91</f>
        <v/>
      </c>
      <c r="G82" s="41" t="str">
        <f aca="false">'Dash Feed'!$J$91</f>
        <v/>
      </c>
      <c r="H82" s="36" t="str">
        <f aca="false">'Dash Feed'!$K$91</f>
        <v/>
      </c>
      <c r="I82" s="42" t="str">
        <f aca="false">'Dash Feed'!$L$91</f>
        <v/>
      </c>
    </row>
    <row r="83" customFormat="false" ht="15" hidden="false" customHeight="true" outlineLevel="0" collapsed="false">
      <c r="A83" s="25" t="n">
        <f aca="false">IF('Dash Feed'!$D$92,1,0)</f>
        <v>0</v>
      </c>
      <c r="B83" s="39" t="str">
        <f aca="false">'Dash Feed'!$F$92</f>
        <v/>
      </c>
      <c r="C83" s="40" t="str">
        <f aca="false">'Dash Feed'!$G$92</f>
        <v/>
      </c>
      <c r="D83" s="40"/>
      <c r="E83" s="36" t="str">
        <f aca="false">'Dash Feed'!$H$92</f>
        <v/>
      </c>
      <c r="F83" s="36" t="str">
        <f aca="false">'Dash Feed'!$I$92</f>
        <v/>
      </c>
      <c r="G83" s="41" t="str">
        <f aca="false">'Dash Feed'!$J$92</f>
        <v/>
      </c>
      <c r="H83" s="36" t="str">
        <f aca="false">'Dash Feed'!$K$92</f>
        <v/>
      </c>
      <c r="I83" s="42" t="str">
        <f aca="false">'Dash Feed'!$L$92</f>
        <v/>
      </c>
    </row>
    <row r="84" customFormat="false" ht="15" hidden="false" customHeight="true" outlineLevel="0" collapsed="false">
      <c r="A84" s="25" t="n">
        <f aca="false">IF('Dash Feed'!$D$93,1,0)</f>
        <v>0</v>
      </c>
      <c r="B84" s="39" t="str">
        <f aca="false">'Dash Feed'!$F$93</f>
        <v/>
      </c>
      <c r="C84" s="40" t="str">
        <f aca="false">'Dash Feed'!$G$93</f>
        <v/>
      </c>
      <c r="D84" s="40"/>
      <c r="E84" s="36" t="str">
        <f aca="false">'Dash Feed'!$H$93</f>
        <v/>
      </c>
      <c r="F84" s="36" t="str">
        <f aca="false">'Dash Feed'!$I$93</f>
        <v/>
      </c>
      <c r="G84" s="41" t="str">
        <f aca="false">'Dash Feed'!$J$93</f>
        <v/>
      </c>
      <c r="H84" s="36" t="str">
        <f aca="false">'Dash Feed'!$K$93</f>
        <v/>
      </c>
      <c r="I84" s="42" t="str">
        <f aca="false">'Dash Feed'!$L$93</f>
        <v/>
      </c>
    </row>
    <row r="85" customFormat="false" ht="15" hidden="false" customHeight="true" outlineLevel="0" collapsed="false">
      <c r="A85" s="25" t="n">
        <f aca="false">IF('Dash Feed'!$D$94,1,0)</f>
        <v>0</v>
      </c>
      <c r="B85" s="39" t="str">
        <f aca="false">'Dash Feed'!$F$94</f>
        <v/>
      </c>
      <c r="C85" s="40" t="str">
        <f aca="false">'Dash Feed'!$G$94</f>
        <v/>
      </c>
      <c r="D85" s="40"/>
      <c r="E85" s="36" t="str">
        <f aca="false">'Dash Feed'!$H$94</f>
        <v/>
      </c>
      <c r="F85" s="36" t="str">
        <f aca="false">'Dash Feed'!$I$94</f>
        <v/>
      </c>
      <c r="G85" s="41" t="str">
        <f aca="false">'Dash Feed'!$J$94</f>
        <v/>
      </c>
      <c r="H85" s="36" t="str">
        <f aca="false">'Dash Feed'!$K$94</f>
        <v/>
      </c>
      <c r="I85" s="42" t="str">
        <f aca="false">'Dash Feed'!$L$94</f>
        <v/>
      </c>
    </row>
    <row r="86" customFormat="false" ht="15" hidden="false" customHeight="true" outlineLevel="0" collapsed="false">
      <c r="A86" s="25" t="n">
        <f aca="false">IF('Dash Feed'!$D$95,1,0)</f>
        <v>0</v>
      </c>
      <c r="B86" s="39" t="str">
        <f aca="false">'Dash Feed'!$F$95</f>
        <v/>
      </c>
      <c r="C86" s="40" t="str">
        <f aca="false">'Dash Feed'!$G$95</f>
        <v/>
      </c>
      <c r="D86" s="40"/>
      <c r="E86" s="36" t="str">
        <f aca="false">'Dash Feed'!$H$95</f>
        <v/>
      </c>
      <c r="F86" s="36" t="str">
        <f aca="false">'Dash Feed'!$I$95</f>
        <v/>
      </c>
      <c r="G86" s="41" t="str">
        <f aca="false">'Dash Feed'!$J$95</f>
        <v/>
      </c>
      <c r="H86" s="36" t="str">
        <f aca="false">'Dash Feed'!$K$95</f>
        <v/>
      </c>
      <c r="I86" s="42" t="str">
        <f aca="false">'Dash Feed'!$L$95</f>
        <v/>
      </c>
    </row>
    <row r="87" customFormat="false" ht="15" hidden="false" customHeight="true" outlineLevel="0" collapsed="false">
      <c r="A87" s="25" t="n">
        <f aca="false">IF('Dash Feed'!$D$96,1,0)</f>
        <v>0</v>
      </c>
      <c r="B87" s="39" t="str">
        <f aca="false">'Dash Feed'!$F$96</f>
        <v/>
      </c>
      <c r="C87" s="40" t="str">
        <f aca="false">'Dash Feed'!$G$96</f>
        <v/>
      </c>
      <c r="D87" s="40"/>
      <c r="E87" s="36" t="str">
        <f aca="false">'Dash Feed'!$H$96</f>
        <v/>
      </c>
      <c r="F87" s="36" t="str">
        <f aca="false">'Dash Feed'!$I$96</f>
        <v/>
      </c>
      <c r="G87" s="41" t="str">
        <f aca="false">'Dash Feed'!$J$96</f>
        <v/>
      </c>
      <c r="H87" s="36" t="str">
        <f aca="false">'Dash Feed'!$K$96</f>
        <v/>
      </c>
      <c r="I87" s="42" t="str">
        <f aca="false">'Dash Feed'!$L$96</f>
        <v/>
      </c>
    </row>
    <row r="88" customFormat="false" ht="15" hidden="false" customHeight="true" outlineLevel="0" collapsed="false">
      <c r="A88" s="25" t="n">
        <f aca="false">IF('Dash Feed'!$D$97,1,0)</f>
        <v>0</v>
      </c>
      <c r="B88" s="39" t="str">
        <f aca="false">'Dash Feed'!$F$97</f>
        <v/>
      </c>
      <c r="C88" s="40" t="str">
        <f aca="false">'Dash Feed'!$G$97</f>
        <v/>
      </c>
      <c r="D88" s="40"/>
      <c r="E88" s="36" t="str">
        <f aca="false">'Dash Feed'!$H$97</f>
        <v/>
      </c>
      <c r="F88" s="36" t="str">
        <f aca="false">'Dash Feed'!$I$97</f>
        <v/>
      </c>
      <c r="G88" s="41" t="str">
        <f aca="false">'Dash Feed'!$J$97</f>
        <v/>
      </c>
      <c r="H88" s="36" t="str">
        <f aca="false">'Dash Feed'!$K$97</f>
        <v/>
      </c>
      <c r="I88" s="42" t="str">
        <f aca="false">'Dash Feed'!$L$97</f>
        <v/>
      </c>
    </row>
    <row r="89" customFormat="false" ht="15" hidden="false" customHeight="true" outlineLevel="0" collapsed="false">
      <c r="A89" s="25" t="n">
        <f aca="false">IF('Dash Feed'!$D$98,1,0)</f>
        <v>0</v>
      </c>
      <c r="B89" s="39" t="str">
        <f aca="false">'Dash Feed'!$F$98</f>
        <v/>
      </c>
      <c r="C89" s="40" t="str">
        <f aca="false">'Dash Feed'!$G$98</f>
        <v/>
      </c>
      <c r="D89" s="40"/>
      <c r="E89" s="36" t="str">
        <f aca="false">'Dash Feed'!$H$98</f>
        <v/>
      </c>
      <c r="F89" s="36" t="str">
        <f aca="false">'Dash Feed'!$I$98</f>
        <v/>
      </c>
      <c r="G89" s="41" t="str">
        <f aca="false">'Dash Feed'!$J$98</f>
        <v/>
      </c>
      <c r="H89" s="36" t="str">
        <f aca="false">'Dash Feed'!$K$98</f>
        <v/>
      </c>
      <c r="I89" s="42" t="str">
        <f aca="false">'Dash Feed'!$L$98</f>
        <v/>
      </c>
    </row>
    <row r="90" customFormat="false" ht="15" hidden="false" customHeight="true" outlineLevel="0" collapsed="false">
      <c r="A90" s="25" t="n">
        <f aca="false">IF('Dash Feed'!$D$99,1,0)</f>
        <v>0</v>
      </c>
      <c r="B90" s="39" t="str">
        <f aca="false">'Dash Feed'!$F$99</f>
        <v/>
      </c>
      <c r="C90" s="40" t="str">
        <f aca="false">'Dash Feed'!$G$99</f>
        <v/>
      </c>
      <c r="D90" s="40"/>
      <c r="E90" s="36" t="str">
        <f aca="false">'Dash Feed'!$H$99</f>
        <v/>
      </c>
      <c r="F90" s="36" t="str">
        <f aca="false">'Dash Feed'!$I$99</f>
        <v/>
      </c>
      <c r="G90" s="41" t="str">
        <f aca="false">'Dash Feed'!$J$99</f>
        <v/>
      </c>
      <c r="H90" s="36" t="str">
        <f aca="false">'Dash Feed'!$K$99</f>
        <v/>
      </c>
      <c r="I90" s="42" t="str">
        <f aca="false">'Dash Feed'!$L$99</f>
        <v/>
      </c>
    </row>
    <row r="91" customFormat="false" ht="15" hidden="false" customHeight="true" outlineLevel="0" collapsed="false">
      <c r="A91" s="25" t="n">
        <f aca="false">IF('Dash Feed'!$D$100,1,0)</f>
        <v>0</v>
      </c>
      <c r="B91" s="39" t="str">
        <f aca="false">'Dash Feed'!$F$100</f>
        <v/>
      </c>
      <c r="C91" s="40" t="str">
        <f aca="false">'Dash Feed'!$G$100</f>
        <v/>
      </c>
      <c r="D91" s="40"/>
      <c r="E91" s="36" t="str">
        <f aca="false">'Dash Feed'!$H$100</f>
        <v/>
      </c>
      <c r="F91" s="36" t="str">
        <f aca="false">'Dash Feed'!$I$100</f>
        <v/>
      </c>
      <c r="G91" s="41" t="str">
        <f aca="false">'Dash Feed'!$J$100</f>
        <v/>
      </c>
      <c r="H91" s="36" t="str">
        <f aca="false">'Dash Feed'!$K$100</f>
        <v/>
      </c>
      <c r="I91" s="42" t="str">
        <f aca="false">'Dash Feed'!$L$100</f>
        <v/>
      </c>
    </row>
    <row r="92" customFormat="false" ht="15" hidden="false" customHeight="true" outlineLevel="0" collapsed="false">
      <c r="A92" s="25" t="n">
        <f aca="false">IF('Dash Feed'!$D$101,1,0)</f>
        <v>0</v>
      </c>
      <c r="B92" s="39" t="str">
        <f aca="false">'Dash Feed'!$F$101</f>
        <v/>
      </c>
      <c r="C92" s="40" t="str">
        <f aca="false">'Dash Feed'!$G$101</f>
        <v/>
      </c>
      <c r="D92" s="40"/>
      <c r="E92" s="36" t="str">
        <f aca="false">'Dash Feed'!$H$101</f>
        <v/>
      </c>
      <c r="F92" s="36" t="str">
        <f aca="false">'Dash Feed'!$I$101</f>
        <v/>
      </c>
      <c r="G92" s="41" t="str">
        <f aca="false">'Dash Feed'!$J$101</f>
        <v/>
      </c>
      <c r="H92" s="36" t="str">
        <f aca="false">'Dash Feed'!$K$101</f>
        <v/>
      </c>
      <c r="I92" s="42" t="str">
        <f aca="false">'Dash Feed'!$L$101</f>
        <v/>
      </c>
    </row>
    <row r="93" customFormat="false" ht="15" hidden="false" customHeight="true" outlineLevel="0" collapsed="false">
      <c r="A93" s="25" t="n">
        <f aca="false">IF('Dash Feed'!$D$102,1,0)</f>
        <v>0</v>
      </c>
      <c r="B93" s="39" t="str">
        <f aca="false">'Dash Feed'!$F$102</f>
        <v/>
      </c>
      <c r="C93" s="40" t="str">
        <f aca="false">'Dash Feed'!$G$102</f>
        <v/>
      </c>
      <c r="D93" s="40"/>
      <c r="E93" s="36" t="str">
        <f aca="false">'Dash Feed'!$H$102</f>
        <v/>
      </c>
      <c r="F93" s="36" t="str">
        <f aca="false">'Dash Feed'!$I$102</f>
        <v/>
      </c>
      <c r="G93" s="41" t="str">
        <f aca="false">'Dash Feed'!$J$102</f>
        <v/>
      </c>
      <c r="H93" s="36" t="str">
        <f aca="false">'Dash Feed'!$K$102</f>
        <v/>
      </c>
      <c r="I93" s="42" t="str">
        <f aca="false">'Dash Feed'!$L$102</f>
        <v/>
      </c>
    </row>
    <row r="94" customFormat="false" ht="15" hidden="false" customHeight="true" outlineLevel="0" collapsed="false">
      <c r="A94" s="25" t="n">
        <f aca="false">IF('Dash Feed'!$D$103,1,0)</f>
        <v>0</v>
      </c>
      <c r="B94" s="39" t="str">
        <f aca="false">'Dash Feed'!$F$103</f>
        <v/>
      </c>
      <c r="C94" s="40" t="str">
        <f aca="false">'Dash Feed'!$G$103</f>
        <v/>
      </c>
      <c r="D94" s="40"/>
      <c r="E94" s="36" t="str">
        <f aca="false">'Dash Feed'!$H$103</f>
        <v/>
      </c>
      <c r="F94" s="36" t="str">
        <f aca="false">'Dash Feed'!$I$103</f>
        <v/>
      </c>
      <c r="G94" s="41" t="str">
        <f aca="false">'Dash Feed'!$J$103</f>
        <v/>
      </c>
      <c r="H94" s="36" t="str">
        <f aca="false">'Dash Feed'!$K$103</f>
        <v/>
      </c>
      <c r="I94" s="42" t="str">
        <f aca="false">'Dash Feed'!$L$103</f>
        <v/>
      </c>
    </row>
    <row r="95" customFormat="false" ht="15" hidden="false" customHeight="true" outlineLevel="0" collapsed="false">
      <c r="A95" s="25" t="n">
        <f aca="false">IF('Dash Feed'!$D$104,1,0)</f>
        <v>0</v>
      </c>
      <c r="B95" s="39" t="str">
        <f aca="false">'Dash Feed'!$F$104</f>
        <v/>
      </c>
      <c r="C95" s="40" t="str">
        <f aca="false">'Dash Feed'!$G$104</f>
        <v/>
      </c>
      <c r="D95" s="40"/>
      <c r="E95" s="36" t="str">
        <f aca="false">'Dash Feed'!$H$104</f>
        <v/>
      </c>
      <c r="F95" s="36" t="str">
        <f aca="false">'Dash Feed'!$I$104</f>
        <v/>
      </c>
      <c r="G95" s="41" t="str">
        <f aca="false">'Dash Feed'!$J$104</f>
        <v/>
      </c>
      <c r="H95" s="36" t="str">
        <f aca="false">'Dash Feed'!$K$104</f>
        <v/>
      </c>
      <c r="I95" s="42" t="str">
        <f aca="false">'Dash Feed'!$L$104</f>
        <v/>
      </c>
    </row>
    <row r="96" customFormat="false" ht="15" hidden="false" customHeight="true" outlineLevel="0" collapsed="false">
      <c r="A96" s="25" t="n">
        <f aca="false">IF('Dash Feed'!$D$105,1,0)</f>
        <v>0</v>
      </c>
      <c r="B96" s="39" t="str">
        <f aca="false">'Dash Feed'!$F$105</f>
        <v/>
      </c>
      <c r="C96" s="40" t="str">
        <f aca="false">'Dash Feed'!$G$105</f>
        <v/>
      </c>
      <c r="D96" s="40"/>
      <c r="E96" s="36" t="str">
        <f aca="false">'Dash Feed'!$H$105</f>
        <v/>
      </c>
      <c r="F96" s="36" t="str">
        <f aca="false">'Dash Feed'!$I$105</f>
        <v/>
      </c>
      <c r="G96" s="41" t="str">
        <f aca="false">'Dash Feed'!$J$105</f>
        <v/>
      </c>
      <c r="H96" s="36" t="str">
        <f aca="false">'Dash Feed'!$K$105</f>
        <v/>
      </c>
      <c r="I96" s="42" t="str">
        <f aca="false">'Dash Feed'!$L$105</f>
        <v/>
      </c>
    </row>
    <row r="97" customFormat="false" ht="15" hidden="false" customHeight="true" outlineLevel="0" collapsed="false">
      <c r="A97" s="25" t="n">
        <f aca="false">IF('Dash Feed'!$D$106,1,0)</f>
        <v>0</v>
      </c>
      <c r="B97" s="39" t="str">
        <f aca="false">'Dash Feed'!$F$106</f>
        <v/>
      </c>
      <c r="C97" s="40" t="str">
        <f aca="false">'Dash Feed'!$G$106</f>
        <v/>
      </c>
      <c r="D97" s="40"/>
      <c r="E97" s="36" t="str">
        <f aca="false">'Dash Feed'!$H$106</f>
        <v/>
      </c>
      <c r="F97" s="36" t="str">
        <f aca="false">'Dash Feed'!$I$106</f>
        <v/>
      </c>
      <c r="G97" s="41" t="str">
        <f aca="false">'Dash Feed'!$J$106</f>
        <v/>
      </c>
      <c r="H97" s="36" t="str">
        <f aca="false">'Dash Feed'!$K$106</f>
        <v/>
      </c>
      <c r="I97" s="42" t="str">
        <f aca="false">'Dash Feed'!$L$106</f>
        <v/>
      </c>
    </row>
    <row r="98" customFormat="false" ht="15" hidden="false" customHeight="true" outlineLevel="0" collapsed="false">
      <c r="A98" s="25" t="n">
        <f aca="false">IF('Dash Feed'!$D$107,1,0)</f>
        <v>0</v>
      </c>
      <c r="B98" s="39" t="str">
        <f aca="false">'Dash Feed'!$F$107</f>
        <v/>
      </c>
      <c r="C98" s="40" t="str">
        <f aca="false">'Dash Feed'!$G$107</f>
        <v/>
      </c>
      <c r="D98" s="40"/>
      <c r="E98" s="36" t="str">
        <f aca="false">'Dash Feed'!$H$107</f>
        <v/>
      </c>
      <c r="F98" s="36" t="str">
        <f aca="false">'Dash Feed'!$I$107</f>
        <v/>
      </c>
      <c r="G98" s="41" t="str">
        <f aca="false">'Dash Feed'!$J$107</f>
        <v/>
      </c>
      <c r="H98" s="36" t="str">
        <f aca="false">'Dash Feed'!$K$107</f>
        <v/>
      </c>
      <c r="I98" s="42" t="str">
        <f aca="false">'Dash Feed'!$L$107</f>
        <v/>
      </c>
    </row>
    <row r="99" customFormat="false" ht="15" hidden="false" customHeight="true" outlineLevel="0" collapsed="false">
      <c r="A99" s="25" t="n">
        <f aca="false">IF('Dash Feed'!$D$108,1,0)</f>
        <v>0</v>
      </c>
      <c r="B99" s="39" t="str">
        <f aca="false">'Dash Feed'!$F$108</f>
        <v/>
      </c>
      <c r="C99" s="40" t="str">
        <f aca="false">'Dash Feed'!$G$108</f>
        <v/>
      </c>
      <c r="D99" s="40"/>
      <c r="E99" s="36" t="str">
        <f aca="false">'Dash Feed'!$H$108</f>
        <v/>
      </c>
      <c r="F99" s="36" t="str">
        <f aca="false">'Dash Feed'!$I$108</f>
        <v/>
      </c>
      <c r="G99" s="41" t="str">
        <f aca="false">'Dash Feed'!$J$108</f>
        <v/>
      </c>
      <c r="H99" s="36" t="str">
        <f aca="false">'Dash Feed'!$K$108</f>
        <v/>
      </c>
      <c r="I99" s="42" t="str">
        <f aca="false">'Dash Feed'!$L$108</f>
        <v/>
      </c>
    </row>
    <row r="100" customFormat="false" ht="15" hidden="false" customHeight="true" outlineLevel="0" collapsed="false">
      <c r="A100" s="25" t="n">
        <f aca="false">IF('Dash Feed'!$D$109,1,0)</f>
        <v>0</v>
      </c>
      <c r="B100" s="39" t="str">
        <f aca="false">'Dash Feed'!$F$109</f>
        <v/>
      </c>
      <c r="C100" s="40" t="str">
        <f aca="false">'Dash Feed'!$G$109</f>
        <v/>
      </c>
      <c r="D100" s="40"/>
      <c r="E100" s="36" t="str">
        <f aca="false">'Dash Feed'!$H$109</f>
        <v/>
      </c>
      <c r="F100" s="36" t="str">
        <f aca="false">'Dash Feed'!$I$109</f>
        <v/>
      </c>
      <c r="G100" s="41" t="str">
        <f aca="false">'Dash Feed'!$J$109</f>
        <v/>
      </c>
      <c r="H100" s="36" t="str">
        <f aca="false">'Dash Feed'!$K$109</f>
        <v/>
      </c>
      <c r="I100" s="42" t="str">
        <f aca="false">'Dash Feed'!$L$109</f>
        <v/>
      </c>
    </row>
    <row r="101" customFormat="false" ht="15" hidden="false" customHeight="true" outlineLevel="0" collapsed="false">
      <c r="A101" s="25" t="n">
        <f aca="false">IF('Dash Feed'!$D$110,1,0)</f>
        <v>0</v>
      </c>
      <c r="B101" s="39" t="str">
        <f aca="false">'Dash Feed'!$F$110</f>
        <v/>
      </c>
      <c r="C101" s="40" t="str">
        <f aca="false">'Dash Feed'!$G$110</f>
        <v/>
      </c>
      <c r="D101" s="40"/>
      <c r="E101" s="36" t="str">
        <f aca="false">'Dash Feed'!$H$110</f>
        <v/>
      </c>
      <c r="F101" s="36" t="str">
        <f aca="false">'Dash Feed'!$I$110</f>
        <v/>
      </c>
      <c r="G101" s="41" t="str">
        <f aca="false">'Dash Feed'!$J$110</f>
        <v/>
      </c>
      <c r="H101" s="36" t="str">
        <f aca="false">'Dash Feed'!$K$110</f>
        <v/>
      </c>
      <c r="I101" s="42" t="str">
        <f aca="false">'Dash Feed'!$L$110</f>
        <v/>
      </c>
    </row>
    <row r="102" customFormat="false" ht="15" hidden="false" customHeight="true" outlineLevel="0" collapsed="false">
      <c r="A102" s="25" t="n">
        <f aca="false">IF('Dash Feed'!$D$111,1,0)</f>
        <v>0</v>
      </c>
      <c r="B102" s="39" t="str">
        <f aca="false">'Dash Feed'!$F$111</f>
        <v/>
      </c>
      <c r="C102" s="40" t="str">
        <f aca="false">'Dash Feed'!$G$111</f>
        <v/>
      </c>
      <c r="D102" s="40"/>
      <c r="E102" s="36" t="str">
        <f aca="false">'Dash Feed'!$H$111</f>
        <v/>
      </c>
      <c r="F102" s="36" t="str">
        <f aca="false">'Dash Feed'!$I$111</f>
        <v/>
      </c>
      <c r="G102" s="41" t="str">
        <f aca="false">'Dash Feed'!$J$111</f>
        <v/>
      </c>
      <c r="H102" s="36" t="str">
        <f aca="false">'Dash Feed'!$K$111</f>
        <v/>
      </c>
      <c r="I102" s="42" t="str">
        <f aca="false">'Dash Feed'!$L$111</f>
        <v/>
      </c>
    </row>
    <row r="103" customFormat="false" ht="15" hidden="false" customHeight="true" outlineLevel="0" collapsed="false">
      <c r="A103" s="25" t="n">
        <f aca="false">IF('Dash Feed'!$D$112,1,0)</f>
        <v>0</v>
      </c>
      <c r="B103" s="39" t="str">
        <f aca="false">'Dash Feed'!$F$112</f>
        <v/>
      </c>
      <c r="C103" s="40" t="str">
        <f aca="false">'Dash Feed'!$G$112</f>
        <v/>
      </c>
      <c r="D103" s="40"/>
      <c r="E103" s="36" t="str">
        <f aca="false">'Dash Feed'!$H$112</f>
        <v/>
      </c>
      <c r="F103" s="36" t="str">
        <f aca="false">'Dash Feed'!$I$112</f>
        <v/>
      </c>
      <c r="G103" s="41" t="str">
        <f aca="false">'Dash Feed'!$J$112</f>
        <v/>
      </c>
      <c r="H103" s="36" t="str">
        <f aca="false">'Dash Feed'!$K$112</f>
        <v/>
      </c>
      <c r="I103" s="42" t="str">
        <f aca="false">'Dash Feed'!$L$112</f>
        <v/>
      </c>
    </row>
    <row r="104" customFormat="false" ht="15" hidden="false" customHeight="true" outlineLevel="0" collapsed="false">
      <c r="A104" s="25" t="n">
        <f aca="false">IF('Dash Feed'!$D$113,1,0)</f>
        <v>0</v>
      </c>
      <c r="B104" s="39" t="str">
        <f aca="false">'Dash Feed'!$F$113</f>
        <v/>
      </c>
      <c r="C104" s="40" t="str">
        <f aca="false">'Dash Feed'!$G$113</f>
        <v/>
      </c>
      <c r="D104" s="40"/>
      <c r="E104" s="36" t="str">
        <f aca="false">'Dash Feed'!$H$113</f>
        <v/>
      </c>
      <c r="F104" s="36" t="str">
        <f aca="false">'Dash Feed'!$I$113</f>
        <v/>
      </c>
      <c r="G104" s="41" t="str">
        <f aca="false">'Dash Feed'!$J$113</f>
        <v/>
      </c>
      <c r="H104" s="36" t="str">
        <f aca="false">'Dash Feed'!$K$113</f>
        <v/>
      </c>
      <c r="I104" s="42" t="str">
        <f aca="false">'Dash Feed'!$L$113</f>
        <v/>
      </c>
    </row>
    <row r="105" customFormat="false" ht="15" hidden="false" customHeight="true" outlineLevel="0" collapsed="false">
      <c r="A105" s="25" t="n">
        <f aca="false">IF('Dash Feed'!$D$114,1,0)</f>
        <v>0</v>
      </c>
      <c r="B105" s="39" t="str">
        <f aca="false">'Dash Feed'!$F$114</f>
        <v/>
      </c>
      <c r="C105" s="40" t="str">
        <f aca="false">'Dash Feed'!$G$114</f>
        <v/>
      </c>
      <c r="D105" s="40"/>
      <c r="E105" s="36" t="str">
        <f aca="false">'Dash Feed'!$H$114</f>
        <v/>
      </c>
      <c r="F105" s="36" t="str">
        <f aca="false">'Dash Feed'!$I$114</f>
        <v/>
      </c>
      <c r="G105" s="41" t="str">
        <f aca="false">'Dash Feed'!$J$114</f>
        <v/>
      </c>
      <c r="H105" s="36" t="str">
        <f aca="false">'Dash Feed'!$K$114</f>
        <v/>
      </c>
      <c r="I105" s="42" t="str">
        <f aca="false">'Dash Feed'!$L$114</f>
        <v/>
      </c>
    </row>
    <row r="106" customFormat="false" ht="15" hidden="false" customHeight="true" outlineLevel="0" collapsed="false">
      <c r="A106" s="25" t="n">
        <f aca="false">IF('Dash Feed'!$D$115,1,0)</f>
        <v>0</v>
      </c>
      <c r="B106" s="39" t="str">
        <f aca="false">'Dash Feed'!$F$115</f>
        <v/>
      </c>
      <c r="C106" s="40" t="str">
        <f aca="false">'Dash Feed'!$G$115</f>
        <v/>
      </c>
      <c r="D106" s="40"/>
      <c r="E106" s="36" t="str">
        <f aca="false">'Dash Feed'!$H$115</f>
        <v/>
      </c>
      <c r="F106" s="36" t="str">
        <f aca="false">'Dash Feed'!$I$115</f>
        <v/>
      </c>
      <c r="G106" s="41" t="str">
        <f aca="false">'Dash Feed'!$J$115</f>
        <v/>
      </c>
      <c r="H106" s="36" t="str">
        <f aca="false">'Dash Feed'!$K$115</f>
        <v/>
      </c>
      <c r="I106" s="42" t="str">
        <f aca="false">'Dash Feed'!$L$115</f>
        <v/>
      </c>
    </row>
    <row r="107" customFormat="false" ht="15" hidden="false" customHeight="true" outlineLevel="0" collapsed="false">
      <c r="A107" s="25" t="n">
        <f aca="false">IF('Dash Feed'!$D$116,1,0)</f>
        <v>0</v>
      </c>
      <c r="B107" s="39" t="str">
        <f aca="false">'Dash Feed'!$F$116</f>
        <v/>
      </c>
      <c r="C107" s="40" t="str">
        <f aca="false">'Dash Feed'!$G$116</f>
        <v/>
      </c>
      <c r="D107" s="40"/>
      <c r="E107" s="36" t="str">
        <f aca="false">'Dash Feed'!$H$116</f>
        <v/>
      </c>
      <c r="F107" s="36" t="str">
        <f aca="false">'Dash Feed'!$I$116</f>
        <v/>
      </c>
      <c r="G107" s="41" t="str">
        <f aca="false">'Dash Feed'!$J$116</f>
        <v/>
      </c>
      <c r="H107" s="36" t="str">
        <f aca="false">'Dash Feed'!$K$116</f>
        <v/>
      </c>
      <c r="I107" s="42" t="str">
        <f aca="false">'Dash Feed'!$L$116</f>
        <v/>
      </c>
    </row>
    <row r="108" customFormat="false" ht="15" hidden="false" customHeight="true" outlineLevel="0" collapsed="false">
      <c r="A108" s="25" t="n">
        <f aca="false">IF('Dash Feed'!$D$117,1,0)</f>
        <v>0</v>
      </c>
      <c r="B108" s="39" t="str">
        <f aca="false">'Dash Feed'!$F$117</f>
        <v/>
      </c>
      <c r="C108" s="40" t="str">
        <f aca="false">'Dash Feed'!$G$117</f>
        <v/>
      </c>
      <c r="D108" s="40"/>
      <c r="E108" s="36" t="str">
        <f aca="false">'Dash Feed'!$H$117</f>
        <v/>
      </c>
      <c r="F108" s="36" t="str">
        <f aca="false">'Dash Feed'!$I$117</f>
        <v/>
      </c>
      <c r="G108" s="41" t="str">
        <f aca="false">'Dash Feed'!$J$117</f>
        <v/>
      </c>
      <c r="H108" s="36" t="str">
        <f aca="false">'Dash Feed'!$K$117</f>
        <v/>
      </c>
      <c r="I108" s="42" t="str">
        <f aca="false">'Dash Feed'!$L$117</f>
        <v/>
      </c>
    </row>
    <row r="109" customFormat="false" ht="15" hidden="false" customHeight="true" outlineLevel="0" collapsed="false">
      <c r="A109" s="25" t="n">
        <f aca="false">IF('Dash Feed'!$D$118,1,0)</f>
        <v>0</v>
      </c>
      <c r="B109" s="39" t="str">
        <f aca="false">'Dash Feed'!$F$118</f>
        <v/>
      </c>
      <c r="C109" s="40" t="str">
        <f aca="false">'Dash Feed'!$G$118</f>
        <v/>
      </c>
      <c r="D109" s="40"/>
      <c r="E109" s="36" t="str">
        <f aca="false">'Dash Feed'!$H$118</f>
        <v/>
      </c>
      <c r="F109" s="36" t="str">
        <f aca="false">'Dash Feed'!$I$118</f>
        <v/>
      </c>
      <c r="G109" s="41" t="str">
        <f aca="false">'Dash Feed'!$J$118</f>
        <v/>
      </c>
      <c r="H109" s="36" t="str">
        <f aca="false">'Dash Feed'!$K$118</f>
        <v/>
      </c>
      <c r="I109" s="42" t="str">
        <f aca="false">'Dash Feed'!$L$118</f>
        <v/>
      </c>
    </row>
    <row r="110" customFormat="false" ht="15" hidden="false" customHeight="true" outlineLevel="0" collapsed="false">
      <c r="A110" s="25" t="n">
        <f aca="false">IF('Dash Feed'!$D$119,1,0)</f>
        <v>0</v>
      </c>
      <c r="B110" s="39" t="str">
        <f aca="false">'Dash Feed'!$F$119</f>
        <v/>
      </c>
      <c r="C110" s="40" t="str">
        <f aca="false">'Dash Feed'!$G$119</f>
        <v/>
      </c>
      <c r="D110" s="40"/>
      <c r="E110" s="36" t="str">
        <f aca="false">'Dash Feed'!$H$119</f>
        <v/>
      </c>
      <c r="F110" s="36" t="str">
        <f aca="false">'Dash Feed'!$I$119</f>
        <v/>
      </c>
      <c r="G110" s="41" t="str">
        <f aca="false">'Dash Feed'!$J$119</f>
        <v/>
      </c>
      <c r="H110" s="36" t="str">
        <f aca="false">'Dash Feed'!$K$119</f>
        <v/>
      </c>
      <c r="I110" s="42" t="str">
        <f aca="false">'Dash Feed'!$L$119</f>
        <v/>
      </c>
    </row>
    <row r="111" customFormat="false" ht="15" hidden="false" customHeight="true" outlineLevel="0" collapsed="false">
      <c r="A111" s="25" t="n">
        <f aca="false">IF('Dash Feed'!$D$120,1,0)</f>
        <v>0</v>
      </c>
      <c r="B111" s="39" t="str">
        <f aca="false">'Dash Feed'!$F$120</f>
        <v/>
      </c>
      <c r="C111" s="40" t="str">
        <f aca="false">'Dash Feed'!$G$120</f>
        <v/>
      </c>
      <c r="D111" s="40"/>
      <c r="E111" s="36" t="str">
        <f aca="false">'Dash Feed'!$H$120</f>
        <v/>
      </c>
      <c r="F111" s="36" t="str">
        <f aca="false">'Dash Feed'!$I$120</f>
        <v/>
      </c>
      <c r="G111" s="41" t="str">
        <f aca="false">'Dash Feed'!$J$120</f>
        <v/>
      </c>
      <c r="H111" s="36" t="str">
        <f aca="false">'Dash Feed'!$K$120</f>
        <v/>
      </c>
      <c r="I111" s="42" t="str">
        <f aca="false">'Dash Feed'!$L$120</f>
        <v/>
      </c>
    </row>
    <row r="112" customFormat="false" ht="15" hidden="false" customHeight="true" outlineLevel="0" collapsed="false">
      <c r="A112" s="25" t="n">
        <f aca="false">IF('Dash Feed'!$D$121,1,0)</f>
        <v>0</v>
      </c>
      <c r="B112" s="39" t="str">
        <f aca="false">'Dash Feed'!$F$121</f>
        <v/>
      </c>
      <c r="C112" s="40" t="str">
        <f aca="false">'Dash Feed'!$G$121</f>
        <v/>
      </c>
      <c r="D112" s="40"/>
      <c r="E112" s="36" t="str">
        <f aca="false">'Dash Feed'!$H$121</f>
        <v/>
      </c>
      <c r="F112" s="36" t="str">
        <f aca="false">'Dash Feed'!$I$121</f>
        <v/>
      </c>
      <c r="G112" s="41" t="str">
        <f aca="false">'Dash Feed'!$J$121</f>
        <v/>
      </c>
      <c r="H112" s="36" t="str">
        <f aca="false">'Dash Feed'!$K$121</f>
        <v/>
      </c>
      <c r="I112" s="42" t="str">
        <f aca="false">'Dash Feed'!$L$121</f>
        <v/>
      </c>
    </row>
    <row r="113" customFormat="false" ht="15" hidden="false" customHeight="true" outlineLevel="0" collapsed="false">
      <c r="A113" s="25" t="n">
        <f aca="false">IF('Dash Feed'!$D$122,1,0)</f>
        <v>0</v>
      </c>
      <c r="B113" s="39" t="str">
        <f aca="false">'Dash Feed'!$F$122</f>
        <v/>
      </c>
      <c r="C113" s="40" t="str">
        <f aca="false">'Dash Feed'!$G$122</f>
        <v/>
      </c>
      <c r="D113" s="40"/>
      <c r="E113" s="36" t="str">
        <f aca="false">'Dash Feed'!$H$122</f>
        <v/>
      </c>
      <c r="F113" s="36" t="str">
        <f aca="false">'Dash Feed'!$I$122</f>
        <v/>
      </c>
      <c r="G113" s="41" t="str">
        <f aca="false">'Dash Feed'!$J$122</f>
        <v/>
      </c>
      <c r="H113" s="36" t="str">
        <f aca="false">'Dash Feed'!$K$122</f>
        <v/>
      </c>
      <c r="I113" s="42" t="str">
        <f aca="false">'Dash Feed'!$L$122</f>
        <v/>
      </c>
    </row>
    <row r="114" customFormat="false" ht="15" hidden="false" customHeight="true" outlineLevel="0" collapsed="false">
      <c r="A114" s="25" t="n">
        <f aca="false">IF('Dash Feed'!$D$123,1,0)</f>
        <v>0</v>
      </c>
      <c r="B114" s="39" t="str">
        <f aca="false">'Dash Feed'!$F$123</f>
        <v/>
      </c>
      <c r="C114" s="40" t="str">
        <f aca="false">'Dash Feed'!$G$123</f>
        <v/>
      </c>
      <c r="D114" s="40"/>
      <c r="E114" s="36" t="str">
        <f aca="false">'Dash Feed'!$H$123</f>
        <v/>
      </c>
      <c r="F114" s="36" t="str">
        <f aca="false">'Dash Feed'!$I$123</f>
        <v/>
      </c>
      <c r="G114" s="41" t="str">
        <f aca="false">'Dash Feed'!$J$123</f>
        <v/>
      </c>
      <c r="H114" s="36" t="str">
        <f aca="false">'Dash Feed'!$K$123</f>
        <v/>
      </c>
      <c r="I114" s="42" t="str">
        <f aca="false">'Dash Feed'!$L$123</f>
        <v/>
      </c>
    </row>
    <row r="115" customFormat="false" ht="15" hidden="false" customHeight="true" outlineLevel="0" collapsed="false">
      <c r="A115" s="25" t="n">
        <f aca="false">IF('Dash Feed'!$D$124,1,0)</f>
        <v>0</v>
      </c>
      <c r="B115" s="39" t="str">
        <f aca="false">'Dash Feed'!$F$124</f>
        <v/>
      </c>
      <c r="C115" s="40" t="str">
        <f aca="false">'Dash Feed'!$G$124</f>
        <v/>
      </c>
      <c r="D115" s="40"/>
      <c r="E115" s="36" t="str">
        <f aca="false">'Dash Feed'!$H$124</f>
        <v/>
      </c>
      <c r="F115" s="36" t="str">
        <f aca="false">'Dash Feed'!$I$124</f>
        <v/>
      </c>
      <c r="G115" s="41" t="str">
        <f aca="false">'Dash Feed'!$J$124</f>
        <v/>
      </c>
      <c r="H115" s="36" t="str">
        <f aca="false">'Dash Feed'!$K$124</f>
        <v/>
      </c>
      <c r="I115" s="42" t="str">
        <f aca="false">'Dash Feed'!$L$124</f>
        <v/>
      </c>
    </row>
    <row r="116" customFormat="false" ht="15" hidden="false" customHeight="true" outlineLevel="0" collapsed="false">
      <c r="A116" s="25" t="n">
        <f aca="false">IF('Dash Feed'!$D$125,1,0)</f>
        <v>0</v>
      </c>
      <c r="B116" s="39" t="str">
        <f aca="false">'Dash Feed'!$F$125</f>
        <v/>
      </c>
      <c r="C116" s="40" t="str">
        <f aca="false">'Dash Feed'!$G$125</f>
        <v/>
      </c>
      <c r="D116" s="40"/>
      <c r="E116" s="36" t="str">
        <f aca="false">'Dash Feed'!$H$125</f>
        <v/>
      </c>
      <c r="F116" s="36" t="str">
        <f aca="false">'Dash Feed'!$I$125</f>
        <v/>
      </c>
      <c r="G116" s="41" t="str">
        <f aca="false">'Dash Feed'!$J$125</f>
        <v/>
      </c>
      <c r="H116" s="36" t="str">
        <f aca="false">'Dash Feed'!$K$125</f>
        <v/>
      </c>
      <c r="I116" s="42" t="str">
        <f aca="false">'Dash Feed'!$L$125</f>
        <v/>
      </c>
    </row>
    <row r="117" customFormat="false" ht="15" hidden="false" customHeight="true" outlineLevel="0" collapsed="false">
      <c r="A117" s="25" t="n">
        <f aca="false">IF('Dash Feed'!$D$126,1,0)</f>
        <v>0</v>
      </c>
      <c r="B117" s="39" t="str">
        <f aca="false">'Dash Feed'!$F$126</f>
        <v/>
      </c>
      <c r="C117" s="40" t="str">
        <f aca="false">'Dash Feed'!$G$126</f>
        <v/>
      </c>
      <c r="D117" s="40"/>
      <c r="E117" s="36" t="str">
        <f aca="false">'Dash Feed'!$H$126</f>
        <v/>
      </c>
      <c r="F117" s="36" t="str">
        <f aca="false">'Dash Feed'!$I$126</f>
        <v/>
      </c>
      <c r="G117" s="41" t="str">
        <f aca="false">'Dash Feed'!$J$126</f>
        <v/>
      </c>
      <c r="H117" s="36" t="str">
        <f aca="false">'Dash Feed'!$K$126</f>
        <v/>
      </c>
      <c r="I117" s="42" t="str">
        <f aca="false">'Dash Feed'!$L$126</f>
        <v/>
      </c>
    </row>
    <row r="118" customFormat="false" ht="15" hidden="false" customHeight="true" outlineLevel="0" collapsed="false">
      <c r="A118" s="25" t="n">
        <f aca="false">IF('Dash Feed'!$D$127,1,0)</f>
        <v>0</v>
      </c>
      <c r="B118" s="39" t="str">
        <f aca="false">'Dash Feed'!$F$127</f>
        <v/>
      </c>
      <c r="C118" s="40" t="str">
        <f aca="false">'Dash Feed'!$G$127</f>
        <v/>
      </c>
      <c r="D118" s="40"/>
      <c r="E118" s="36" t="str">
        <f aca="false">'Dash Feed'!$H$127</f>
        <v/>
      </c>
      <c r="F118" s="36" t="str">
        <f aca="false">'Dash Feed'!$I$127</f>
        <v/>
      </c>
      <c r="G118" s="41" t="str">
        <f aca="false">'Dash Feed'!$J$127</f>
        <v/>
      </c>
      <c r="H118" s="36" t="str">
        <f aca="false">'Dash Feed'!$K$127</f>
        <v/>
      </c>
      <c r="I118" s="42" t="str">
        <f aca="false">'Dash Feed'!$L$127</f>
        <v/>
      </c>
    </row>
    <row r="119" customFormat="false" ht="15" hidden="false" customHeight="true" outlineLevel="0" collapsed="false">
      <c r="A119" s="25" t="n">
        <f aca="false">IF('Dash Feed'!$D$128,1,0)</f>
        <v>0</v>
      </c>
      <c r="B119" s="39" t="str">
        <f aca="false">'Dash Feed'!$F$128</f>
        <v/>
      </c>
      <c r="C119" s="40" t="str">
        <f aca="false">'Dash Feed'!$G$128</f>
        <v/>
      </c>
      <c r="D119" s="40"/>
      <c r="E119" s="36" t="str">
        <f aca="false">'Dash Feed'!$H$128</f>
        <v/>
      </c>
      <c r="F119" s="36" t="str">
        <f aca="false">'Dash Feed'!$I$128</f>
        <v/>
      </c>
      <c r="G119" s="41" t="str">
        <f aca="false">'Dash Feed'!$J$128</f>
        <v/>
      </c>
      <c r="H119" s="36" t="str">
        <f aca="false">'Dash Feed'!$K$128</f>
        <v/>
      </c>
      <c r="I119" s="42" t="str">
        <f aca="false">'Dash Feed'!$L$128</f>
        <v/>
      </c>
    </row>
    <row r="120" customFormat="false" ht="15" hidden="false" customHeight="true" outlineLevel="0" collapsed="false">
      <c r="A120" s="25" t="n">
        <f aca="false">IF('Dash Feed'!$D$129,1,0)</f>
        <v>0</v>
      </c>
      <c r="B120" s="39" t="str">
        <f aca="false">'Dash Feed'!$F$129</f>
        <v/>
      </c>
      <c r="C120" s="40" t="str">
        <f aca="false">'Dash Feed'!$G$129</f>
        <v/>
      </c>
      <c r="D120" s="40"/>
      <c r="E120" s="36" t="str">
        <f aca="false">'Dash Feed'!$H$129</f>
        <v/>
      </c>
      <c r="F120" s="36" t="str">
        <f aca="false">'Dash Feed'!$I$129</f>
        <v/>
      </c>
      <c r="G120" s="41" t="str">
        <f aca="false">'Dash Feed'!$J$129</f>
        <v/>
      </c>
      <c r="H120" s="36" t="str">
        <f aca="false">'Dash Feed'!$K$129</f>
        <v/>
      </c>
      <c r="I120" s="42" t="str">
        <f aca="false">'Dash Feed'!$L$129</f>
        <v/>
      </c>
    </row>
    <row r="121" customFormat="false" ht="15" hidden="false" customHeight="true" outlineLevel="0" collapsed="false">
      <c r="A121" s="25" t="n">
        <f aca="false">IF('Dash Feed'!$D$130,1,0)</f>
        <v>0</v>
      </c>
      <c r="B121" s="39" t="str">
        <f aca="false">'Dash Feed'!$F$130</f>
        <v/>
      </c>
      <c r="C121" s="40" t="str">
        <f aca="false">'Dash Feed'!$G$130</f>
        <v/>
      </c>
      <c r="D121" s="40"/>
      <c r="E121" s="36" t="str">
        <f aca="false">'Dash Feed'!$H$130</f>
        <v/>
      </c>
      <c r="F121" s="36" t="str">
        <f aca="false">'Dash Feed'!$I$130</f>
        <v/>
      </c>
      <c r="G121" s="41" t="str">
        <f aca="false">'Dash Feed'!$J$130</f>
        <v/>
      </c>
      <c r="H121" s="36" t="str">
        <f aca="false">'Dash Feed'!$K$130</f>
        <v/>
      </c>
      <c r="I121" s="42" t="str">
        <f aca="false">'Dash Feed'!$L$130</f>
        <v/>
      </c>
    </row>
    <row r="122" customFormat="false" ht="15" hidden="false" customHeight="true" outlineLevel="0" collapsed="false">
      <c r="A122" s="25" t="n">
        <f aca="false">IF('Dash Feed'!$D$131,1,0)</f>
        <v>0</v>
      </c>
      <c r="B122" s="39" t="str">
        <f aca="false">'Dash Feed'!$F$131</f>
        <v/>
      </c>
      <c r="C122" s="40" t="str">
        <f aca="false">'Dash Feed'!$G$131</f>
        <v/>
      </c>
      <c r="D122" s="40"/>
      <c r="E122" s="36" t="str">
        <f aca="false">'Dash Feed'!$H$131</f>
        <v/>
      </c>
      <c r="F122" s="36" t="str">
        <f aca="false">'Dash Feed'!$I$131</f>
        <v/>
      </c>
      <c r="G122" s="41" t="str">
        <f aca="false">'Dash Feed'!$J$131</f>
        <v/>
      </c>
      <c r="H122" s="36" t="str">
        <f aca="false">'Dash Feed'!$K$131</f>
        <v/>
      </c>
      <c r="I122" s="42" t="str">
        <f aca="false">'Dash Feed'!$L$131</f>
        <v/>
      </c>
    </row>
    <row r="123" customFormat="false" ht="15" hidden="false" customHeight="true" outlineLevel="0" collapsed="false">
      <c r="A123" s="25" t="n">
        <f aca="false">IF('Dash Feed'!$D$132,1,0)</f>
        <v>0</v>
      </c>
      <c r="B123" s="39" t="str">
        <f aca="false">'Dash Feed'!$F$132</f>
        <v/>
      </c>
      <c r="C123" s="40" t="str">
        <f aca="false">'Dash Feed'!$G$132</f>
        <v/>
      </c>
      <c r="D123" s="40"/>
      <c r="E123" s="36" t="str">
        <f aca="false">'Dash Feed'!$H$132</f>
        <v/>
      </c>
      <c r="F123" s="36" t="str">
        <f aca="false">'Dash Feed'!$I$132</f>
        <v/>
      </c>
      <c r="G123" s="41" t="str">
        <f aca="false">'Dash Feed'!$J$132</f>
        <v/>
      </c>
      <c r="H123" s="36" t="str">
        <f aca="false">'Dash Feed'!$K$132</f>
        <v/>
      </c>
      <c r="I123" s="42" t="str">
        <f aca="false">'Dash Feed'!$L$132</f>
        <v/>
      </c>
    </row>
    <row r="124" customFormat="false" ht="15" hidden="false" customHeight="true" outlineLevel="0" collapsed="false">
      <c r="A124" s="25" t="n">
        <f aca="false">IF('Dash Feed'!$D$133,1,0)</f>
        <v>0</v>
      </c>
      <c r="B124" s="39" t="str">
        <f aca="false">'Dash Feed'!$F$133</f>
        <v/>
      </c>
      <c r="C124" s="40" t="str">
        <f aca="false">'Dash Feed'!$G$133</f>
        <v/>
      </c>
      <c r="D124" s="40"/>
      <c r="E124" s="36" t="str">
        <f aca="false">'Dash Feed'!$H$133</f>
        <v/>
      </c>
      <c r="F124" s="36" t="str">
        <f aca="false">'Dash Feed'!$I$133</f>
        <v/>
      </c>
      <c r="G124" s="41" t="str">
        <f aca="false">'Dash Feed'!$J$133</f>
        <v/>
      </c>
      <c r="H124" s="36" t="str">
        <f aca="false">'Dash Feed'!$K$133</f>
        <v/>
      </c>
      <c r="I124" s="42" t="str">
        <f aca="false">'Dash Feed'!$L$133</f>
        <v/>
      </c>
    </row>
    <row r="125" customFormat="false" ht="15" hidden="false" customHeight="true" outlineLevel="0" collapsed="false">
      <c r="A125" s="25" t="n">
        <f aca="false">IF('Dash Feed'!$D$134,1,0)</f>
        <v>0</v>
      </c>
      <c r="B125" s="39" t="str">
        <f aca="false">'Dash Feed'!$F$134</f>
        <v/>
      </c>
      <c r="C125" s="40" t="str">
        <f aca="false">'Dash Feed'!$G$134</f>
        <v/>
      </c>
      <c r="D125" s="40"/>
      <c r="E125" s="36" t="str">
        <f aca="false">'Dash Feed'!$H$134</f>
        <v/>
      </c>
      <c r="F125" s="36" t="str">
        <f aca="false">'Dash Feed'!$I$134</f>
        <v/>
      </c>
      <c r="G125" s="41" t="str">
        <f aca="false">'Dash Feed'!$J$134</f>
        <v/>
      </c>
      <c r="H125" s="36" t="str">
        <f aca="false">'Dash Feed'!$K$134</f>
        <v/>
      </c>
      <c r="I125" s="42" t="str">
        <f aca="false">'Dash Feed'!$L$134</f>
        <v/>
      </c>
    </row>
    <row r="126" customFormat="false" ht="15" hidden="false" customHeight="true" outlineLevel="0" collapsed="false">
      <c r="A126" s="25" t="n">
        <f aca="false">IF('Dash Feed'!$D$135,1,0)</f>
        <v>0</v>
      </c>
      <c r="B126" s="39" t="str">
        <f aca="false">'Dash Feed'!$F$135</f>
        <v/>
      </c>
      <c r="C126" s="40" t="str">
        <f aca="false">'Dash Feed'!$G$135</f>
        <v/>
      </c>
      <c r="D126" s="40"/>
      <c r="E126" s="36" t="str">
        <f aca="false">'Dash Feed'!$H$135</f>
        <v/>
      </c>
      <c r="F126" s="36" t="str">
        <f aca="false">'Dash Feed'!$I$135</f>
        <v/>
      </c>
      <c r="G126" s="41" t="str">
        <f aca="false">'Dash Feed'!$J$135</f>
        <v/>
      </c>
      <c r="H126" s="36" t="str">
        <f aca="false">'Dash Feed'!$K$135</f>
        <v/>
      </c>
      <c r="I126" s="42" t="str">
        <f aca="false">'Dash Feed'!$L$135</f>
        <v/>
      </c>
    </row>
    <row r="127" customFormat="false" ht="15" hidden="false" customHeight="true" outlineLevel="0" collapsed="false">
      <c r="A127" s="25" t="n">
        <f aca="false">IF('Dash Feed'!$D$136,1,0)</f>
        <v>0</v>
      </c>
      <c r="B127" s="39" t="str">
        <f aca="false">'Dash Feed'!$F$136</f>
        <v/>
      </c>
      <c r="C127" s="40" t="str">
        <f aca="false">'Dash Feed'!$G$136</f>
        <v/>
      </c>
      <c r="D127" s="40"/>
      <c r="E127" s="36" t="str">
        <f aca="false">'Dash Feed'!$H$136</f>
        <v/>
      </c>
      <c r="F127" s="36" t="str">
        <f aca="false">'Dash Feed'!$I$136</f>
        <v/>
      </c>
      <c r="G127" s="41" t="str">
        <f aca="false">'Dash Feed'!$J$136</f>
        <v/>
      </c>
      <c r="H127" s="36" t="str">
        <f aca="false">'Dash Feed'!$K$136</f>
        <v/>
      </c>
      <c r="I127" s="42" t="str">
        <f aca="false">'Dash Feed'!$L$136</f>
        <v/>
      </c>
    </row>
    <row r="128" customFormat="false" ht="15" hidden="false" customHeight="true" outlineLevel="0" collapsed="false">
      <c r="A128" s="25" t="n">
        <f aca="false">IF('Dash Feed'!$D$137,1,0)</f>
        <v>0</v>
      </c>
      <c r="B128" s="39" t="str">
        <f aca="false">'Dash Feed'!$F$137</f>
        <v/>
      </c>
      <c r="C128" s="40" t="str">
        <f aca="false">'Dash Feed'!$G$137</f>
        <v/>
      </c>
      <c r="D128" s="40"/>
      <c r="E128" s="36" t="str">
        <f aca="false">'Dash Feed'!$H$137</f>
        <v/>
      </c>
      <c r="F128" s="36" t="str">
        <f aca="false">'Dash Feed'!$I$137</f>
        <v/>
      </c>
      <c r="G128" s="41" t="str">
        <f aca="false">'Dash Feed'!$J$137</f>
        <v/>
      </c>
      <c r="H128" s="36" t="str">
        <f aca="false">'Dash Feed'!$K$137</f>
        <v/>
      </c>
      <c r="I128" s="42" t="str">
        <f aca="false">'Dash Feed'!$L$137</f>
        <v/>
      </c>
    </row>
    <row r="129" customFormat="false" ht="15" hidden="false" customHeight="true" outlineLevel="0" collapsed="false">
      <c r="A129" s="25" t="n">
        <f aca="false">IF('Dash Feed'!$D$138,1,0)</f>
        <v>0</v>
      </c>
      <c r="B129" s="39" t="str">
        <f aca="false">'Dash Feed'!$F$138</f>
        <v/>
      </c>
      <c r="C129" s="40" t="str">
        <f aca="false">'Dash Feed'!$G$138</f>
        <v/>
      </c>
      <c r="D129" s="40"/>
      <c r="E129" s="36" t="str">
        <f aca="false">'Dash Feed'!$H$138</f>
        <v/>
      </c>
      <c r="F129" s="36" t="str">
        <f aca="false">'Dash Feed'!$I$138</f>
        <v/>
      </c>
      <c r="G129" s="41" t="str">
        <f aca="false">'Dash Feed'!$J$138</f>
        <v/>
      </c>
      <c r="H129" s="36" t="str">
        <f aca="false">'Dash Feed'!$K$138</f>
        <v/>
      </c>
      <c r="I129" s="42" t="str">
        <f aca="false">'Dash Feed'!$L$138</f>
        <v/>
      </c>
    </row>
    <row r="130" customFormat="false" ht="15" hidden="false" customHeight="true" outlineLevel="0" collapsed="false">
      <c r="A130" s="25" t="n">
        <f aca="false">IF('Dash Feed'!$D$139,1,0)</f>
        <v>0</v>
      </c>
      <c r="B130" s="39" t="str">
        <f aca="false">'Dash Feed'!$F$139</f>
        <v/>
      </c>
      <c r="C130" s="40" t="str">
        <f aca="false">'Dash Feed'!$G$139</f>
        <v/>
      </c>
      <c r="D130" s="40"/>
      <c r="E130" s="36" t="str">
        <f aca="false">'Dash Feed'!$H$139</f>
        <v/>
      </c>
      <c r="F130" s="36" t="str">
        <f aca="false">'Dash Feed'!$I$139</f>
        <v/>
      </c>
      <c r="G130" s="41" t="str">
        <f aca="false">'Dash Feed'!$J$139</f>
        <v/>
      </c>
      <c r="H130" s="36" t="str">
        <f aca="false">'Dash Feed'!$K$139</f>
        <v/>
      </c>
      <c r="I130" s="42" t="str">
        <f aca="false">'Dash Feed'!$L$139</f>
        <v/>
      </c>
    </row>
    <row r="131" customFormat="false" ht="15" hidden="false" customHeight="true" outlineLevel="0" collapsed="false">
      <c r="A131" s="25" t="n">
        <f aca="false">IF('Dash Feed'!$D$140,1,0)</f>
        <v>0</v>
      </c>
      <c r="B131" s="39" t="str">
        <f aca="false">'Dash Feed'!$F$140</f>
        <v/>
      </c>
      <c r="C131" s="40" t="str">
        <f aca="false">'Dash Feed'!$G$140</f>
        <v/>
      </c>
      <c r="D131" s="40"/>
      <c r="E131" s="36" t="str">
        <f aca="false">'Dash Feed'!$H$140</f>
        <v/>
      </c>
      <c r="F131" s="36" t="str">
        <f aca="false">'Dash Feed'!$I$140</f>
        <v/>
      </c>
      <c r="G131" s="41" t="str">
        <f aca="false">'Dash Feed'!$J$140</f>
        <v/>
      </c>
      <c r="H131" s="36" t="str">
        <f aca="false">'Dash Feed'!$K$140</f>
        <v/>
      </c>
      <c r="I131" s="42" t="str">
        <f aca="false">'Dash Feed'!$L$140</f>
        <v/>
      </c>
    </row>
    <row r="132" customFormat="false" ht="15" hidden="false" customHeight="true" outlineLevel="0" collapsed="false">
      <c r="A132" s="25" t="n">
        <f aca="false">IF('Dash Feed'!$D$141,1,0)</f>
        <v>0</v>
      </c>
      <c r="B132" s="39" t="str">
        <f aca="false">'Dash Feed'!$F$141</f>
        <v/>
      </c>
      <c r="C132" s="40" t="str">
        <f aca="false">'Dash Feed'!$G$141</f>
        <v/>
      </c>
      <c r="D132" s="40"/>
      <c r="E132" s="36" t="str">
        <f aca="false">'Dash Feed'!$H$141</f>
        <v/>
      </c>
      <c r="F132" s="36" t="str">
        <f aca="false">'Dash Feed'!$I$141</f>
        <v/>
      </c>
      <c r="G132" s="41" t="str">
        <f aca="false">'Dash Feed'!$J$141</f>
        <v/>
      </c>
      <c r="H132" s="36" t="str">
        <f aca="false">'Dash Feed'!$K$141</f>
        <v/>
      </c>
      <c r="I132" s="42" t="str">
        <f aca="false">'Dash Feed'!$L$141</f>
        <v/>
      </c>
    </row>
    <row r="133" customFormat="false" ht="15" hidden="false" customHeight="true" outlineLevel="0" collapsed="false">
      <c r="A133" s="25" t="n">
        <f aca="false">IF('Dash Feed'!$D$142,1,0)</f>
        <v>0</v>
      </c>
      <c r="B133" s="39" t="str">
        <f aca="false">'Dash Feed'!$F$142</f>
        <v/>
      </c>
      <c r="C133" s="40" t="str">
        <f aca="false">'Dash Feed'!$G$142</f>
        <v/>
      </c>
      <c r="D133" s="40"/>
      <c r="E133" s="36" t="str">
        <f aca="false">'Dash Feed'!$H$142</f>
        <v/>
      </c>
      <c r="F133" s="36" t="str">
        <f aca="false">'Dash Feed'!$I$142</f>
        <v/>
      </c>
      <c r="G133" s="41" t="str">
        <f aca="false">'Dash Feed'!$J$142</f>
        <v/>
      </c>
      <c r="H133" s="36" t="str">
        <f aca="false">'Dash Feed'!$K$142</f>
        <v/>
      </c>
      <c r="I133" s="42" t="str">
        <f aca="false">'Dash Feed'!$L$142</f>
        <v/>
      </c>
    </row>
    <row r="134" customFormat="false" ht="15" hidden="false" customHeight="true" outlineLevel="0" collapsed="false">
      <c r="A134" s="25" t="n">
        <f aca="false">IF('Dash Feed'!$D$143,1,0)</f>
        <v>0</v>
      </c>
      <c r="B134" s="39" t="str">
        <f aca="false">'Dash Feed'!$F$143</f>
        <v/>
      </c>
      <c r="C134" s="40" t="str">
        <f aca="false">'Dash Feed'!$G$143</f>
        <v/>
      </c>
      <c r="D134" s="40"/>
      <c r="E134" s="36" t="str">
        <f aca="false">'Dash Feed'!$H$143</f>
        <v/>
      </c>
      <c r="F134" s="36" t="str">
        <f aca="false">'Dash Feed'!$I$143</f>
        <v/>
      </c>
      <c r="G134" s="41" t="str">
        <f aca="false">'Dash Feed'!$J$143</f>
        <v/>
      </c>
      <c r="H134" s="36" t="str">
        <f aca="false">'Dash Feed'!$K$143</f>
        <v/>
      </c>
      <c r="I134" s="42" t="str">
        <f aca="false">'Dash Feed'!$L$143</f>
        <v/>
      </c>
    </row>
    <row r="135" customFormat="false" ht="15" hidden="false" customHeight="true" outlineLevel="0" collapsed="false">
      <c r="A135" s="25" t="n">
        <f aca="false">IF('Dash Feed'!$D$144,1,0)</f>
        <v>0</v>
      </c>
      <c r="B135" s="39" t="str">
        <f aca="false">'Dash Feed'!$F$144</f>
        <v/>
      </c>
      <c r="C135" s="40" t="str">
        <f aca="false">'Dash Feed'!$G$144</f>
        <v/>
      </c>
      <c r="D135" s="40"/>
      <c r="E135" s="36" t="str">
        <f aca="false">'Dash Feed'!$H$144</f>
        <v/>
      </c>
      <c r="F135" s="36" t="str">
        <f aca="false">'Dash Feed'!$I$144</f>
        <v/>
      </c>
      <c r="G135" s="41" t="str">
        <f aca="false">'Dash Feed'!$J$144</f>
        <v/>
      </c>
      <c r="H135" s="36" t="str">
        <f aca="false">'Dash Feed'!$K$144</f>
        <v/>
      </c>
      <c r="I135" s="42" t="str">
        <f aca="false">'Dash Feed'!$L$144</f>
        <v/>
      </c>
    </row>
    <row r="136" customFormat="false" ht="15" hidden="false" customHeight="true" outlineLevel="0" collapsed="false">
      <c r="A136" s="25" t="n">
        <f aca="false">IF('Dash Feed'!$D$145,1,0)</f>
        <v>0</v>
      </c>
      <c r="B136" s="39" t="str">
        <f aca="false">'Dash Feed'!$F$145</f>
        <v/>
      </c>
      <c r="C136" s="40" t="str">
        <f aca="false">'Dash Feed'!$G$145</f>
        <v/>
      </c>
      <c r="D136" s="40"/>
      <c r="E136" s="36" t="str">
        <f aca="false">'Dash Feed'!$H$145</f>
        <v/>
      </c>
      <c r="F136" s="36" t="str">
        <f aca="false">'Dash Feed'!$I$145</f>
        <v/>
      </c>
      <c r="G136" s="41" t="str">
        <f aca="false">'Dash Feed'!$J$145</f>
        <v/>
      </c>
      <c r="H136" s="36" t="str">
        <f aca="false">'Dash Feed'!$K$145</f>
        <v/>
      </c>
      <c r="I136" s="42" t="str">
        <f aca="false">'Dash Feed'!$L$145</f>
        <v/>
      </c>
    </row>
    <row r="137" customFormat="false" ht="15" hidden="false" customHeight="true" outlineLevel="0" collapsed="false">
      <c r="A137" s="25" t="n">
        <f aca="false">IF('Dash Feed'!$D$146,1,0)</f>
        <v>0</v>
      </c>
      <c r="B137" s="39" t="str">
        <f aca="false">'Dash Feed'!$F$146</f>
        <v/>
      </c>
      <c r="C137" s="40" t="str">
        <f aca="false">'Dash Feed'!$G$146</f>
        <v/>
      </c>
      <c r="D137" s="40"/>
      <c r="E137" s="36" t="str">
        <f aca="false">'Dash Feed'!$H$146</f>
        <v/>
      </c>
      <c r="F137" s="36" t="str">
        <f aca="false">'Dash Feed'!$I$146</f>
        <v/>
      </c>
      <c r="G137" s="41" t="str">
        <f aca="false">'Dash Feed'!$J$146</f>
        <v/>
      </c>
      <c r="H137" s="36" t="str">
        <f aca="false">'Dash Feed'!$K$146</f>
        <v/>
      </c>
      <c r="I137" s="42" t="str">
        <f aca="false">'Dash Feed'!$L$146</f>
        <v/>
      </c>
    </row>
    <row r="138" customFormat="false" ht="15" hidden="false" customHeight="true" outlineLevel="0" collapsed="false">
      <c r="A138" s="25" t="n">
        <f aca="false">IF('Dash Feed'!$D$147,1,0)</f>
        <v>0</v>
      </c>
      <c r="B138" s="39" t="str">
        <f aca="false">'Dash Feed'!$F$147</f>
        <v/>
      </c>
      <c r="C138" s="40" t="str">
        <f aca="false">'Dash Feed'!$G$147</f>
        <v/>
      </c>
      <c r="D138" s="40"/>
      <c r="E138" s="36" t="str">
        <f aca="false">'Dash Feed'!$H$147</f>
        <v/>
      </c>
      <c r="F138" s="36" t="str">
        <f aca="false">'Dash Feed'!$I$147</f>
        <v/>
      </c>
      <c r="G138" s="41" t="str">
        <f aca="false">'Dash Feed'!$J$147</f>
        <v/>
      </c>
      <c r="H138" s="36" t="str">
        <f aca="false">'Dash Feed'!$K$147</f>
        <v/>
      </c>
      <c r="I138" s="42" t="str">
        <f aca="false">'Dash Feed'!$L$147</f>
        <v/>
      </c>
    </row>
    <row r="139" customFormat="false" ht="15" hidden="false" customHeight="true" outlineLevel="0" collapsed="false">
      <c r="A139" s="25" t="n">
        <f aca="false">IF('Dash Feed'!$D$148,1,0)</f>
        <v>0</v>
      </c>
      <c r="B139" s="39" t="str">
        <f aca="false">'Dash Feed'!$F$148</f>
        <v/>
      </c>
      <c r="C139" s="40" t="str">
        <f aca="false">'Dash Feed'!$G$148</f>
        <v/>
      </c>
      <c r="D139" s="40"/>
      <c r="E139" s="36" t="str">
        <f aca="false">'Dash Feed'!$H$148</f>
        <v/>
      </c>
      <c r="F139" s="36" t="str">
        <f aca="false">'Dash Feed'!$I$148</f>
        <v/>
      </c>
      <c r="G139" s="41" t="str">
        <f aca="false">'Dash Feed'!$J$148</f>
        <v/>
      </c>
      <c r="H139" s="36" t="str">
        <f aca="false">'Dash Feed'!$K$148</f>
        <v/>
      </c>
      <c r="I139" s="42" t="str">
        <f aca="false">'Dash Feed'!$L$148</f>
        <v/>
      </c>
    </row>
    <row r="140" customFormat="false" ht="15" hidden="false" customHeight="true" outlineLevel="0" collapsed="false">
      <c r="A140" s="25" t="n">
        <f aca="false">IF('Dash Feed'!$D$149,1,0)</f>
        <v>0</v>
      </c>
      <c r="B140" s="39" t="str">
        <f aca="false">'Dash Feed'!$F$149</f>
        <v/>
      </c>
      <c r="C140" s="40" t="str">
        <f aca="false">'Dash Feed'!$G$149</f>
        <v/>
      </c>
      <c r="D140" s="40"/>
      <c r="E140" s="36" t="str">
        <f aca="false">'Dash Feed'!$H$149</f>
        <v/>
      </c>
      <c r="F140" s="36" t="str">
        <f aca="false">'Dash Feed'!$I$149</f>
        <v/>
      </c>
      <c r="G140" s="41" t="str">
        <f aca="false">'Dash Feed'!$J$149</f>
        <v/>
      </c>
      <c r="H140" s="36" t="str">
        <f aca="false">'Dash Feed'!$K$149</f>
        <v/>
      </c>
      <c r="I140" s="42" t="str">
        <f aca="false">'Dash Feed'!$L$149</f>
        <v/>
      </c>
    </row>
    <row r="141" customFormat="false" ht="15" hidden="false" customHeight="true" outlineLevel="0" collapsed="false">
      <c r="A141" s="25" t="n">
        <f aca="false">IF('Dash Feed'!$D$150,1,0)</f>
        <v>0</v>
      </c>
      <c r="B141" s="39" t="str">
        <f aca="false">'Dash Feed'!$F$150</f>
        <v/>
      </c>
      <c r="C141" s="40" t="str">
        <f aca="false">'Dash Feed'!$G$150</f>
        <v/>
      </c>
      <c r="D141" s="40"/>
      <c r="E141" s="36" t="str">
        <f aca="false">'Dash Feed'!$H$150</f>
        <v/>
      </c>
      <c r="F141" s="36" t="str">
        <f aca="false">'Dash Feed'!$I$150</f>
        <v/>
      </c>
      <c r="G141" s="41" t="str">
        <f aca="false">'Dash Feed'!$J$150</f>
        <v/>
      </c>
      <c r="H141" s="36" t="str">
        <f aca="false">'Dash Feed'!$K$150</f>
        <v/>
      </c>
      <c r="I141" s="42" t="str">
        <f aca="false">'Dash Feed'!$L$150</f>
        <v/>
      </c>
    </row>
    <row r="142" customFormat="false" ht="15" hidden="false" customHeight="true" outlineLevel="0" collapsed="false">
      <c r="A142" s="25" t="n">
        <f aca="false">IF('Dash Feed'!$D$151,1,0)</f>
        <v>0</v>
      </c>
      <c r="B142" s="39" t="str">
        <f aca="false">'Dash Feed'!$F$151</f>
        <v/>
      </c>
      <c r="C142" s="40" t="str">
        <f aca="false">'Dash Feed'!$G$151</f>
        <v/>
      </c>
      <c r="D142" s="40"/>
      <c r="E142" s="36" t="str">
        <f aca="false">'Dash Feed'!$H$151</f>
        <v/>
      </c>
      <c r="F142" s="36" t="str">
        <f aca="false">'Dash Feed'!$I$151</f>
        <v/>
      </c>
      <c r="G142" s="41" t="str">
        <f aca="false">'Dash Feed'!$J$151</f>
        <v/>
      </c>
      <c r="H142" s="36" t="str">
        <f aca="false">'Dash Feed'!$K$151</f>
        <v/>
      </c>
      <c r="I142" s="42" t="str">
        <f aca="false">'Dash Feed'!$L$151</f>
        <v/>
      </c>
    </row>
    <row r="143" customFormat="false" ht="15" hidden="false" customHeight="true" outlineLevel="0" collapsed="false">
      <c r="A143" s="25" t="n">
        <f aca="false">IF('Dash Feed'!$D$152,1,0)</f>
        <v>0</v>
      </c>
      <c r="B143" s="39" t="str">
        <f aca="false">'Dash Feed'!$F$152</f>
        <v/>
      </c>
      <c r="C143" s="40" t="str">
        <f aca="false">'Dash Feed'!$G$152</f>
        <v/>
      </c>
      <c r="D143" s="40"/>
      <c r="E143" s="36" t="str">
        <f aca="false">'Dash Feed'!$H$152</f>
        <v/>
      </c>
      <c r="F143" s="36" t="str">
        <f aca="false">'Dash Feed'!$I$152</f>
        <v/>
      </c>
      <c r="G143" s="41" t="str">
        <f aca="false">'Dash Feed'!$J$152</f>
        <v/>
      </c>
      <c r="H143" s="36" t="str">
        <f aca="false">'Dash Feed'!$K$152</f>
        <v/>
      </c>
      <c r="I143" s="42" t="str">
        <f aca="false">'Dash Feed'!$L$152</f>
        <v/>
      </c>
    </row>
    <row r="144" customFormat="false" ht="15" hidden="false" customHeight="true" outlineLevel="0" collapsed="false">
      <c r="A144" s="25" t="n">
        <f aca="false">IF('Dash Feed'!$D$153,1,0)</f>
        <v>0</v>
      </c>
      <c r="B144" s="39" t="str">
        <f aca="false">'Dash Feed'!$F$153</f>
        <v/>
      </c>
      <c r="C144" s="40" t="str">
        <f aca="false">'Dash Feed'!$G$153</f>
        <v/>
      </c>
      <c r="D144" s="40"/>
      <c r="E144" s="36" t="str">
        <f aca="false">'Dash Feed'!$H$153</f>
        <v/>
      </c>
      <c r="F144" s="36" t="str">
        <f aca="false">'Dash Feed'!$I$153</f>
        <v/>
      </c>
      <c r="G144" s="41" t="str">
        <f aca="false">'Dash Feed'!$J$153</f>
        <v/>
      </c>
      <c r="H144" s="36" t="str">
        <f aca="false">'Dash Feed'!$K$153</f>
        <v/>
      </c>
      <c r="I144" s="42" t="str">
        <f aca="false">'Dash Feed'!$L$153</f>
        <v/>
      </c>
    </row>
    <row r="145" customFormat="false" ht="15" hidden="false" customHeight="true" outlineLevel="0" collapsed="false">
      <c r="A145" s="25" t="n">
        <f aca="false">IF('Dash Feed'!$D$154,1,0)</f>
        <v>0</v>
      </c>
      <c r="B145" s="39" t="str">
        <f aca="false">'Dash Feed'!$F$154</f>
        <v/>
      </c>
      <c r="C145" s="40" t="str">
        <f aca="false">'Dash Feed'!$G$154</f>
        <v/>
      </c>
      <c r="D145" s="40"/>
      <c r="E145" s="36" t="str">
        <f aca="false">'Dash Feed'!$H$154</f>
        <v/>
      </c>
      <c r="F145" s="36" t="str">
        <f aca="false">'Dash Feed'!$I$154</f>
        <v/>
      </c>
      <c r="G145" s="41" t="str">
        <f aca="false">'Dash Feed'!$J$154</f>
        <v/>
      </c>
      <c r="H145" s="36" t="str">
        <f aca="false">'Dash Feed'!$K$154</f>
        <v/>
      </c>
      <c r="I145" s="42" t="str">
        <f aca="false">'Dash Feed'!$L$154</f>
        <v/>
      </c>
    </row>
    <row r="146" customFormat="false" ht="15" hidden="false" customHeight="true" outlineLevel="0" collapsed="false">
      <c r="A146" s="25" t="n">
        <f aca="false">IF('Dash Feed'!$D$155,1,0)</f>
        <v>0</v>
      </c>
      <c r="B146" s="39" t="str">
        <f aca="false">'Dash Feed'!$F$155</f>
        <v/>
      </c>
      <c r="C146" s="40" t="str">
        <f aca="false">'Dash Feed'!$G$155</f>
        <v/>
      </c>
      <c r="D146" s="40"/>
      <c r="E146" s="36" t="str">
        <f aca="false">'Dash Feed'!$H$155</f>
        <v/>
      </c>
      <c r="F146" s="36" t="str">
        <f aca="false">'Dash Feed'!$I$155</f>
        <v/>
      </c>
      <c r="G146" s="41" t="str">
        <f aca="false">'Dash Feed'!$J$155</f>
        <v/>
      </c>
      <c r="H146" s="36" t="str">
        <f aca="false">'Dash Feed'!$K$155</f>
        <v/>
      </c>
      <c r="I146" s="42" t="str">
        <f aca="false">'Dash Feed'!$L$155</f>
        <v/>
      </c>
    </row>
    <row r="147" customFormat="false" ht="15" hidden="false" customHeight="true" outlineLevel="0" collapsed="false">
      <c r="A147" s="25" t="n">
        <f aca="false">IF('Dash Feed'!$D$156,1,0)</f>
        <v>0</v>
      </c>
      <c r="B147" s="39" t="str">
        <f aca="false">'Dash Feed'!$F$156</f>
        <v/>
      </c>
      <c r="C147" s="40" t="str">
        <f aca="false">'Dash Feed'!$G$156</f>
        <v/>
      </c>
      <c r="D147" s="40"/>
      <c r="E147" s="36" t="str">
        <f aca="false">'Dash Feed'!$H$156</f>
        <v/>
      </c>
      <c r="F147" s="36" t="str">
        <f aca="false">'Dash Feed'!$I$156</f>
        <v/>
      </c>
      <c r="G147" s="41" t="str">
        <f aca="false">'Dash Feed'!$J$156</f>
        <v/>
      </c>
      <c r="H147" s="36" t="str">
        <f aca="false">'Dash Feed'!$K$156</f>
        <v/>
      </c>
      <c r="I147" s="42" t="str">
        <f aca="false">'Dash Feed'!$L$156</f>
        <v/>
      </c>
    </row>
    <row r="148" customFormat="false" ht="15" hidden="false" customHeight="true" outlineLevel="0" collapsed="false">
      <c r="A148" s="25" t="n">
        <f aca="false">IF('Dash Feed'!$D$157,1,0)</f>
        <v>0</v>
      </c>
      <c r="B148" s="39" t="str">
        <f aca="false">'Dash Feed'!$F$157</f>
        <v/>
      </c>
      <c r="C148" s="40" t="str">
        <f aca="false">'Dash Feed'!$G$157</f>
        <v/>
      </c>
      <c r="D148" s="40"/>
      <c r="E148" s="36" t="str">
        <f aca="false">'Dash Feed'!$H$157</f>
        <v/>
      </c>
      <c r="F148" s="36" t="str">
        <f aca="false">'Dash Feed'!$I$157</f>
        <v/>
      </c>
      <c r="G148" s="41" t="str">
        <f aca="false">'Dash Feed'!$J$157</f>
        <v/>
      </c>
      <c r="H148" s="36" t="str">
        <f aca="false">'Dash Feed'!$K$157</f>
        <v/>
      </c>
      <c r="I148" s="42" t="str">
        <f aca="false">'Dash Feed'!$L$157</f>
        <v/>
      </c>
    </row>
    <row r="149" customFormat="false" ht="15" hidden="false" customHeight="true" outlineLevel="0" collapsed="false">
      <c r="A149" s="25" t="n">
        <f aca="false">IF('Dash Feed'!$D$158,1,0)</f>
        <v>0</v>
      </c>
      <c r="B149" s="39" t="str">
        <f aca="false">'Dash Feed'!$F$158</f>
        <v/>
      </c>
      <c r="C149" s="40" t="str">
        <f aca="false">'Dash Feed'!$G$158</f>
        <v/>
      </c>
      <c r="D149" s="40"/>
      <c r="E149" s="36" t="str">
        <f aca="false">'Dash Feed'!$H$158</f>
        <v/>
      </c>
      <c r="F149" s="36" t="str">
        <f aca="false">'Dash Feed'!$I$158</f>
        <v/>
      </c>
      <c r="G149" s="41" t="str">
        <f aca="false">'Dash Feed'!$J$158</f>
        <v/>
      </c>
      <c r="H149" s="36" t="str">
        <f aca="false">'Dash Feed'!$K$158</f>
        <v/>
      </c>
      <c r="I149" s="42" t="str">
        <f aca="false">'Dash Feed'!$L$158</f>
        <v/>
      </c>
    </row>
    <row r="150" customFormat="false" ht="15" hidden="false" customHeight="true" outlineLevel="0" collapsed="false">
      <c r="A150" s="25" t="n">
        <f aca="false">IF('Dash Feed'!$D$159,1,0)</f>
        <v>0</v>
      </c>
      <c r="B150" s="39" t="str">
        <f aca="false">'Dash Feed'!$F$159</f>
        <v/>
      </c>
      <c r="C150" s="40" t="str">
        <f aca="false">'Dash Feed'!$G$159</f>
        <v/>
      </c>
      <c r="D150" s="40"/>
      <c r="E150" s="36" t="str">
        <f aca="false">'Dash Feed'!$H$159</f>
        <v/>
      </c>
      <c r="F150" s="36" t="str">
        <f aca="false">'Dash Feed'!$I$159</f>
        <v/>
      </c>
      <c r="G150" s="41" t="str">
        <f aca="false">'Dash Feed'!$J$159</f>
        <v/>
      </c>
      <c r="H150" s="36" t="str">
        <f aca="false">'Dash Feed'!$K$159</f>
        <v/>
      </c>
      <c r="I150" s="42" t="str">
        <f aca="false">'Dash Feed'!$L$159</f>
        <v/>
      </c>
    </row>
    <row r="151" customFormat="false" ht="15" hidden="false" customHeight="true" outlineLevel="0" collapsed="false">
      <c r="A151" s="25" t="n">
        <f aca="false">IF('Dash Feed'!$D$160,1,0)</f>
        <v>0</v>
      </c>
      <c r="B151" s="39" t="str">
        <f aca="false">'Dash Feed'!$F$160</f>
        <v/>
      </c>
      <c r="C151" s="40" t="str">
        <f aca="false">'Dash Feed'!$G$160</f>
        <v/>
      </c>
      <c r="D151" s="40"/>
      <c r="E151" s="36" t="str">
        <f aca="false">'Dash Feed'!$H$160</f>
        <v/>
      </c>
      <c r="F151" s="36" t="str">
        <f aca="false">'Dash Feed'!$I$160</f>
        <v/>
      </c>
      <c r="G151" s="41" t="str">
        <f aca="false">'Dash Feed'!$J$160</f>
        <v/>
      </c>
      <c r="H151" s="36" t="str">
        <f aca="false">'Dash Feed'!$K$160</f>
        <v/>
      </c>
      <c r="I151" s="42" t="str">
        <f aca="false">'Dash Feed'!$L$160</f>
        <v/>
      </c>
    </row>
    <row r="152" customFormat="false" ht="15" hidden="false" customHeight="true" outlineLevel="0" collapsed="false">
      <c r="A152" s="25" t="n">
        <f aca="false">IF('Dash Feed'!$D$161,1,0)</f>
        <v>0</v>
      </c>
      <c r="B152" s="39" t="str">
        <f aca="false">'Dash Feed'!$F$161</f>
        <v/>
      </c>
      <c r="C152" s="40" t="str">
        <f aca="false">'Dash Feed'!$G$161</f>
        <v/>
      </c>
      <c r="D152" s="40"/>
      <c r="E152" s="36" t="str">
        <f aca="false">'Dash Feed'!$H$161</f>
        <v/>
      </c>
      <c r="F152" s="36" t="str">
        <f aca="false">'Dash Feed'!$I$161</f>
        <v/>
      </c>
      <c r="G152" s="41" t="str">
        <f aca="false">'Dash Feed'!$J$161</f>
        <v/>
      </c>
      <c r="H152" s="36" t="str">
        <f aca="false">'Dash Feed'!$K$161</f>
        <v/>
      </c>
      <c r="I152" s="42" t="str">
        <f aca="false">'Dash Feed'!$L$161</f>
        <v/>
      </c>
    </row>
    <row r="153" customFormat="false" ht="15" hidden="false" customHeight="true" outlineLevel="0" collapsed="false">
      <c r="A153" s="25" t="n">
        <f aca="false">IF('Dash Feed'!$D$162,1,0)</f>
        <v>0</v>
      </c>
      <c r="B153" s="39" t="str">
        <f aca="false">'Dash Feed'!$F$162</f>
        <v/>
      </c>
      <c r="C153" s="40" t="str">
        <f aca="false">'Dash Feed'!$G$162</f>
        <v/>
      </c>
      <c r="D153" s="40"/>
      <c r="E153" s="36" t="str">
        <f aca="false">'Dash Feed'!$H$162</f>
        <v/>
      </c>
      <c r="F153" s="36" t="str">
        <f aca="false">'Dash Feed'!$I$162</f>
        <v/>
      </c>
      <c r="G153" s="41" t="str">
        <f aca="false">'Dash Feed'!$J$162</f>
        <v/>
      </c>
      <c r="H153" s="36" t="str">
        <f aca="false">'Dash Feed'!$K$162</f>
        <v/>
      </c>
      <c r="I153" s="42" t="str">
        <f aca="false">'Dash Feed'!$L$162</f>
        <v/>
      </c>
    </row>
    <row r="154" customFormat="false" ht="15" hidden="false" customHeight="true" outlineLevel="0" collapsed="false">
      <c r="A154" s="25" t="n">
        <f aca="false">IF('Dash Feed'!$D$163,1,0)</f>
        <v>0</v>
      </c>
      <c r="B154" s="39" t="str">
        <f aca="false">'Dash Feed'!$F$163</f>
        <v/>
      </c>
      <c r="C154" s="40" t="str">
        <f aca="false">'Dash Feed'!$G$163</f>
        <v/>
      </c>
      <c r="D154" s="40"/>
      <c r="E154" s="36" t="str">
        <f aca="false">'Dash Feed'!$H$163</f>
        <v/>
      </c>
      <c r="F154" s="36" t="str">
        <f aca="false">'Dash Feed'!$I$163</f>
        <v/>
      </c>
      <c r="G154" s="41" t="str">
        <f aca="false">'Dash Feed'!$J$163</f>
        <v/>
      </c>
      <c r="H154" s="36" t="str">
        <f aca="false">'Dash Feed'!$K$163</f>
        <v/>
      </c>
      <c r="I154" s="42" t="str">
        <f aca="false">'Dash Feed'!$L$163</f>
        <v/>
      </c>
    </row>
    <row r="155" customFormat="false" ht="15" hidden="false" customHeight="true" outlineLevel="0" collapsed="false">
      <c r="A155" s="25" t="n">
        <f aca="false">IF('Dash Feed'!$D$164,1,0)</f>
        <v>0</v>
      </c>
      <c r="B155" s="39" t="str">
        <f aca="false">'Dash Feed'!$F$164</f>
        <v/>
      </c>
      <c r="C155" s="40" t="str">
        <f aca="false">'Dash Feed'!$G$164</f>
        <v/>
      </c>
      <c r="D155" s="40"/>
      <c r="E155" s="36" t="str">
        <f aca="false">'Dash Feed'!$H$164</f>
        <v/>
      </c>
      <c r="F155" s="36" t="str">
        <f aca="false">'Dash Feed'!$I$164</f>
        <v/>
      </c>
      <c r="G155" s="41" t="str">
        <f aca="false">'Dash Feed'!$J$164</f>
        <v/>
      </c>
      <c r="H155" s="36" t="str">
        <f aca="false">'Dash Feed'!$K$164</f>
        <v/>
      </c>
      <c r="I155" s="42" t="str">
        <f aca="false">'Dash Feed'!$L$164</f>
        <v/>
      </c>
    </row>
    <row r="156" customFormat="false" ht="15" hidden="false" customHeight="true" outlineLevel="0" collapsed="false">
      <c r="A156" s="25" t="n">
        <f aca="false">IF('Dash Feed'!$D$165,1,0)</f>
        <v>0</v>
      </c>
      <c r="B156" s="39" t="str">
        <f aca="false">'Dash Feed'!$F$165</f>
        <v/>
      </c>
      <c r="C156" s="40" t="str">
        <f aca="false">'Dash Feed'!$G$165</f>
        <v/>
      </c>
      <c r="D156" s="40"/>
      <c r="E156" s="36" t="str">
        <f aca="false">'Dash Feed'!$H$165</f>
        <v/>
      </c>
      <c r="F156" s="36" t="str">
        <f aca="false">'Dash Feed'!$I$165</f>
        <v/>
      </c>
      <c r="G156" s="41" t="str">
        <f aca="false">'Dash Feed'!$J$165</f>
        <v/>
      </c>
      <c r="H156" s="36" t="str">
        <f aca="false">'Dash Feed'!$K$165</f>
        <v/>
      </c>
      <c r="I156" s="42" t="str">
        <f aca="false">'Dash Feed'!$L$165</f>
        <v/>
      </c>
    </row>
    <row r="157" customFormat="false" ht="15" hidden="false" customHeight="true" outlineLevel="0" collapsed="false">
      <c r="A157" s="25" t="n">
        <f aca="false">IF('Dash Feed'!$D$166,1,0)</f>
        <v>0</v>
      </c>
      <c r="B157" s="39" t="str">
        <f aca="false">'Dash Feed'!$F$166</f>
        <v/>
      </c>
      <c r="C157" s="40" t="str">
        <f aca="false">'Dash Feed'!$G$166</f>
        <v/>
      </c>
      <c r="D157" s="40"/>
      <c r="E157" s="36" t="str">
        <f aca="false">'Dash Feed'!$H$166</f>
        <v/>
      </c>
      <c r="F157" s="36" t="str">
        <f aca="false">'Dash Feed'!$I$166</f>
        <v/>
      </c>
      <c r="G157" s="41" t="str">
        <f aca="false">'Dash Feed'!$J$166</f>
        <v/>
      </c>
      <c r="H157" s="36" t="str">
        <f aca="false">'Dash Feed'!$K$166</f>
        <v/>
      </c>
      <c r="I157" s="42" t="str">
        <f aca="false">'Dash Feed'!$L$166</f>
        <v/>
      </c>
    </row>
    <row r="158" customFormat="false" ht="15" hidden="false" customHeight="true" outlineLevel="0" collapsed="false">
      <c r="A158" s="25" t="n">
        <f aca="false">IF('Dash Feed'!$D$167,1,0)</f>
        <v>0</v>
      </c>
      <c r="B158" s="39" t="str">
        <f aca="false">'Dash Feed'!$F$167</f>
        <v/>
      </c>
      <c r="C158" s="40" t="str">
        <f aca="false">'Dash Feed'!$G$167</f>
        <v/>
      </c>
      <c r="D158" s="40"/>
      <c r="E158" s="36" t="str">
        <f aca="false">'Dash Feed'!$H$167</f>
        <v/>
      </c>
      <c r="F158" s="36" t="str">
        <f aca="false">'Dash Feed'!$I$167</f>
        <v/>
      </c>
      <c r="G158" s="41" t="str">
        <f aca="false">'Dash Feed'!$J$167</f>
        <v/>
      </c>
      <c r="H158" s="36" t="str">
        <f aca="false">'Dash Feed'!$K$167</f>
        <v/>
      </c>
      <c r="I158" s="42" t="str">
        <f aca="false">'Dash Feed'!$L$167</f>
        <v/>
      </c>
    </row>
    <row r="159" customFormat="false" ht="15" hidden="false" customHeight="true" outlineLevel="0" collapsed="false">
      <c r="A159" s="25" t="n">
        <f aca="false">IF('Dash Feed'!$D$168,1,0)</f>
        <v>0</v>
      </c>
      <c r="B159" s="39" t="str">
        <f aca="false">'Dash Feed'!$F$168</f>
        <v/>
      </c>
      <c r="C159" s="40" t="str">
        <f aca="false">'Dash Feed'!$G$168</f>
        <v/>
      </c>
      <c r="D159" s="40"/>
      <c r="E159" s="36" t="str">
        <f aca="false">'Dash Feed'!$H$168</f>
        <v/>
      </c>
      <c r="F159" s="36" t="str">
        <f aca="false">'Dash Feed'!$I$168</f>
        <v/>
      </c>
      <c r="G159" s="41" t="str">
        <f aca="false">'Dash Feed'!$J$168</f>
        <v/>
      </c>
      <c r="H159" s="36" t="str">
        <f aca="false">'Dash Feed'!$K$168</f>
        <v/>
      </c>
      <c r="I159" s="42" t="str">
        <f aca="false">'Dash Feed'!$L$168</f>
        <v/>
      </c>
    </row>
    <row r="160" customFormat="false" ht="15" hidden="false" customHeight="true" outlineLevel="0" collapsed="false">
      <c r="A160" s="25" t="n">
        <f aca="false">IF('Dash Feed'!$D$169,1,0)</f>
        <v>0</v>
      </c>
      <c r="B160" s="39" t="str">
        <f aca="false">'Dash Feed'!$F$169</f>
        <v/>
      </c>
      <c r="C160" s="40" t="str">
        <f aca="false">'Dash Feed'!$G$169</f>
        <v/>
      </c>
      <c r="D160" s="40"/>
      <c r="E160" s="36" t="str">
        <f aca="false">'Dash Feed'!$H$169</f>
        <v/>
      </c>
      <c r="F160" s="36" t="str">
        <f aca="false">'Dash Feed'!$I$169</f>
        <v/>
      </c>
      <c r="G160" s="41" t="str">
        <f aca="false">'Dash Feed'!$J$169</f>
        <v/>
      </c>
      <c r="H160" s="36" t="str">
        <f aca="false">'Dash Feed'!$K$169</f>
        <v/>
      </c>
      <c r="I160" s="42" t="str">
        <f aca="false">'Dash Feed'!$L$169</f>
        <v/>
      </c>
    </row>
    <row r="161" customFormat="false" ht="15" hidden="false" customHeight="true" outlineLevel="0" collapsed="false">
      <c r="A161" s="25" t="n">
        <f aca="false">IF('Dash Feed'!$D$170,1,0)</f>
        <v>0</v>
      </c>
      <c r="B161" s="39" t="str">
        <f aca="false">'Dash Feed'!$F$170</f>
        <v/>
      </c>
      <c r="C161" s="40" t="str">
        <f aca="false">'Dash Feed'!$G$170</f>
        <v/>
      </c>
      <c r="D161" s="40"/>
      <c r="E161" s="36" t="str">
        <f aca="false">'Dash Feed'!$H$170</f>
        <v/>
      </c>
      <c r="F161" s="36" t="str">
        <f aca="false">'Dash Feed'!$I$170</f>
        <v/>
      </c>
      <c r="G161" s="41" t="str">
        <f aca="false">'Dash Feed'!$J$170</f>
        <v/>
      </c>
      <c r="H161" s="36" t="str">
        <f aca="false">'Dash Feed'!$K$170</f>
        <v/>
      </c>
      <c r="I161" s="42" t="str">
        <f aca="false">'Dash Feed'!$L$170</f>
        <v/>
      </c>
    </row>
    <row r="162" customFormat="false" ht="15" hidden="false" customHeight="true" outlineLevel="0" collapsed="false">
      <c r="A162" s="25" t="n">
        <f aca="false">IF('Dash Feed'!$D$171,1,0)</f>
        <v>0</v>
      </c>
      <c r="B162" s="39" t="str">
        <f aca="false">'Dash Feed'!$F$171</f>
        <v/>
      </c>
      <c r="C162" s="40" t="str">
        <f aca="false">'Dash Feed'!$G$171</f>
        <v/>
      </c>
      <c r="D162" s="40"/>
      <c r="E162" s="36" t="str">
        <f aca="false">'Dash Feed'!$H$171</f>
        <v/>
      </c>
      <c r="F162" s="36" t="str">
        <f aca="false">'Dash Feed'!$I$171</f>
        <v/>
      </c>
      <c r="G162" s="41" t="str">
        <f aca="false">'Dash Feed'!$J$171</f>
        <v/>
      </c>
      <c r="H162" s="36" t="str">
        <f aca="false">'Dash Feed'!$K$171</f>
        <v/>
      </c>
      <c r="I162" s="42" t="str">
        <f aca="false">'Dash Feed'!$L$171</f>
        <v/>
      </c>
    </row>
    <row r="163" customFormat="false" ht="15" hidden="false" customHeight="true" outlineLevel="0" collapsed="false">
      <c r="A163" s="25" t="n">
        <f aca="false">IF('Dash Feed'!$D$172,1,0)</f>
        <v>0</v>
      </c>
      <c r="B163" s="39" t="str">
        <f aca="false">'Dash Feed'!$F$172</f>
        <v/>
      </c>
      <c r="C163" s="40" t="str">
        <f aca="false">'Dash Feed'!$G$172</f>
        <v/>
      </c>
      <c r="D163" s="40"/>
      <c r="E163" s="36" t="str">
        <f aca="false">'Dash Feed'!$H$172</f>
        <v/>
      </c>
      <c r="F163" s="36" t="str">
        <f aca="false">'Dash Feed'!$I$172</f>
        <v/>
      </c>
      <c r="G163" s="41" t="str">
        <f aca="false">'Dash Feed'!$J$172</f>
        <v/>
      </c>
      <c r="H163" s="36" t="str">
        <f aca="false">'Dash Feed'!$K$172</f>
        <v/>
      </c>
      <c r="I163" s="42" t="str">
        <f aca="false">'Dash Feed'!$L$172</f>
        <v/>
      </c>
    </row>
    <row r="164" customFormat="false" ht="15" hidden="false" customHeight="true" outlineLevel="0" collapsed="false">
      <c r="A164" s="25" t="n">
        <f aca="false">IF('Dash Feed'!$D$173,1,0)</f>
        <v>0</v>
      </c>
      <c r="B164" s="39" t="str">
        <f aca="false">'Dash Feed'!$F$173</f>
        <v/>
      </c>
      <c r="C164" s="40" t="str">
        <f aca="false">'Dash Feed'!$G$173</f>
        <v/>
      </c>
      <c r="D164" s="40"/>
      <c r="E164" s="36" t="str">
        <f aca="false">'Dash Feed'!$H$173</f>
        <v/>
      </c>
      <c r="F164" s="36" t="str">
        <f aca="false">'Dash Feed'!$I$173</f>
        <v/>
      </c>
      <c r="G164" s="41" t="str">
        <f aca="false">'Dash Feed'!$J$173</f>
        <v/>
      </c>
      <c r="H164" s="36" t="str">
        <f aca="false">'Dash Feed'!$K$173</f>
        <v/>
      </c>
      <c r="I164" s="42" t="str">
        <f aca="false">'Dash Feed'!$L$173</f>
        <v/>
      </c>
    </row>
    <row r="165" customFormat="false" ht="15" hidden="false" customHeight="true" outlineLevel="0" collapsed="false">
      <c r="A165" s="25" t="n">
        <f aca="false">IF('Dash Feed'!$D$174,1,0)</f>
        <v>0</v>
      </c>
      <c r="B165" s="39" t="str">
        <f aca="false">'Dash Feed'!$F$174</f>
        <v/>
      </c>
      <c r="C165" s="40" t="str">
        <f aca="false">'Dash Feed'!$G$174</f>
        <v/>
      </c>
      <c r="D165" s="40"/>
      <c r="E165" s="36" t="str">
        <f aca="false">'Dash Feed'!$H$174</f>
        <v/>
      </c>
      <c r="F165" s="36" t="str">
        <f aca="false">'Dash Feed'!$I$174</f>
        <v/>
      </c>
      <c r="G165" s="41" t="str">
        <f aca="false">'Dash Feed'!$J$174</f>
        <v/>
      </c>
      <c r="H165" s="36" t="str">
        <f aca="false">'Dash Feed'!$K$174</f>
        <v/>
      </c>
      <c r="I165" s="42" t="str">
        <f aca="false">'Dash Feed'!$L$174</f>
        <v/>
      </c>
    </row>
    <row r="169" customFormat="false" ht="19.5" hidden="false" customHeight="true" outlineLevel="0" collapsed="false">
      <c r="B169" s="18" t="s">
        <v>63</v>
      </c>
      <c r="C169" s="18"/>
      <c r="D169" s="18"/>
      <c r="E169" s="18"/>
      <c r="F169" s="18"/>
      <c r="G169" s="18"/>
      <c r="H169" s="18"/>
      <c r="I169" s="18"/>
      <c r="K169" s="18" t="s">
        <v>64</v>
      </c>
      <c r="L169" s="18"/>
      <c r="M169" s="18"/>
      <c r="N169" s="18"/>
      <c r="O169" s="18"/>
      <c r="P169" s="18"/>
      <c r="Q169" s="18"/>
    </row>
    <row r="170" customFormat="false" ht="21.75" hidden="false" customHeight="true" outlineLevel="0" collapsed="false">
      <c r="B170" s="33" t="s">
        <v>40</v>
      </c>
      <c r="C170" s="33" t="s">
        <v>41</v>
      </c>
      <c r="D170" s="33"/>
      <c r="E170" s="33" t="s">
        <v>42</v>
      </c>
      <c r="F170" s="33" t="s">
        <v>65</v>
      </c>
      <c r="G170" s="33"/>
      <c r="H170" s="33" t="s">
        <v>66</v>
      </c>
      <c r="I170" s="33"/>
      <c r="K170" s="47" t="s">
        <v>67</v>
      </c>
      <c r="L170" s="47"/>
      <c r="M170" s="47"/>
      <c r="N170" s="47"/>
      <c r="O170" s="47"/>
      <c r="P170" s="47"/>
      <c r="Q170" s="47"/>
    </row>
    <row r="171" customFormat="false" ht="21.75" hidden="false" customHeight="true" outlineLevel="0" collapsed="false">
      <c r="B171" s="48" t="str">
        <f aca="false">'Dash Feed'!$A$4</f>
        <v>Hip</v>
      </c>
      <c r="C171" s="49" t="str">
        <f aca="false">'Dash Feed'!$G$4</f>
        <v>1. Protection</v>
      </c>
      <c r="D171" s="49"/>
      <c r="E171" s="50" t="str">
        <f aca="false">'Dash Feed'!$H$4</f>
        <v>0 / 6</v>
      </c>
      <c r="F171" s="51" t="str">
        <f aca="false">'Dash Feed'!$I$4</f>
        <v>NOT STARTED</v>
      </c>
      <c r="G171" s="51"/>
      <c r="H171" s="52" t="n">
        <f aca="false">'Dash Feed'!$K$4</f>
        <v>46314</v>
      </c>
      <c r="I171" s="52"/>
      <c r="K171" s="47" t="s">
        <v>68</v>
      </c>
      <c r="L171" s="47"/>
      <c r="M171" s="47"/>
      <c r="N171" s="47"/>
      <c r="O171" s="47"/>
      <c r="P171" s="47"/>
      <c r="Q171" s="47"/>
    </row>
    <row r="172" customFormat="false" ht="21.75" hidden="false" customHeight="true" outlineLevel="0" collapsed="false">
      <c r="B172" s="48" t="str">
        <f aca="false">'Dash Feed'!$A$5</f>
        <v>Hamstring</v>
      </c>
      <c r="C172" s="49" t="str">
        <f aca="false">'Dash Feed'!$G$5</f>
        <v>1. Foundation</v>
      </c>
      <c r="D172" s="49"/>
      <c r="E172" s="50" t="str">
        <f aca="false">'Dash Feed'!$H$5</f>
        <v>0 / 6</v>
      </c>
      <c r="F172" s="51" t="str">
        <f aca="false">'Dash Feed'!$I$5</f>
        <v>NOT STARTED</v>
      </c>
      <c r="G172" s="51"/>
      <c r="H172" s="52" t="str">
        <f aca="false">'Dash Feed'!$K$5</f>
        <v/>
      </c>
      <c r="I172" s="52"/>
      <c r="K172" s="47" t="s">
        <v>69</v>
      </c>
      <c r="L172" s="47"/>
      <c r="M172" s="47"/>
      <c r="N172" s="47"/>
      <c r="O172" s="47"/>
      <c r="P172" s="47"/>
      <c r="Q172" s="47"/>
    </row>
    <row r="173" customFormat="false" ht="21.75" hidden="false" customHeight="true" outlineLevel="0" collapsed="false">
      <c r="B173" s="48" t="str">
        <f aca="false">'Dash Feed'!$A$6</f>
        <v>Knee</v>
      </c>
      <c r="C173" s="49" t="str">
        <f aca="false">'Dash Feed'!$G$6</f>
        <v>3. Specific Loading</v>
      </c>
      <c r="D173" s="49"/>
      <c r="E173" s="50" t="str">
        <f aca="false">'Dash Feed'!$H$6</f>
        <v>2 / 6</v>
      </c>
      <c r="F173" s="51" t="str">
        <f aca="false">'Dash Feed'!$I$6</f>
        <v>IN PROGRESS</v>
      </c>
      <c r="G173" s="51"/>
      <c r="H173" s="52" t="n">
        <f aca="false">'Dash Feed'!$K$6</f>
        <v>46307</v>
      </c>
      <c r="I173" s="52"/>
      <c r="K173" s="47" t="s">
        <v>70</v>
      </c>
      <c r="L173" s="47"/>
      <c r="M173" s="47"/>
      <c r="N173" s="47"/>
      <c r="O173" s="47"/>
      <c r="P173" s="47"/>
      <c r="Q173" s="47"/>
    </row>
    <row r="174" customFormat="false" ht="21.75" hidden="false" customHeight="true" outlineLevel="0" collapsed="false">
      <c r="B174" s="48" t="str">
        <f aca="false">'Dash Feed'!$A$7</f>
        <v>Ankle-Foot</v>
      </c>
      <c r="C174" s="49" t="str">
        <f aca="false">'Dash Feed'!$G$7</f>
        <v>1. Protection</v>
      </c>
      <c r="D174" s="49"/>
      <c r="E174" s="50" t="str">
        <f aca="false">'Dash Feed'!$H$7</f>
        <v>0 / 6</v>
      </c>
      <c r="F174" s="51" t="str">
        <f aca="false">'Dash Feed'!$I$7</f>
        <v>NOT STARTED</v>
      </c>
      <c r="G174" s="51"/>
      <c r="H174" s="52" t="str">
        <f aca="false">'Dash Feed'!$K$7</f>
        <v/>
      </c>
      <c r="I174" s="52"/>
      <c r="K174" s="47" t="s">
        <v>71</v>
      </c>
      <c r="L174" s="47"/>
      <c r="M174" s="47"/>
      <c r="N174" s="47"/>
      <c r="O174" s="47"/>
      <c r="P174" s="47"/>
      <c r="Q174" s="47"/>
    </row>
    <row r="175" customFormat="false" ht="21.75" hidden="false" customHeight="true" outlineLevel="0" collapsed="false">
      <c r="B175" s="48" t="str">
        <f aca="false">'Dash Feed'!$A$8</f>
        <v>Shoulder</v>
      </c>
      <c r="C175" s="49" t="str">
        <f aca="false">'Dash Feed'!$G$8</f>
        <v>1. Protection</v>
      </c>
      <c r="D175" s="49"/>
      <c r="E175" s="50" t="str">
        <f aca="false">'Dash Feed'!$H$8</f>
        <v>0 / 6</v>
      </c>
      <c r="F175" s="51" t="str">
        <f aca="false">'Dash Feed'!$I$8</f>
        <v>NOT STARTED</v>
      </c>
      <c r="G175" s="51"/>
      <c r="H175" s="52" t="str">
        <f aca="false">'Dash Feed'!$K$8</f>
        <v/>
      </c>
      <c r="I175" s="52"/>
      <c r="K175" s="47" t="s">
        <v>72</v>
      </c>
      <c r="L175" s="47"/>
      <c r="M175" s="47"/>
      <c r="N175" s="47"/>
      <c r="O175" s="47"/>
      <c r="P175" s="47"/>
      <c r="Q175" s="47"/>
    </row>
  </sheetData>
  <mergeCells count="261">
    <mergeCell ref="B1:L1"/>
    <mergeCell ref="M1:Q1"/>
    <mergeCell ref="B2:Q2"/>
    <mergeCell ref="B4:D4"/>
    <mergeCell ref="E4:F4"/>
    <mergeCell ref="G4:I4"/>
    <mergeCell ref="L4:M4"/>
    <mergeCell ref="N4:O4"/>
    <mergeCell ref="P4:Q4"/>
    <mergeCell ref="B5:D5"/>
    <mergeCell ref="E5:F5"/>
    <mergeCell ref="G5:I5"/>
    <mergeCell ref="L5:M5"/>
    <mergeCell ref="N5:O5"/>
    <mergeCell ref="P5:Q5"/>
    <mergeCell ref="E7:F7"/>
    <mergeCell ref="G7:H7"/>
    <mergeCell ref="L7:M7"/>
    <mergeCell ref="N7:O7"/>
    <mergeCell ref="P7:Q7"/>
    <mergeCell ref="E8:F8"/>
    <mergeCell ref="G8:H8"/>
    <mergeCell ref="L8:M8"/>
    <mergeCell ref="N8:O8"/>
    <mergeCell ref="P8:Q8"/>
    <mergeCell ref="B9:Q9"/>
    <mergeCell ref="B11:Q11"/>
    <mergeCell ref="B12:I12"/>
    <mergeCell ref="K12:Q12"/>
    <mergeCell ref="B13:I13"/>
    <mergeCell ref="K13:Q13"/>
    <mergeCell ref="B14:Q14"/>
    <mergeCell ref="B16:Q16"/>
    <mergeCell ref="B17:C17"/>
    <mergeCell ref="D17:F17"/>
    <mergeCell ref="G17:I17"/>
    <mergeCell ref="K17:L17"/>
    <mergeCell ref="M17:O17"/>
    <mergeCell ref="P17:Q17"/>
    <mergeCell ref="B18:C18"/>
    <mergeCell ref="D18:F18"/>
    <mergeCell ref="G18:I18"/>
    <mergeCell ref="K18:L18"/>
    <mergeCell ref="M18:O18"/>
    <mergeCell ref="P18:Q18"/>
    <mergeCell ref="B19:C19"/>
    <mergeCell ref="D19:F19"/>
    <mergeCell ref="G19:I19"/>
    <mergeCell ref="K19:L19"/>
    <mergeCell ref="M19:O19"/>
    <mergeCell ref="P19:Q19"/>
    <mergeCell ref="B21:Q21"/>
    <mergeCell ref="B22:C22"/>
    <mergeCell ref="D22:F22"/>
    <mergeCell ref="G22:I22"/>
    <mergeCell ref="K22:L22"/>
    <mergeCell ref="M22:O22"/>
    <mergeCell ref="P22:Q22"/>
    <mergeCell ref="B23:C23"/>
    <mergeCell ref="D23:F23"/>
    <mergeCell ref="G23:I23"/>
    <mergeCell ref="K23:L23"/>
    <mergeCell ref="M23:O23"/>
    <mergeCell ref="P23:Q23"/>
    <mergeCell ref="B24:C24"/>
    <mergeCell ref="D24:F24"/>
    <mergeCell ref="G24:I24"/>
    <mergeCell ref="K24:L24"/>
    <mergeCell ref="M24:O24"/>
    <mergeCell ref="P24:Q24"/>
    <mergeCell ref="B26:Q26"/>
    <mergeCell ref="B27:C27"/>
    <mergeCell ref="D27:E27"/>
    <mergeCell ref="F27:G27"/>
    <mergeCell ref="H27:I27"/>
    <mergeCell ref="K27:L27"/>
    <mergeCell ref="M27:N27"/>
    <mergeCell ref="O27:Q27"/>
    <mergeCell ref="B28:C28"/>
    <mergeCell ref="D28:E28"/>
    <mergeCell ref="F28:G28"/>
    <mergeCell ref="H28:I28"/>
    <mergeCell ref="K28:L28"/>
    <mergeCell ref="M28:N28"/>
    <mergeCell ref="O28:Q28"/>
    <mergeCell ref="B29:Q29"/>
    <mergeCell ref="B31:Q31"/>
    <mergeCell ref="B32:C32"/>
    <mergeCell ref="D32:F32"/>
    <mergeCell ref="H32:Q32"/>
    <mergeCell ref="B33:C33"/>
    <mergeCell ref="D33:F33"/>
    <mergeCell ref="H33:Q33"/>
    <mergeCell ref="B34:C34"/>
    <mergeCell ref="D34:F34"/>
    <mergeCell ref="H34:Q34"/>
    <mergeCell ref="B35:C35"/>
    <mergeCell ref="D35:F35"/>
    <mergeCell ref="H35:Q35"/>
    <mergeCell ref="B36:C36"/>
    <mergeCell ref="D36:F36"/>
    <mergeCell ref="H36:Q36"/>
    <mergeCell ref="B37:C37"/>
    <mergeCell ref="D37:F37"/>
    <mergeCell ref="H37:Q37"/>
    <mergeCell ref="B39:I39"/>
    <mergeCell ref="K39:Q39"/>
    <mergeCell ref="C40:D40"/>
    <mergeCell ref="C41:D41"/>
    <mergeCell ref="C42:D42"/>
    <mergeCell ref="C43:D43"/>
    <mergeCell ref="C44:D44"/>
    <mergeCell ref="C45:D45"/>
    <mergeCell ref="K45:Q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K62:Q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B169:I169"/>
    <mergeCell ref="K169:Q169"/>
    <mergeCell ref="C170:D170"/>
    <mergeCell ref="F170:G170"/>
    <mergeCell ref="H170:I170"/>
    <mergeCell ref="K170:Q170"/>
    <mergeCell ref="C171:D171"/>
    <mergeCell ref="F171:G171"/>
    <mergeCell ref="H171:I171"/>
    <mergeCell ref="K171:Q171"/>
    <mergeCell ref="C172:D172"/>
    <mergeCell ref="F172:G172"/>
    <mergeCell ref="H172:I172"/>
    <mergeCell ref="K172:Q172"/>
    <mergeCell ref="C173:D173"/>
    <mergeCell ref="F173:G173"/>
    <mergeCell ref="H173:I173"/>
    <mergeCell ref="K173:Q173"/>
    <mergeCell ref="C174:D174"/>
    <mergeCell ref="F174:G174"/>
    <mergeCell ref="H174:I174"/>
    <mergeCell ref="K174:Q174"/>
    <mergeCell ref="C175:D175"/>
    <mergeCell ref="F175:G175"/>
    <mergeCell ref="H175:I175"/>
    <mergeCell ref="K175:Q175"/>
  </mergeCells>
  <conditionalFormatting sqref="B13:I13">
    <cfRule type="expression" priority="2" aboveAverage="0" equalAverage="0" bottom="0" percent="0" rank="0" text="" dxfId="0">
      <formula>ISNUMBER(SEARCH("Unavailable",$B$13))</formula>
    </cfRule>
    <cfRule type="expression" priority="3" aboveAverage="0" equalAverage="0" bottom="0" percent="0" rank="0" text="" dxfId="1">
      <formula>ISNUMBER(SEARCH("Available for selection",$B$13))</formula>
    </cfRule>
    <cfRule type="expression" priority="4" aboveAverage="0" equalAverage="0" bottom="0" percent="0" rank="0" text="" dxfId="2">
      <formula>ISNUMBER(SEARCH("Modified",$B$13))</formula>
    </cfRule>
    <cfRule type="expression" priority="5" aboveAverage="0" equalAverage="0" bottom="0" percent="0" rank="0" text="" dxfId="2">
      <formula>ISNUMBER(SEARCH("not available",$B$13))</formula>
    </cfRule>
  </conditionalFormatting>
  <conditionalFormatting sqref="B17:C17">
    <cfRule type="expression" priority="6" aboveAverage="0" equalAverage="0" bottom="0" percent="0" rank="0" text="" dxfId="3">
      <formula>$B$20=1</formula>
    </cfRule>
  </conditionalFormatting>
  <conditionalFormatting sqref="B18:C19">
    <cfRule type="expression" priority="7" aboveAverage="0" equalAverage="0" bottom="0" percent="0" rank="0" text="" dxfId="4">
      <formula>$B$20=1</formula>
    </cfRule>
  </conditionalFormatting>
  <conditionalFormatting sqref="D17:F17">
    <cfRule type="expression" priority="8" aboveAverage="0" equalAverage="0" bottom="0" percent="0" rank="0" text="" dxfId="3">
      <formula>$D$20=1</formula>
    </cfRule>
  </conditionalFormatting>
  <conditionalFormatting sqref="D18:F19">
    <cfRule type="expression" priority="9" aboveAverage="0" equalAverage="0" bottom="0" percent="0" rank="0" text="" dxfId="4">
      <formula>$D$20=1</formula>
    </cfRule>
  </conditionalFormatting>
  <conditionalFormatting sqref="G17:I17">
    <cfRule type="expression" priority="10" aboveAverage="0" equalAverage="0" bottom="0" percent="0" rank="0" text="" dxfId="3">
      <formula>$G$20=1</formula>
    </cfRule>
  </conditionalFormatting>
  <conditionalFormatting sqref="G18:I19">
    <cfRule type="expression" priority="11" aboveAverage="0" equalAverage="0" bottom="0" percent="0" rank="0" text="" dxfId="4">
      <formula>$G$20=1</formula>
    </cfRule>
  </conditionalFormatting>
  <conditionalFormatting sqref="K17:L17">
    <cfRule type="expression" priority="12" aboveAverage="0" equalAverage="0" bottom="0" percent="0" rank="0" text="" dxfId="3">
      <formula>$K$20=1</formula>
    </cfRule>
  </conditionalFormatting>
  <conditionalFormatting sqref="K18:L19">
    <cfRule type="expression" priority="13" aboveAverage="0" equalAverage="0" bottom="0" percent="0" rank="0" text="" dxfId="4">
      <formula>$K$20=1</formula>
    </cfRule>
  </conditionalFormatting>
  <conditionalFormatting sqref="M17:O17">
    <cfRule type="expression" priority="14" aboveAverage="0" equalAverage="0" bottom="0" percent="0" rank="0" text="" dxfId="3">
      <formula>$M$20=1</formula>
    </cfRule>
  </conditionalFormatting>
  <conditionalFormatting sqref="M18:O19">
    <cfRule type="expression" priority="15" aboveAverage="0" equalAverage="0" bottom="0" percent="0" rank="0" text="" dxfId="4">
      <formula>$M$20=1</formula>
    </cfRule>
  </conditionalFormatting>
  <conditionalFormatting sqref="P17:Q17">
    <cfRule type="expression" priority="16" aboveAverage="0" equalAverage="0" bottom="0" percent="0" rank="0" text="" dxfId="3">
      <formula>$P$20=1</formula>
    </cfRule>
  </conditionalFormatting>
  <conditionalFormatting sqref="P18:Q19">
    <cfRule type="expression" priority="17" aboveAverage="0" equalAverage="0" bottom="0" percent="0" rank="0" text="" dxfId="4">
      <formula>$P$20=1</formula>
    </cfRule>
  </conditionalFormatting>
  <conditionalFormatting sqref="B22:C22">
    <cfRule type="expression" priority="18" aboveAverage="0" equalAverage="0" bottom="0" percent="0" rank="0" text="" dxfId="5">
      <formula>$B$22=""</formula>
    </cfRule>
  </conditionalFormatting>
  <conditionalFormatting sqref="D22:F22">
    <cfRule type="expression" priority="19" aboveAverage="0" equalAverage="0" bottom="0" percent="0" rank="0" text="" dxfId="5">
      <formula>$D$22=""</formula>
    </cfRule>
  </conditionalFormatting>
  <conditionalFormatting sqref="G22:I22">
    <cfRule type="expression" priority="20" aboveAverage="0" equalAverage="0" bottom="0" percent="0" rank="0" text="" dxfId="5">
      <formula>$G$22=""</formula>
    </cfRule>
  </conditionalFormatting>
  <conditionalFormatting sqref="K22:L22">
    <cfRule type="expression" priority="21" aboveAverage="0" equalAverage="0" bottom="0" percent="0" rank="0" text="" dxfId="5">
      <formula>$K$22=""</formula>
    </cfRule>
  </conditionalFormatting>
  <conditionalFormatting sqref="M22:O22">
    <cfRule type="expression" priority="22" aboveAverage="0" equalAverage="0" bottom="0" percent="0" rank="0" text="" dxfId="5">
      <formula>$M$22=""</formula>
    </cfRule>
  </conditionalFormatting>
  <conditionalFormatting sqref="P22:Q22">
    <cfRule type="expression" priority="23" aboveAverage="0" equalAverage="0" bottom="0" percent="0" rank="0" text="" dxfId="5">
      <formula>$P$22=""</formula>
    </cfRule>
  </conditionalFormatting>
  <conditionalFormatting sqref="B28:C28">
    <cfRule type="expression" priority="24" aboveAverage="0" equalAverage="0" bottom="0" percent="0" rank="0" text="" dxfId="3">
      <formula>$B$28&lt;&gt;""</formula>
    </cfRule>
  </conditionalFormatting>
  <conditionalFormatting sqref="D28:E28">
    <cfRule type="expression" priority="25" aboveAverage="0" equalAverage="0" bottom="0" percent="0" rank="0" text="" dxfId="3">
      <formula>$D$28&lt;&gt;""</formula>
    </cfRule>
  </conditionalFormatting>
  <conditionalFormatting sqref="F28:G28">
    <cfRule type="expression" priority="26" aboveAverage="0" equalAverage="0" bottom="0" percent="0" rank="0" text="" dxfId="3">
      <formula>$F$28&lt;&gt;""</formula>
    </cfRule>
  </conditionalFormatting>
  <conditionalFormatting sqref="H28:I28">
    <cfRule type="expression" priority="27" aboveAverage="0" equalAverage="0" bottom="0" percent="0" rank="0" text="" dxfId="3">
      <formula>$H$28&lt;&gt;""</formula>
    </cfRule>
  </conditionalFormatting>
  <conditionalFormatting sqref="K28:L28">
    <cfRule type="expression" priority="28" aboveAverage="0" equalAverage="0" bottom="0" percent="0" rank="0" text="" dxfId="3">
      <formula>$K$28&lt;&gt;""</formula>
    </cfRule>
  </conditionalFormatting>
  <conditionalFormatting sqref="B33:Q37">
    <cfRule type="expression" priority="29" aboveAverage="0" equalAverage="0" bottom="0" percent="0" rank="0" text="" dxfId="6">
      <formula>$B33&lt;&gt;""</formula>
    </cfRule>
  </conditionalFormatting>
  <conditionalFormatting sqref="B41:I165">
    <cfRule type="expression" priority="30" aboveAverage="0" equalAverage="0" bottom="0" percent="0" rank="0" text="" dxfId="3">
      <formula>$A41=1</formula>
    </cfRule>
    <cfRule type="expression" priority="31" aboveAverage="0" equalAverage="0" bottom="0" percent="0" rank="0" text="" dxfId="6">
      <formula>$C41&lt;&gt;""</formula>
    </cfRule>
  </conditionalFormatting>
  <conditionalFormatting sqref="G41:G165">
    <cfRule type="expression" priority="32" aboveAverage="0" equalAverage="0" bottom="0" percent="0" rank="0" text="" dxfId="7">
      <formula>AND(ISNUMBER(G41),G41&gt;=$M$28)</formula>
    </cfRule>
    <cfRule type="expression" priority="33" aboveAverage="0" equalAverage="0" bottom="0" percent="0" rank="0" text="" dxfId="8">
      <formula>AND(ISNUMBER(G41),G41&gt;=($M$28-0.1),G41&lt;$M$28)</formula>
    </cfRule>
    <cfRule type="expression" priority="34" aboveAverage="0" equalAverage="0" bottom="0" percent="0" rank="0" text="" dxfId="9">
      <formula>AND(ISNUMBER(G41),G41&lt;($M$28-0.1))</formula>
    </cfRule>
  </conditionalFormatting>
  <conditionalFormatting sqref="H41:H165">
    <cfRule type="expression" priority="35" aboveAverage="0" equalAverage="0" bottom="0" percent="0" rank="0" text="" dxfId="10">
      <formula>LEFT(H41,1)="+"</formula>
    </cfRule>
    <cfRule type="expression" priority="36" aboveAverage="0" equalAverage="0" bottom="0" percent="0" rank="0" text="" dxfId="11">
      <formula>LEFT(H41,1)="-"</formula>
    </cfRule>
  </conditionalFormatting>
  <conditionalFormatting sqref="L43:Q43">
    <cfRule type="expression" priority="37" aboveAverage="0" equalAverage="0" bottom="0" percent="0" rank="0" text="" dxfId="7">
      <formula>AND(ISNUMBER(L43),L43&gt;=1)</formula>
    </cfRule>
    <cfRule type="expression" priority="38" aboveAverage="0" equalAverage="0" bottom="0" percent="0" rank="0" text="" dxfId="8">
      <formula>AND(ISNUMBER(L43),L43&gt;=0.8,L43&lt;1)</formula>
    </cfRule>
    <cfRule type="expression" priority="39" aboveAverage="0" equalAverage="0" bottom="0" percent="0" rank="0" text="" dxfId="9">
      <formula>AND(ISNUMBER(L43),L43&lt;0.8)</formula>
    </cfRule>
  </conditionalFormatting>
  <conditionalFormatting sqref="F171:F175">
    <cfRule type="expression" priority="40" aboveAverage="0" equalAverage="0" bottom="0" percent="0" rank="0" text="" dxfId="12">
      <formula>OR(F171="READY",F171="COMPLETE",F171="MET",F171="Y")</formula>
    </cfRule>
    <cfRule type="expression" priority="41" aboveAverage="0" equalAverage="0" bottom="0" percent="0" rank="0" text="" dxfId="13">
      <formula>F171="IN PROGRESS"</formula>
    </cfRule>
    <cfRule type="expression" priority="42" aboveAverage="0" equalAverage="0" bottom="0" percent="0" rank="0" text="" dxfId="14">
      <formula>OR(F171="NOT READY",F171="NOT STARTED",F171="BELOW",F171="N",F171="NOT MET")</formula>
    </cfRule>
  </conditionalFormatting>
  <dataValidations count="3">
    <dataValidation allowBlank="true" errorStyle="stop" operator="between" showDropDown="false" showErrorMessage="false" showInputMessage="false" sqref="K5" type="list">
      <formula1>"L,R"</formula1>
      <formula2>0</formula2>
    </dataValidation>
    <dataValidation allowBlank="true" errorStyle="stop" operator="between" showDropDown="false" showErrorMessage="false" showInputMessage="false" sqref="B28 D28 F28 H28 K28" type="list">
      <formula1>Lists!$L$3</formula1>
      <formula2>0</formula2>
    </dataValidation>
    <dataValidation allowBlank="true" errorStyle="stop" operator="between" showDropDown="false" showErrorMessage="false" showInputMessage="false" sqref="O28" type="list">
      <formula1>Lists!$A$3:$A$7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D00"/>
    <pageSetUpPr fitToPage="false"/>
  </sheetPr>
  <dimension ref="A1:K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38"/>
    <col collapsed="false" customWidth="true" hidden="false" outlineLevel="0" max="4" min="4" style="0" width="40"/>
    <col collapsed="false" customWidth="true" hidden="false" outlineLevel="0" max="9" min="5" style="0" width="9"/>
    <col collapsed="false" customWidth="true" hidden="false" outlineLevel="0" max="10" min="10" style="0" width="70"/>
    <col collapsed="false" customWidth="true" hidden="false" outlineLevel="0" max="11" min="11" style="0" width="34"/>
  </cols>
  <sheetData>
    <row r="1" customFormat="false" ht="27.75" hidden="false" customHeight="true" outlineLevel="0" collapsed="false">
      <c r="A1" s="53" t="s">
        <v>73</v>
      </c>
      <c r="B1" s="53"/>
      <c r="C1" s="53"/>
      <c r="D1" s="53"/>
      <c r="E1" s="53"/>
      <c r="F1" s="53"/>
      <c r="G1" s="53"/>
      <c r="H1" s="53"/>
      <c r="I1" s="53"/>
      <c r="J1" s="53"/>
      <c r="K1" s="53"/>
    </row>
    <row r="2" customFormat="false" ht="27.75" hidden="false" customHeight="true" outlineLevel="0" collapsed="false">
      <c r="A2" s="54" t="s">
        <v>74</v>
      </c>
      <c r="B2" s="54"/>
      <c r="C2" s="54"/>
      <c r="D2" s="54"/>
      <c r="E2" s="54"/>
      <c r="F2" s="54"/>
      <c r="G2" s="54"/>
      <c r="H2" s="54"/>
      <c r="I2" s="54"/>
      <c r="J2" s="54"/>
      <c r="K2" s="54"/>
    </row>
    <row r="4" customFormat="false" ht="31.5" hidden="false" customHeight="true" outlineLevel="0" collapsed="false">
      <c r="A4" s="55" t="s">
        <v>52</v>
      </c>
      <c r="B4" s="55" t="s">
        <v>75</v>
      </c>
      <c r="C4" s="55" t="s">
        <v>76</v>
      </c>
      <c r="D4" s="55" t="s">
        <v>77</v>
      </c>
      <c r="E4" s="55" t="s">
        <v>78</v>
      </c>
      <c r="F4" s="55" t="s">
        <v>79</v>
      </c>
      <c r="G4" s="55" t="s">
        <v>80</v>
      </c>
      <c r="H4" s="55" t="s">
        <v>81</v>
      </c>
      <c r="I4" s="55" t="s">
        <v>82</v>
      </c>
      <c r="J4" s="55" t="s">
        <v>83</v>
      </c>
      <c r="K4" s="55" t="s">
        <v>84</v>
      </c>
    </row>
    <row r="5" customFormat="false" ht="15" hidden="false" customHeight="false" outlineLevel="0" collapsed="false">
      <c r="A5" s="56" t="n">
        <v>46244</v>
      </c>
      <c r="B5" s="57" t="n">
        <f aca="false">IF(A5="","",IF(Dashboard!$L$5="","",INT((A5-Dashboard!$L$5)/7)+1))</f>
        <v>1</v>
      </c>
      <c r="C5" s="58" t="s">
        <v>85</v>
      </c>
      <c r="D5" s="58" t="s">
        <v>86</v>
      </c>
      <c r="E5" s="59"/>
      <c r="F5" s="59"/>
      <c r="G5" s="59"/>
      <c r="H5" s="59"/>
      <c r="I5" s="59"/>
      <c r="J5" s="60" t="str">
        <f aca="false">IF(OR(A5="",D5=""),"",D5&amp;IF(COUNTA(E5:I5)=0,""," + "&amp;_xlfn.TEXTJOIN(" + ",TRUE(),IF(E5&lt;&gt;"","accel/decel",""),IF(F5&lt;&gt;"","change of direction",""),IF(G5&lt;&gt;"","high-speed running",""),IF(H5&lt;&gt;"","sprint distance",""),IF(I5&lt;&gt;"","top-speed exposure",""))))</f>
        <v>Gym-based — strength focus</v>
      </c>
      <c r="K5" s="61" t="s">
        <v>87</v>
      </c>
    </row>
    <row r="6" customFormat="false" ht="15" hidden="false" customHeight="false" outlineLevel="0" collapsed="false">
      <c r="A6" s="56" t="n">
        <v>46279</v>
      </c>
      <c r="B6" s="57" t="n">
        <f aca="false">IF(A6="","",IF(Dashboard!$L$5="","",INT((A6-Dashboard!$L$5)/7)+1))</f>
        <v>6</v>
      </c>
      <c r="C6" s="58" t="s">
        <v>85</v>
      </c>
      <c r="D6" s="58" t="s">
        <v>88</v>
      </c>
      <c r="E6" s="59"/>
      <c r="F6" s="59"/>
      <c r="G6" s="59"/>
      <c r="H6" s="59"/>
      <c r="I6" s="59"/>
      <c r="J6" s="60" t="str">
        <f aca="false">IF(OR(A6="",D6=""),"",D6&amp;IF(COUNTA(E6:I6)=0,""," + "&amp;_xlfn.TEXTJOIN(" + ",TRUE(),IF(E6&lt;&gt;"","accel/decel",""),IF(F6&lt;&gt;"","change of direction",""),IF(G6&lt;&gt;"","high-speed running",""),IF(H6&lt;&gt;"","sprint distance",""),IF(I6&lt;&gt;"","top-speed exposure",""))))</f>
        <v>Gym-based — strength + plyometric focus</v>
      </c>
      <c r="K6" s="61" t="s">
        <v>87</v>
      </c>
    </row>
    <row r="7" customFormat="false" ht="15" hidden="false" customHeight="false" outlineLevel="0" collapsed="false">
      <c r="A7" s="56" t="n">
        <v>46307</v>
      </c>
      <c r="B7" s="57" t="n">
        <f aca="false">IF(A7="","",IF(Dashboard!$L$5="","",INT((A7-Dashboard!$L$5)/7)+1))</f>
        <v>10</v>
      </c>
      <c r="C7" s="58" t="s">
        <v>85</v>
      </c>
      <c r="D7" s="58" t="s">
        <v>89</v>
      </c>
      <c r="E7" s="59"/>
      <c r="F7" s="59"/>
      <c r="G7" s="59"/>
      <c r="H7" s="59"/>
      <c r="I7" s="59"/>
      <c r="J7" s="60" t="str">
        <f aca="false">IF(OR(A7="",D7=""),"",D7&amp;IF(COUNTA(E7:I7)=0,""," + "&amp;_xlfn.TEXTJOIN(" + ",TRUE(),IF(E7&lt;&gt;"","accel/decel",""),IF(F7&lt;&gt;"","change of direction",""),IF(G7&lt;&gt;"","high-speed running",""),IF(H7&lt;&gt;"","sprint distance",""),IF(I7&lt;&gt;"","top-speed exposure",""))))</f>
        <v>Pitch-based — linear running / volume focus</v>
      </c>
      <c r="K7" s="61" t="s">
        <v>87</v>
      </c>
    </row>
    <row r="8" customFormat="false" ht="15" hidden="false" customHeight="false" outlineLevel="0" collapsed="false">
      <c r="A8" s="56" t="n">
        <v>46314</v>
      </c>
      <c r="B8" s="57" t="n">
        <f aca="false">IF(A8="","",IF(Dashboard!$L$5="","",INT((A8-Dashboard!$L$5)/7)+1))</f>
        <v>11</v>
      </c>
      <c r="C8" s="58" t="s">
        <v>85</v>
      </c>
      <c r="D8" s="58" t="s">
        <v>89</v>
      </c>
      <c r="E8" s="59" t="s">
        <v>36</v>
      </c>
      <c r="F8" s="59"/>
      <c r="G8" s="59"/>
      <c r="H8" s="59"/>
      <c r="I8" s="59"/>
      <c r="J8" s="60" t="str">
        <f aca="false">IF(OR(A8="",D8=""),"",D8&amp;IF(COUNTA(E8:I8)=0,""," + "&amp;_xlfn.TEXTJOIN(" + ",TRUE(),IF(E8&lt;&gt;"","accel/decel",""),IF(F8&lt;&gt;"","change of direction",""),IF(G8&lt;&gt;"","high-speed running",""),IF(H8&lt;&gt;"","sprint distance",""),IF(I8&lt;&gt;"","top-speed exposure",""))))</f>
        <v>Pitch-based — linear running / volume focus + accel/decel</v>
      </c>
      <c r="K8" s="61" t="s">
        <v>87</v>
      </c>
    </row>
    <row r="9" customFormat="false" ht="15" hidden="false" customHeight="false" outlineLevel="0" collapsed="false">
      <c r="A9" s="56"/>
      <c r="B9" s="57" t="str">
        <f aca="false">IF(A9="","",IF(Dashboard!$L$5="","",INT((A9-Dashboard!$L$5)/7)+1))</f>
        <v/>
      </c>
      <c r="C9" s="58"/>
      <c r="D9" s="58"/>
      <c r="E9" s="59"/>
      <c r="F9" s="59"/>
      <c r="G9" s="59"/>
      <c r="H9" s="59"/>
      <c r="I9" s="59"/>
      <c r="J9" s="60" t="str">
        <f aca="false">IF(OR(A9="",D9=""),"",D9&amp;IF(COUNTA(E9:I9)=0,""," + "&amp;_xlfn.TEXTJOIN(" + ",TRUE(),IF(E9&lt;&gt;"","accel/decel",""),IF(F9&lt;&gt;"","change of direction",""),IF(G9&lt;&gt;"","high-speed running",""),IF(H9&lt;&gt;"","sprint distance",""),IF(I9&lt;&gt;"","top-speed exposure",""))))</f>
        <v/>
      </c>
      <c r="K9" s="58"/>
    </row>
    <row r="10" customFormat="false" ht="15" hidden="false" customHeight="false" outlineLevel="0" collapsed="false">
      <c r="A10" s="56"/>
      <c r="B10" s="57" t="str">
        <f aca="false">IF(A10="","",IF(Dashboard!$L$5="","",INT((A10-Dashboard!$L$5)/7)+1))</f>
        <v/>
      </c>
      <c r="C10" s="58"/>
      <c r="D10" s="58"/>
      <c r="E10" s="59"/>
      <c r="F10" s="59"/>
      <c r="G10" s="59"/>
      <c r="H10" s="59"/>
      <c r="I10" s="59"/>
      <c r="J10" s="60" t="str">
        <f aca="false">IF(OR(A10="",D10=""),"",D10&amp;IF(COUNTA(E10:I10)=0,""," + "&amp;_xlfn.TEXTJOIN(" + ",TRUE(),IF(E10&lt;&gt;"","accel/decel",""),IF(F10&lt;&gt;"","change of direction",""),IF(G10&lt;&gt;"","high-speed running",""),IF(H10&lt;&gt;"","sprint distance",""),IF(I10&lt;&gt;"","top-speed exposure",""))))</f>
        <v/>
      </c>
      <c r="K10" s="58"/>
    </row>
    <row r="11" customFormat="false" ht="15" hidden="false" customHeight="false" outlineLevel="0" collapsed="false">
      <c r="A11" s="56"/>
      <c r="B11" s="57" t="str">
        <f aca="false">IF(A11="","",IF(Dashboard!$L$5="","",INT((A11-Dashboard!$L$5)/7)+1))</f>
        <v/>
      </c>
      <c r="C11" s="58"/>
      <c r="D11" s="58"/>
      <c r="E11" s="59"/>
      <c r="F11" s="59"/>
      <c r="G11" s="59"/>
      <c r="H11" s="59"/>
      <c r="I11" s="59"/>
      <c r="J11" s="60" t="str">
        <f aca="false">IF(OR(A11="",D11=""),"",D11&amp;IF(COUNTA(E11:I11)=0,""," + "&amp;_xlfn.TEXTJOIN(" + ",TRUE(),IF(E11&lt;&gt;"","accel/decel",""),IF(F11&lt;&gt;"","change of direction",""),IF(G11&lt;&gt;"","high-speed running",""),IF(H11&lt;&gt;"","sprint distance",""),IF(I11&lt;&gt;"","top-speed exposure",""))))</f>
        <v/>
      </c>
      <c r="K11" s="58"/>
    </row>
    <row r="12" customFormat="false" ht="15" hidden="false" customHeight="false" outlineLevel="0" collapsed="false">
      <c r="A12" s="56"/>
      <c r="B12" s="57" t="str">
        <f aca="false">IF(A12="","",IF(Dashboard!$L$5="","",INT((A12-Dashboard!$L$5)/7)+1))</f>
        <v/>
      </c>
      <c r="C12" s="58"/>
      <c r="D12" s="58"/>
      <c r="E12" s="59"/>
      <c r="F12" s="59"/>
      <c r="G12" s="59"/>
      <c r="H12" s="59"/>
      <c r="I12" s="59"/>
      <c r="J12" s="60" t="str">
        <f aca="false">IF(OR(A12="",D12=""),"",D12&amp;IF(COUNTA(E12:I12)=0,""," + "&amp;_xlfn.TEXTJOIN(" + ",TRUE(),IF(E12&lt;&gt;"","accel/decel",""),IF(F12&lt;&gt;"","change of direction",""),IF(G12&lt;&gt;"","high-speed running",""),IF(H12&lt;&gt;"","sprint distance",""),IF(I12&lt;&gt;"","top-speed exposure",""))))</f>
        <v/>
      </c>
      <c r="K12" s="58"/>
    </row>
    <row r="13" customFormat="false" ht="15" hidden="false" customHeight="false" outlineLevel="0" collapsed="false">
      <c r="A13" s="56"/>
      <c r="B13" s="57" t="str">
        <f aca="false">IF(A13="","",IF(Dashboard!$L$5="","",INT((A13-Dashboard!$L$5)/7)+1))</f>
        <v/>
      </c>
      <c r="C13" s="58"/>
      <c r="D13" s="58"/>
      <c r="E13" s="59"/>
      <c r="F13" s="59"/>
      <c r="G13" s="59"/>
      <c r="H13" s="59"/>
      <c r="I13" s="59"/>
      <c r="J13" s="60" t="str">
        <f aca="false">IF(OR(A13="",D13=""),"",D13&amp;IF(COUNTA(E13:I13)=0,""," + "&amp;_xlfn.TEXTJOIN(" + ",TRUE(),IF(E13&lt;&gt;"","accel/decel",""),IF(F13&lt;&gt;"","change of direction",""),IF(G13&lt;&gt;"","high-speed running",""),IF(H13&lt;&gt;"","sprint distance",""),IF(I13&lt;&gt;"","top-speed exposure",""))))</f>
        <v/>
      </c>
      <c r="K13" s="58"/>
    </row>
    <row r="14" customFormat="false" ht="15" hidden="false" customHeight="false" outlineLevel="0" collapsed="false">
      <c r="A14" s="56"/>
      <c r="B14" s="57" t="str">
        <f aca="false">IF(A14="","",IF(Dashboard!$L$5="","",INT((A14-Dashboard!$L$5)/7)+1))</f>
        <v/>
      </c>
      <c r="C14" s="58"/>
      <c r="D14" s="58"/>
      <c r="E14" s="59"/>
      <c r="F14" s="59"/>
      <c r="G14" s="59"/>
      <c r="H14" s="59"/>
      <c r="I14" s="59"/>
      <c r="J14" s="60" t="str">
        <f aca="false">IF(OR(A14="",D14=""),"",D14&amp;IF(COUNTA(E14:I14)=0,""," + "&amp;_xlfn.TEXTJOIN(" + ",TRUE(),IF(E14&lt;&gt;"","accel/decel",""),IF(F14&lt;&gt;"","change of direction",""),IF(G14&lt;&gt;"","high-speed running",""),IF(H14&lt;&gt;"","sprint distance",""),IF(I14&lt;&gt;"","top-speed exposure",""))))</f>
        <v/>
      </c>
      <c r="K14" s="58"/>
    </row>
    <row r="15" customFormat="false" ht="15" hidden="false" customHeight="false" outlineLevel="0" collapsed="false">
      <c r="A15" s="56"/>
      <c r="B15" s="57" t="str">
        <f aca="false">IF(A15="","",IF(Dashboard!$L$5="","",INT((A15-Dashboard!$L$5)/7)+1))</f>
        <v/>
      </c>
      <c r="C15" s="58"/>
      <c r="D15" s="58"/>
      <c r="E15" s="59"/>
      <c r="F15" s="59"/>
      <c r="G15" s="59"/>
      <c r="H15" s="59"/>
      <c r="I15" s="59"/>
      <c r="J15" s="60" t="str">
        <f aca="false">IF(OR(A15="",D15=""),"",D15&amp;IF(COUNTA(E15:I15)=0,""," + "&amp;_xlfn.TEXTJOIN(" + ",TRUE(),IF(E15&lt;&gt;"","accel/decel",""),IF(F15&lt;&gt;"","change of direction",""),IF(G15&lt;&gt;"","high-speed running",""),IF(H15&lt;&gt;"","sprint distance",""),IF(I15&lt;&gt;"","top-speed exposure",""))))</f>
        <v/>
      </c>
      <c r="K15" s="58"/>
    </row>
    <row r="16" customFormat="false" ht="15" hidden="false" customHeight="false" outlineLevel="0" collapsed="false">
      <c r="A16" s="56"/>
      <c r="B16" s="57" t="str">
        <f aca="false">IF(A16="","",IF(Dashboard!$L$5="","",INT((A16-Dashboard!$L$5)/7)+1))</f>
        <v/>
      </c>
      <c r="C16" s="58"/>
      <c r="D16" s="58"/>
      <c r="E16" s="59"/>
      <c r="F16" s="59"/>
      <c r="G16" s="59"/>
      <c r="H16" s="59"/>
      <c r="I16" s="59"/>
      <c r="J16" s="60" t="str">
        <f aca="false">IF(OR(A16="",D16=""),"",D16&amp;IF(COUNTA(E16:I16)=0,""," + "&amp;_xlfn.TEXTJOIN(" + ",TRUE(),IF(E16&lt;&gt;"","accel/decel",""),IF(F16&lt;&gt;"","change of direction",""),IF(G16&lt;&gt;"","high-speed running",""),IF(H16&lt;&gt;"","sprint distance",""),IF(I16&lt;&gt;"","top-speed exposure",""))))</f>
        <v/>
      </c>
      <c r="K16" s="58"/>
    </row>
    <row r="17" customFormat="false" ht="15" hidden="false" customHeight="false" outlineLevel="0" collapsed="false">
      <c r="A17" s="56"/>
      <c r="B17" s="57" t="str">
        <f aca="false">IF(A17="","",IF(Dashboard!$L$5="","",INT((A17-Dashboard!$L$5)/7)+1))</f>
        <v/>
      </c>
      <c r="C17" s="58"/>
      <c r="D17" s="58"/>
      <c r="E17" s="59"/>
      <c r="F17" s="59"/>
      <c r="G17" s="59"/>
      <c r="H17" s="59"/>
      <c r="I17" s="59"/>
      <c r="J17" s="60" t="str">
        <f aca="false">IF(OR(A17="",D17=""),"",D17&amp;IF(COUNTA(E17:I17)=0,""," + "&amp;_xlfn.TEXTJOIN(" + ",TRUE(),IF(E17&lt;&gt;"","accel/decel",""),IF(F17&lt;&gt;"","change of direction",""),IF(G17&lt;&gt;"","high-speed running",""),IF(H17&lt;&gt;"","sprint distance",""),IF(I17&lt;&gt;"","top-speed exposure",""))))</f>
        <v/>
      </c>
      <c r="K17" s="58"/>
    </row>
    <row r="18" customFormat="false" ht="15" hidden="false" customHeight="false" outlineLevel="0" collapsed="false">
      <c r="A18" s="56"/>
      <c r="B18" s="57" t="str">
        <f aca="false">IF(A18="","",IF(Dashboard!$L$5="","",INT((A18-Dashboard!$L$5)/7)+1))</f>
        <v/>
      </c>
      <c r="C18" s="58"/>
      <c r="D18" s="58"/>
      <c r="E18" s="59"/>
      <c r="F18" s="59"/>
      <c r="G18" s="59"/>
      <c r="H18" s="59"/>
      <c r="I18" s="59"/>
      <c r="J18" s="60" t="str">
        <f aca="false">IF(OR(A18="",D18=""),"",D18&amp;IF(COUNTA(E18:I18)=0,""," + "&amp;_xlfn.TEXTJOIN(" + ",TRUE(),IF(E18&lt;&gt;"","accel/decel",""),IF(F18&lt;&gt;"","change of direction",""),IF(G18&lt;&gt;"","high-speed running",""),IF(H18&lt;&gt;"","sprint distance",""),IF(I18&lt;&gt;"","top-speed exposure",""))))</f>
        <v/>
      </c>
      <c r="K18" s="58"/>
    </row>
    <row r="19" customFormat="false" ht="15" hidden="false" customHeight="false" outlineLevel="0" collapsed="false">
      <c r="A19" s="56"/>
      <c r="B19" s="57" t="str">
        <f aca="false">IF(A19="","",IF(Dashboard!$L$5="","",INT((A19-Dashboard!$L$5)/7)+1))</f>
        <v/>
      </c>
      <c r="C19" s="58"/>
      <c r="D19" s="58"/>
      <c r="E19" s="59"/>
      <c r="F19" s="59"/>
      <c r="G19" s="59"/>
      <c r="H19" s="59"/>
      <c r="I19" s="59"/>
      <c r="J19" s="60" t="str">
        <f aca="false">IF(OR(A19="",D19=""),"",D19&amp;IF(COUNTA(E19:I19)=0,""," + "&amp;_xlfn.TEXTJOIN(" + ",TRUE(),IF(E19&lt;&gt;"","accel/decel",""),IF(F19&lt;&gt;"","change of direction",""),IF(G19&lt;&gt;"","high-speed running",""),IF(H19&lt;&gt;"","sprint distance",""),IF(I19&lt;&gt;"","top-speed exposure",""))))</f>
        <v/>
      </c>
      <c r="K19" s="58"/>
    </row>
    <row r="20" customFormat="false" ht="15" hidden="false" customHeight="false" outlineLevel="0" collapsed="false">
      <c r="A20" s="56"/>
      <c r="B20" s="57" t="str">
        <f aca="false">IF(A20="","",IF(Dashboard!$L$5="","",INT((A20-Dashboard!$L$5)/7)+1))</f>
        <v/>
      </c>
      <c r="C20" s="58"/>
      <c r="D20" s="58"/>
      <c r="E20" s="59"/>
      <c r="F20" s="59"/>
      <c r="G20" s="59"/>
      <c r="H20" s="59"/>
      <c r="I20" s="59"/>
      <c r="J20" s="60" t="str">
        <f aca="false">IF(OR(A20="",D20=""),"",D20&amp;IF(COUNTA(E20:I20)=0,""," + "&amp;_xlfn.TEXTJOIN(" + ",TRUE(),IF(E20&lt;&gt;"","accel/decel",""),IF(F20&lt;&gt;"","change of direction",""),IF(G20&lt;&gt;"","high-speed running",""),IF(H20&lt;&gt;"","sprint distance",""),IF(I20&lt;&gt;"","top-speed exposure",""))))</f>
        <v/>
      </c>
      <c r="K20" s="58"/>
    </row>
    <row r="21" customFormat="false" ht="15" hidden="false" customHeight="false" outlineLevel="0" collapsed="false">
      <c r="A21" s="56"/>
      <c r="B21" s="57" t="str">
        <f aca="false">IF(A21="","",IF(Dashboard!$L$5="","",INT((A21-Dashboard!$L$5)/7)+1))</f>
        <v/>
      </c>
      <c r="C21" s="58"/>
      <c r="D21" s="58"/>
      <c r="E21" s="59"/>
      <c r="F21" s="59"/>
      <c r="G21" s="59"/>
      <c r="H21" s="59"/>
      <c r="I21" s="59"/>
      <c r="J21" s="60" t="str">
        <f aca="false">IF(OR(A21="",D21=""),"",D21&amp;IF(COUNTA(E21:I21)=0,""," + "&amp;_xlfn.TEXTJOIN(" + ",TRUE(),IF(E21&lt;&gt;"","accel/decel",""),IF(F21&lt;&gt;"","change of direction",""),IF(G21&lt;&gt;"","high-speed running",""),IF(H21&lt;&gt;"","sprint distance",""),IF(I21&lt;&gt;"","top-speed exposure",""))))</f>
        <v/>
      </c>
      <c r="K21" s="58"/>
    </row>
    <row r="22" customFormat="false" ht="15" hidden="false" customHeight="false" outlineLevel="0" collapsed="false">
      <c r="A22" s="56"/>
      <c r="B22" s="57" t="str">
        <f aca="false">IF(A22="","",IF(Dashboard!$L$5="","",INT((A22-Dashboard!$L$5)/7)+1))</f>
        <v/>
      </c>
      <c r="C22" s="58"/>
      <c r="D22" s="58"/>
      <c r="E22" s="59"/>
      <c r="F22" s="59"/>
      <c r="G22" s="59"/>
      <c r="H22" s="59"/>
      <c r="I22" s="59"/>
      <c r="J22" s="60" t="str">
        <f aca="false">IF(OR(A22="",D22=""),"",D22&amp;IF(COUNTA(E22:I22)=0,""," + "&amp;_xlfn.TEXTJOIN(" + ",TRUE(),IF(E22&lt;&gt;"","accel/decel",""),IF(F22&lt;&gt;"","change of direction",""),IF(G22&lt;&gt;"","high-speed running",""),IF(H22&lt;&gt;"","sprint distance",""),IF(I22&lt;&gt;"","top-speed exposure",""))))</f>
        <v/>
      </c>
      <c r="K22" s="58"/>
    </row>
    <row r="23" customFormat="false" ht="15" hidden="false" customHeight="false" outlineLevel="0" collapsed="false">
      <c r="A23" s="56"/>
      <c r="B23" s="57" t="str">
        <f aca="false">IF(A23="","",IF(Dashboard!$L$5="","",INT((A23-Dashboard!$L$5)/7)+1))</f>
        <v/>
      </c>
      <c r="C23" s="58"/>
      <c r="D23" s="58"/>
      <c r="E23" s="59"/>
      <c r="F23" s="59"/>
      <c r="G23" s="59"/>
      <c r="H23" s="59"/>
      <c r="I23" s="59"/>
      <c r="J23" s="60" t="str">
        <f aca="false">IF(OR(A23="",D23=""),"",D23&amp;IF(COUNTA(E23:I23)=0,""," + "&amp;_xlfn.TEXTJOIN(" + ",TRUE(),IF(E23&lt;&gt;"","accel/decel",""),IF(F23&lt;&gt;"","change of direction",""),IF(G23&lt;&gt;"","high-speed running",""),IF(H23&lt;&gt;"","sprint distance",""),IF(I23&lt;&gt;"","top-speed exposure",""))))</f>
        <v/>
      </c>
      <c r="K23" s="58"/>
    </row>
    <row r="24" customFormat="false" ht="15" hidden="false" customHeight="false" outlineLevel="0" collapsed="false">
      <c r="A24" s="56"/>
      <c r="B24" s="57" t="str">
        <f aca="false">IF(A24="","",IF(Dashboard!$L$5="","",INT((A24-Dashboard!$L$5)/7)+1))</f>
        <v/>
      </c>
      <c r="C24" s="58"/>
      <c r="D24" s="58"/>
      <c r="E24" s="59"/>
      <c r="F24" s="59"/>
      <c r="G24" s="59"/>
      <c r="H24" s="59"/>
      <c r="I24" s="59"/>
      <c r="J24" s="60" t="str">
        <f aca="false">IF(OR(A24="",D24=""),"",D24&amp;IF(COUNTA(E24:I24)=0,""," + "&amp;_xlfn.TEXTJOIN(" + ",TRUE(),IF(E24&lt;&gt;"","accel/decel",""),IF(F24&lt;&gt;"","change of direction",""),IF(G24&lt;&gt;"","high-speed running",""),IF(H24&lt;&gt;"","sprint distance",""),IF(I24&lt;&gt;"","top-speed exposure",""))))</f>
        <v/>
      </c>
      <c r="K24" s="58"/>
    </row>
    <row r="25" customFormat="false" ht="15" hidden="false" customHeight="false" outlineLevel="0" collapsed="false">
      <c r="A25" s="56"/>
      <c r="B25" s="57" t="str">
        <f aca="false">IF(A25="","",IF(Dashboard!$L$5="","",INT((A25-Dashboard!$L$5)/7)+1))</f>
        <v/>
      </c>
      <c r="C25" s="58"/>
      <c r="D25" s="58"/>
      <c r="E25" s="59"/>
      <c r="F25" s="59"/>
      <c r="G25" s="59"/>
      <c r="H25" s="59"/>
      <c r="I25" s="59"/>
      <c r="J25" s="60" t="str">
        <f aca="false">IF(OR(A25="",D25=""),"",D25&amp;IF(COUNTA(E25:I25)=0,""," + "&amp;_xlfn.TEXTJOIN(" + ",TRUE(),IF(E25&lt;&gt;"","accel/decel",""),IF(F25&lt;&gt;"","change of direction",""),IF(G25&lt;&gt;"","high-speed running",""),IF(H25&lt;&gt;"","sprint distance",""),IF(I25&lt;&gt;"","top-speed exposure",""))))</f>
        <v/>
      </c>
      <c r="K25" s="58"/>
    </row>
    <row r="26" customFormat="false" ht="15" hidden="false" customHeight="false" outlineLevel="0" collapsed="false">
      <c r="A26" s="56"/>
      <c r="B26" s="57" t="str">
        <f aca="false">IF(A26="","",IF(Dashboard!$L$5="","",INT((A26-Dashboard!$L$5)/7)+1))</f>
        <v/>
      </c>
      <c r="C26" s="58"/>
      <c r="D26" s="58"/>
      <c r="E26" s="59"/>
      <c r="F26" s="59"/>
      <c r="G26" s="59"/>
      <c r="H26" s="59"/>
      <c r="I26" s="59"/>
      <c r="J26" s="60" t="str">
        <f aca="false">IF(OR(A26="",D26=""),"",D26&amp;IF(COUNTA(E26:I26)=0,""," + "&amp;_xlfn.TEXTJOIN(" + ",TRUE(),IF(E26&lt;&gt;"","accel/decel",""),IF(F26&lt;&gt;"","change of direction",""),IF(G26&lt;&gt;"","high-speed running",""),IF(H26&lt;&gt;"","sprint distance",""),IF(I26&lt;&gt;"","top-speed exposure",""))))</f>
        <v/>
      </c>
      <c r="K26" s="58"/>
    </row>
    <row r="27" customFormat="false" ht="15" hidden="false" customHeight="false" outlineLevel="0" collapsed="false">
      <c r="A27" s="56"/>
      <c r="B27" s="57" t="str">
        <f aca="false">IF(A27="","",IF(Dashboard!$L$5="","",INT((A27-Dashboard!$L$5)/7)+1))</f>
        <v/>
      </c>
      <c r="C27" s="58"/>
      <c r="D27" s="58"/>
      <c r="E27" s="59"/>
      <c r="F27" s="59"/>
      <c r="G27" s="59"/>
      <c r="H27" s="59"/>
      <c r="I27" s="59"/>
      <c r="J27" s="60" t="str">
        <f aca="false">IF(OR(A27="",D27=""),"",D27&amp;IF(COUNTA(E27:I27)=0,""," + "&amp;_xlfn.TEXTJOIN(" + ",TRUE(),IF(E27&lt;&gt;"","accel/decel",""),IF(F27&lt;&gt;"","change of direction",""),IF(G27&lt;&gt;"","high-speed running",""),IF(H27&lt;&gt;"","sprint distance",""),IF(I27&lt;&gt;"","top-speed exposure",""))))</f>
        <v/>
      </c>
      <c r="K27" s="58"/>
    </row>
    <row r="28" customFormat="false" ht="15" hidden="false" customHeight="false" outlineLevel="0" collapsed="false">
      <c r="A28" s="56"/>
      <c r="B28" s="57" t="str">
        <f aca="false">IF(A28="","",IF(Dashboard!$L$5="","",INT((A28-Dashboard!$L$5)/7)+1))</f>
        <v/>
      </c>
      <c r="C28" s="58"/>
      <c r="D28" s="58"/>
      <c r="E28" s="59"/>
      <c r="F28" s="59"/>
      <c r="G28" s="59"/>
      <c r="H28" s="59"/>
      <c r="I28" s="59"/>
      <c r="J28" s="60" t="str">
        <f aca="false">IF(OR(A28="",D28=""),"",D28&amp;IF(COUNTA(E28:I28)=0,""," + "&amp;_xlfn.TEXTJOIN(" + ",TRUE(),IF(E28&lt;&gt;"","accel/decel",""),IF(F28&lt;&gt;"","change of direction",""),IF(G28&lt;&gt;"","high-speed running",""),IF(H28&lt;&gt;"","sprint distance",""),IF(I28&lt;&gt;"","top-speed exposure",""))))</f>
        <v/>
      </c>
      <c r="K28" s="58"/>
    </row>
    <row r="29" customFormat="false" ht="15" hidden="false" customHeight="false" outlineLevel="0" collapsed="false">
      <c r="A29" s="56"/>
      <c r="B29" s="57" t="str">
        <f aca="false">IF(A29="","",IF(Dashboard!$L$5="","",INT((A29-Dashboard!$L$5)/7)+1))</f>
        <v/>
      </c>
      <c r="C29" s="58"/>
      <c r="D29" s="58"/>
      <c r="E29" s="59"/>
      <c r="F29" s="59"/>
      <c r="G29" s="59"/>
      <c r="H29" s="59"/>
      <c r="I29" s="59"/>
      <c r="J29" s="60" t="str">
        <f aca="false">IF(OR(A29="",D29=""),"",D29&amp;IF(COUNTA(E29:I29)=0,""," + "&amp;_xlfn.TEXTJOIN(" + ",TRUE(),IF(E29&lt;&gt;"","accel/decel",""),IF(F29&lt;&gt;"","change of direction",""),IF(G29&lt;&gt;"","high-speed running",""),IF(H29&lt;&gt;"","sprint distance",""),IF(I29&lt;&gt;"","top-speed exposure",""))))</f>
        <v/>
      </c>
      <c r="K29" s="58"/>
    </row>
    <row r="30" customFormat="false" ht="15" hidden="false" customHeight="false" outlineLevel="0" collapsed="false">
      <c r="A30" s="56"/>
      <c r="B30" s="57" t="str">
        <f aca="false">IF(A30="","",IF(Dashboard!$L$5="","",INT((A30-Dashboard!$L$5)/7)+1))</f>
        <v/>
      </c>
      <c r="C30" s="58"/>
      <c r="D30" s="58"/>
      <c r="E30" s="59"/>
      <c r="F30" s="59"/>
      <c r="G30" s="59"/>
      <c r="H30" s="59"/>
      <c r="I30" s="59"/>
      <c r="J30" s="60" t="str">
        <f aca="false">IF(OR(A30="",D30=""),"",D30&amp;IF(COUNTA(E30:I30)=0,""," + "&amp;_xlfn.TEXTJOIN(" + ",TRUE(),IF(E30&lt;&gt;"","accel/decel",""),IF(F30&lt;&gt;"","change of direction",""),IF(G30&lt;&gt;"","high-speed running",""),IF(H30&lt;&gt;"","sprint distance",""),IF(I30&lt;&gt;"","top-speed exposure",""))))</f>
        <v/>
      </c>
      <c r="K30" s="58"/>
    </row>
    <row r="31" customFormat="false" ht="15" hidden="false" customHeight="false" outlineLevel="0" collapsed="false">
      <c r="A31" s="56"/>
      <c r="B31" s="57" t="str">
        <f aca="false">IF(A31="","",IF(Dashboard!$L$5="","",INT((A31-Dashboard!$L$5)/7)+1))</f>
        <v/>
      </c>
      <c r="C31" s="58"/>
      <c r="D31" s="58"/>
      <c r="E31" s="59"/>
      <c r="F31" s="59"/>
      <c r="G31" s="59"/>
      <c r="H31" s="59"/>
      <c r="I31" s="59"/>
      <c r="J31" s="60" t="str">
        <f aca="false">IF(OR(A31="",D31=""),"",D31&amp;IF(COUNTA(E31:I31)=0,""," + "&amp;_xlfn.TEXTJOIN(" + ",TRUE(),IF(E31&lt;&gt;"","accel/decel",""),IF(F31&lt;&gt;"","change of direction",""),IF(G31&lt;&gt;"","high-speed running",""),IF(H31&lt;&gt;"","sprint distance",""),IF(I31&lt;&gt;"","top-speed exposure",""))))</f>
        <v/>
      </c>
      <c r="K31" s="58"/>
    </row>
    <row r="32" customFormat="false" ht="15" hidden="false" customHeight="false" outlineLevel="0" collapsed="false">
      <c r="A32" s="56"/>
      <c r="B32" s="57" t="str">
        <f aca="false">IF(A32="","",IF(Dashboard!$L$5="","",INT((A32-Dashboard!$L$5)/7)+1))</f>
        <v/>
      </c>
      <c r="C32" s="58"/>
      <c r="D32" s="58"/>
      <c r="E32" s="59"/>
      <c r="F32" s="59"/>
      <c r="G32" s="59"/>
      <c r="H32" s="59"/>
      <c r="I32" s="59"/>
      <c r="J32" s="60" t="str">
        <f aca="false">IF(OR(A32="",D32=""),"",D32&amp;IF(COUNTA(E32:I32)=0,""," + "&amp;_xlfn.TEXTJOIN(" + ",TRUE(),IF(E32&lt;&gt;"","accel/decel",""),IF(F32&lt;&gt;"","change of direction",""),IF(G32&lt;&gt;"","high-speed running",""),IF(H32&lt;&gt;"","sprint distance",""),IF(I32&lt;&gt;"","top-speed exposure",""))))</f>
        <v/>
      </c>
      <c r="K32" s="58"/>
    </row>
    <row r="33" customFormat="false" ht="15" hidden="false" customHeight="false" outlineLevel="0" collapsed="false">
      <c r="A33" s="56"/>
      <c r="B33" s="57" t="str">
        <f aca="false">IF(A33="","",IF(Dashboard!$L$5="","",INT((A33-Dashboard!$L$5)/7)+1))</f>
        <v/>
      </c>
      <c r="C33" s="58"/>
      <c r="D33" s="58"/>
      <c r="E33" s="59"/>
      <c r="F33" s="59"/>
      <c r="G33" s="59"/>
      <c r="H33" s="59"/>
      <c r="I33" s="59"/>
      <c r="J33" s="60" t="str">
        <f aca="false">IF(OR(A33="",D33=""),"",D33&amp;IF(COUNTA(E33:I33)=0,""," + "&amp;_xlfn.TEXTJOIN(" + ",TRUE(),IF(E33&lt;&gt;"","accel/decel",""),IF(F33&lt;&gt;"","change of direction",""),IF(G33&lt;&gt;"","high-speed running",""),IF(H33&lt;&gt;"","sprint distance",""),IF(I33&lt;&gt;"","top-speed exposure",""))))</f>
        <v/>
      </c>
      <c r="K33" s="58"/>
    </row>
    <row r="34" customFormat="false" ht="15" hidden="false" customHeight="false" outlineLevel="0" collapsed="false">
      <c r="A34" s="56"/>
      <c r="B34" s="57" t="str">
        <f aca="false">IF(A34="","",IF(Dashboard!$L$5="","",INT((A34-Dashboard!$L$5)/7)+1))</f>
        <v/>
      </c>
      <c r="C34" s="58"/>
      <c r="D34" s="58"/>
      <c r="E34" s="59"/>
      <c r="F34" s="59"/>
      <c r="G34" s="59"/>
      <c r="H34" s="59"/>
      <c r="I34" s="59"/>
      <c r="J34" s="60" t="str">
        <f aca="false">IF(OR(A34="",D34=""),"",D34&amp;IF(COUNTA(E34:I34)=0,""," + "&amp;_xlfn.TEXTJOIN(" + ",TRUE(),IF(E34&lt;&gt;"","accel/decel",""),IF(F34&lt;&gt;"","change of direction",""),IF(G34&lt;&gt;"","high-speed running",""),IF(H34&lt;&gt;"","sprint distance",""),IF(I34&lt;&gt;"","top-speed exposure",""))))</f>
        <v/>
      </c>
      <c r="K34" s="58"/>
    </row>
    <row r="35" customFormat="false" ht="15" hidden="false" customHeight="false" outlineLevel="0" collapsed="false">
      <c r="A35" s="56"/>
      <c r="B35" s="57" t="str">
        <f aca="false">IF(A35="","",IF(Dashboard!$L$5="","",INT((A35-Dashboard!$L$5)/7)+1))</f>
        <v/>
      </c>
      <c r="C35" s="58"/>
      <c r="D35" s="58"/>
      <c r="E35" s="59"/>
      <c r="F35" s="59"/>
      <c r="G35" s="59"/>
      <c r="H35" s="59"/>
      <c r="I35" s="59"/>
      <c r="J35" s="60" t="str">
        <f aca="false">IF(OR(A35="",D35=""),"",D35&amp;IF(COUNTA(E35:I35)=0,""," + "&amp;_xlfn.TEXTJOIN(" + ",TRUE(),IF(E35&lt;&gt;"","accel/decel",""),IF(F35&lt;&gt;"","change of direction",""),IF(G35&lt;&gt;"","high-speed running",""),IF(H35&lt;&gt;"","sprint distance",""),IF(I35&lt;&gt;"","top-speed exposure",""))))</f>
        <v/>
      </c>
      <c r="K35" s="58"/>
    </row>
    <row r="36" customFormat="false" ht="15" hidden="false" customHeight="false" outlineLevel="0" collapsed="false">
      <c r="A36" s="56"/>
      <c r="B36" s="57" t="str">
        <f aca="false">IF(A36="","",IF(Dashboard!$L$5="","",INT((A36-Dashboard!$L$5)/7)+1))</f>
        <v/>
      </c>
      <c r="C36" s="58"/>
      <c r="D36" s="58"/>
      <c r="E36" s="59"/>
      <c r="F36" s="59"/>
      <c r="G36" s="59"/>
      <c r="H36" s="59"/>
      <c r="I36" s="59"/>
      <c r="J36" s="60" t="str">
        <f aca="false">IF(OR(A36="",D36=""),"",D36&amp;IF(COUNTA(E36:I36)=0,""," + "&amp;_xlfn.TEXTJOIN(" + ",TRUE(),IF(E36&lt;&gt;"","accel/decel",""),IF(F36&lt;&gt;"","change of direction",""),IF(G36&lt;&gt;"","high-speed running",""),IF(H36&lt;&gt;"","sprint distance",""),IF(I36&lt;&gt;"","top-speed exposure",""))))</f>
        <v/>
      </c>
      <c r="K36" s="58"/>
    </row>
    <row r="37" customFormat="false" ht="15" hidden="false" customHeight="false" outlineLevel="0" collapsed="false">
      <c r="A37" s="56"/>
      <c r="B37" s="57" t="str">
        <f aca="false">IF(A37="","",IF(Dashboard!$L$5="","",INT((A37-Dashboard!$L$5)/7)+1))</f>
        <v/>
      </c>
      <c r="C37" s="58"/>
      <c r="D37" s="58"/>
      <c r="E37" s="59"/>
      <c r="F37" s="59"/>
      <c r="G37" s="59"/>
      <c r="H37" s="59"/>
      <c r="I37" s="59"/>
      <c r="J37" s="60" t="str">
        <f aca="false">IF(OR(A37="",D37=""),"",D37&amp;IF(COUNTA(E37:I37)=0,""," + "&amp;_xlfn.TEXTJOIN(" + ",TRUE(),IF(E37&lt;&gt;"","accel/decel",""),IF(F37&lt;&gt;"","change of direction",""),IF(G37&lt;&gt;"","high-speed running",""),IF(H37&lt;&gt;"","sprint distance",""),IF(I37&lt;&gt;"","top-speed exposure",""))))</f>
        <v/>
      </c>
      <c r="K37" s="58"/>
    </row>
    <row r="38" customFormat="false" ht="15" hidden="false" customHeight="false" outlineLevel="0" collapsed="false">
      <c r="A38" s="56"/>
      <c r="B38" s="57" t="str">
        <f aca="false">IF(A38="","",IF(Dashboard!$L$5="","",INT((A38-Dashboard!$L$5)/7)+1))</f>
        <v/>
      </c>
      <c r="C38" s="58"/>
      <c r="D38" s="58"/>
      <c r="E38" s="59"/>
      <c r="F38" s="59"/>
      <c r="G38" s="59"/>
      <c r="H38" s="59"/>
      <c r="I38" s="59"/>
      <c r="J38" s="60" t="str">
        <f aca="false">IF(OR(A38="",D38=""),"",D38&amp;IF(COUNTA(E38:I38)=0,""," + "&amp;_xlfn.TEXTJOIN(" + ",TRUE(),IF(E38&lt;&gt;"","accel/decel",""),IF(F38&lt;&gt;"","change of direction",""),IF(G38&lt;&gt;"","high-speed running",""),IF(H38&lt;&gt;"","sprint distance",""),IF(I38&lt;&gt;"","top-speed exposure",""))))</f>
        <v/>
      </c>
      <c r="K38" s="58"/>
    </row>
    <row r="39" customFormat="false" ht="15" hidden="false" customHeight="false" outlineLevel="0" collapsed="false">
      <c r="A39" s="56"/>
      <c r="B39" s="57" t="str">
        <f aca="false">IF(A39="","",IF(Dashboard!$L$5="","",INT((A39-Dashboard!$L$5)/7)+1))</f>
        <v/>
      </c>
      <c r="C39" s="58"/>
      <c r="D39" s="58"/>
      <c r="E39" s="59"/>
      <c r="F39" s="59"/>
      <c r="G39" s="59"/>
      <c r="H39" s="59"/>
      <c r="I39" s="59"/>
      <c r="J39" s="60" t="str">
        <f aca="false">IF(OR(A39="",D39=""),"",D39&amp;IF(COUNTA(E39:I39)=0,""," + "&amp;_xlfn.TEXTJOIN(" + ",TRUE(),IF(E39&lt;&gt;"","accel/decel",""),IF(F39&lt;&gt;"","change of direction",""),IF(G39&lt;&gt;"","high-speed running",""),IF(H39&lt;&gt;"","sprint distance",""),IF(I39&lt;&gt;"","top-speed exposure",""))))</f>
        <v/>
      </c>
      <c r="K39" s="58"/>
    </row>
    <row r="40" customFormat="false" ht="15" hidden="false" customHeight="false" outlineLevel="0" collapsed="false">
      <c r="A40" s="56"/>
      <c r="B40" s="57" t="str">
        <f aca="false">IF(A40="","",IF(Dashboard!$L$5="","",INT((A40-Dashboard!$L$5)/7)+1))</f>
        <v/>
      </c>
      <c r="C40" s="58"/>
      <c r="D40" s="58"/>
      <c r="E40" s="59"/>
      <c r="F40" s="59"/>
      <c r="G40" s="59"/>
      <c r="H40" s="59"/>
      <c r="I40" s="59"/>
      <c r="J40" s="60" t="str">
        <f aca="false">IF(OR(A40="",D40=""),"",D40&amp;IF(COUNTA(E40:I40)=0,""," + "&amp;_xlfn.TEXTJOIN(" + ",TRUE(),IF(E40&lt;&gt;"","accel/decel",""),IF(F40&lt;&gt;"","change of direction",""),IF(G40&lt;&gt;"","high-speed running",""),IF(H40&lt;&gt;"","sprint distance",""),IF(I40&lt;&gt;"","top-speed exposure",""))))</f>
        <v/>
      </c>
      <c r="K40" s="58"/>
    </row>
    <row r="41" customFormat="false" ht="15" hidden="false" customHeight="false" outlineLevel="0" collapsed="false">
      <c r="A41" s="56"/>
      <c r="B41" s="57" t="str">
        <f aca="false">IF(A41="","",IF(Dashboard!$L$5="","",INT((A41-Dashboard!$L$5)/7)+1))</f>
        <v/>
      </c>
      <c r="C41" s="58"/>
      <c r="D41" s="58"/>
      <c r="E41" s="59"/>
      <c r="F41" s="59"/>
      <c r="G41" s="59"/>
      <c r="H41" s="59"/>
      <c r="I41" s="59"/>
      <c r="J41" s="60" t="str">
        <f aca="false">IF(OR(A41="",D41=""),"",D41&amp;IF(COUNTA(E41:I41)=0,""," + "&amp;_xlfn.TEXTJOIN(" + ",TRUE(),IF(E41&lt;&gt;"","accel/decel",""),IF(F41&lt;&gt;"","change of direction",""),IF(G41&lt;&gt;"","high-speed running",""),IF(H41&lt;&gt;"","sprint distance",""),IF(I41&lt;&gt;"","top-speed exposure",""))))</f>
        <v/>
      </c>
      <c r="K41" s="58"/>
    </row>
    <row r="42" customFormat="false" ht="15" hidden="false" customHeight="false" outlineLevel="0" collapsed="false">
      <c r="A42" s="56"/>
      <c r="B42" s="57" t="str">
        <f aca="false">IF(A42="","",IF(Dashboard!$L$5="","",INT((A42-Dashboard!$L$5)/7)+1))</f>
        <v/>
      </c>
      <c r="C42" s="58"/>
      <c r="D42" s="58"/>
      <c r="E42" s="59"/>
      <c r="F42" s="59"/>
      <c r="G42" s="59"/>
      <c r="H42" s="59"/>
      <c r="I42" s="59"/>
      <c r="J42" s="60" t="str">
        <f aca="false">IF(OR(A42="",D42=""),"",D42&amp;IF(COUNTA(E42:I42)=0,""," + "&amp;_xlfn.TEXTJOIN(" + ",TRUE(),IF(E42&lt;&gt;"","accel/decel",""),IF(F42&lt;&gt;"","change of direction",""),IF(G42&lt;&gt;"","high-speed running",""),IF(H42&lt;&gt;"","sprint distance",""),IF(I42&lt;&gt;"","top-speed exposure",""))))</f>
        <v/>
      </c>
      <c r="K42" s="58"/>
    </row>
    <row r="43" customFormat="false" ht="15" hidden="false" customHeight="false" outlineLevel="0" collapsed="false">
      <c r="A43" s="56"/>
      <c r="B43" s="57" t="str">
        <f aca="false">IF(A43="","",IF(Dashboard!$L$5="","",INT((A43-Dashboard!$L$5)/7)+1))</f>
        <v/>
      </c>
      <c r="C43" s="58"/>
      <c r="D43" s="58"/>
      <c r="E43" s="59"/>
      <c r="F43" s="59"/>
      <c r="G43" s="59"/>
      <c r="H43" s="59"/>
      <c r="I43" s="59"/>
      <c r="J43" s="60" t="str">
        <f aca="false">IF(OR(A43="",D43=""),"",D43&amp;IF(COUNTA(E43:I43)=0,""," + "&amp;_xlfn.TEXTJOIN(" + ",TRUE(),IF(E43&lt;&gt;"","accel/decel",""),IF(F43&lt;&gt;"","change of direction",""),IF(G43&lt;&gt;"","high-speed running",""),IF(H43&lt;&gt;"","sprint distance",""),IF(I43&lt;&gt;"","top-speed exposure",""))))</f>
        <v/>
      </c>
      <c r="K43" s="58"/>
    </row>
    <row r="44" customFormat="false" ht="15" hidden="false" customHeight="false" outlineLevel="0" collapsed="false">
      <c r="A44" s="56"/>
      <c r="B44" s="57" t="str">
        <f aca="false">IF(A44="","",IF(Dashboard!$L$5="","",INT((A44-Dashboard!$L$5)/7)+1))</f>
        <v/>
      </c>
      <c r="C44" s="58"/>
      <c r="D44" s="58"/>
      <c r="E44" s="59"/>
      <c r="F44" s="59"/>
      <c r="G44" s="59"/>
      <c r="H44" s="59"/>
      <c r="I44" s="59"/>
      <c r="J44" s="60" t="str">
        <f aca="false">IF(OR(A44="",D44=""),"",D44&amp;IF(COUNTA(E44:I44)=0,""," + "&amp;_xlfn.TEXTJOIN(" + ",TRUE(),IF(E44&lt;&gt;"","accel/decel",""),IF(F44&lt;&gt;"","change of direction",""),IF(G44&lt;&gt;"","high-speed running",""),IF(H44&lt;&gt;"","sprint distance",""),IF(I44&lt;&gt;"","top-speed exposure",""))))</f>
        <v/>
      </c>
      <c r="K44" s="58"/>
    </row>
    <row r="45" customFormat="false" ht="15" hidden="false" customHeight="false" outlineLevel="0" collapsed="false">
      <c r="A45" s="56"/>
      <c r="B45" s="57" t="str">
        <f aca="false">IF(A45="","",IF(Dashboard!$L$5="","",INT((A45-Dashboard!$L$5)/7)+1))</f>
        <v/>
      </c>
      <c r="C45" s="58"/>
      <c r="D45" s="58"/>
      <c r="E45" s="59"/>
      <c r="F45" s="59"/>
      <c r="G45" s="59"/>
      <c r="H45" s="59"/>
      <c r="I45" s="59"/>
      <c r="J45" s="60" t="str">
        <f aca="false">IF(OR(A45="",D45=""),"",D45&amp;IF(COUNTA(E45:I45)=0,""," + "&amp;_xlfn.TEXTJOIN(" + ",TRUE(),IF(E45&lt;&gt;"","accel/decel",""),IF(F45&lt;&gt;"","change of direction",""),IF(G45&lt;&gt;"","high-speed running",""),IF(H45&lt;&gt;"","sprint distance",""),IF(I45&lt;&gt;"","top-speed exposure",""))))</f>
        <v/>
      </c>
      <c r="K45" s="58"/>
    </row>
    <row r="46" customFormat="false" ht="15" hidden="false" customHeight="false" outlineLevel="0" collapsed="false">
      <c r="A46" s="56"/>
      <c r="B46" s="57" t="str">
        <f aca="false">IF(A46="","",IF(Dashboard!$L$5="","",INT((A46-Dashboard!$L$5)/7)+1))</f>
        <v/>
      </c>
      <c r="C46" s="58"/>
      <c r="D46" s="58"/>
      <c r="E46" s="59"/>
      <c r="F46" s="59"/>
      <c r="G46" s="59"/>
      <c r="H46" s="59"/>
      <c r="I46" s="59"/>
      <c r="J46" s="60" t="str">
        <f aca="false">IF(OR(A46="",D46=""),"",D46&amp;IF(COUNTA(E46:I46)=0,""," + "&amp;_xlfn.TEXTJOIN(" + ",TRUE(),IF(E46&lt;&gt;"","accel/decel",""),IF(F46&lt;&gt;"","change of direction",""),IF(G46&lt;&gt;"","high-speed running",""),IF(H46&lt;&gt;"","sprint distance",""),IF(I46&lt;&gt;"","top-speed exposure",""))))</f>
        <v/>
      </c>
      <c r="K46" s="58"/>
    </row>
    <row r="47" customFormat="false" ht="15" hidden="false" customHeight="false" outlineLevel="0" collapsed="false">
      <c r="A47" s="56"/>
      <c r="B47" s="57" t="str">
        <f aca="false">IF(A47="","",IF(Dashboard!$L$5="","",INT((A47-Dashboard!$L$5)/7)+1))</f>
        <v/>
      </c>
      <c r="C47" s="58"/>
      <c r="D47" s="58"/>
      <c r="E47" s="59"/>
      <c r="F47" s="59"/>
      <c r="G47" s="59"/>
      <c r="H47" s="59"/>
      <c r="I47" s="59"/>
      <c r="J47" s="60" t="str">
        <f aca="false">IF(OR(A47="",D47=""),"",D47&amp;IF(COUNTA(E47:I47)=0,""," + "&amp;_xlfn.TEXTJOIN(" + ",TRUE(),IF(E47&lt;&gt;"","accel/decel",""),IF(F47&lt;&gt;"","change of direction",""),IF(G47&lt;&gt;"","high-speed running",""),IF(H47&lt;&gt;"","sprint distance",""),IF(I47&lt;&gt;"","top-speed exposure",""))))</f>
        <v/>
      </c>
      <c r="K47" s="58"/>
    </row>
    <row r="48" customFormat="false" ht="15" hidden="false" customHeight="false" outlineLevel="0" collapsed="false">
      <c r="A48" s="56"/>
      <c r="B48" s="57" t="str">
        <f aca="false">IF(A48="","",IF(Dashboard!$L$5="","",INT((A48-Dashboard!$L$5)/7)+1))</f>
        <v/>
      </c>
      <c r="C48" s="58"/>
      <c r="D48" s="58"/>
      <c r="E48" s="59"/>
      <c r="F48" s="59"/>
      <c r="G48" s="59"/>
      <c r="H48" s="59"/>
      <c r="I48" s="59"/>
      <c r="J48" s="60" t="str">
        <f aca="false">IF(OR(A48="",D48=""),"",D48&amp;IF(COUNTA(E48:I48)=0,""," + "&amp;_xlfn.TEXTJOIN(" + ",TRUE(),IF(E48&lt;&gt;"","accel/decel",""),IF(F48&lt;&gt;"","change of direction",""),IF(G48&lt;&gt;"","high-speed running",""),IF(H48&lt;&gt;"","sprint distance",""),IF(I48&lt;&gt;"","top-speed exposure",""))))</f>
        <v/>
      </c>
      <c r="K48" s="58"/>
    </row>
    <row r="49" customFormat="false" ht="15" hidden="false" customHeight="false" outlineLevel="0" collapsed="false">
      <c r="A49" s="56"/>
      <c r="B49" s="57" t="str">
        <f aca="false">IF(A49="","",IF(Dashboard!$L$5="","",INT((A49-Dashboard!$L$5)/7)+1))</f>
        <v/>
      </c>
      <c r="C49" s="58"/>
      <c r="D49" s="58"/>
      <c r="E49" s="59"/>
      <c r="F49" s="59"/>
      <c r="G49" s="59"/>
      <c r="H49" s="59"/>
      <c r="I49" s="59"/>
      <c r="J49" s="60" t="str">
        <f aca="false">IF(OR(A49="",D49=""),"",D49&amp;IF(COUNTA(E49:I49)=0,""," + "&amp;_xlfn.TEXTJOIN(" + ",TRUE(),IF(E49&lt;&gt;"","accel/decel",""),IF(F49&lt;&gt;"","change of direction",""),IF(G49&lt;&gt;"","high-speed running",""),IF(H49&lt;&gt;"","sprint distance",""),IF(I49&lt;&gt;"","top-speed exposure",""))))</f>
        <v/>
      </c>
      <c r="K49" s="58"/>
    </row>
    <row r="50" customFormat="false" ht="15" hidden="false" customHeight="false" outlineLevel="0" collapsed="false">
      <c r="A50" s="56"/>
      <c r="B50" s="57" t="str">
        <f aca="false">IF(A50="","",IF(Dashboard!$L$5="","",INT((A50-Dashboard!$L$5)/7)+1))</f>
        <v/>
      </c>
      <c r="C50" s="58"/>
      <c r="D50" s="58"/>
      <c r="E50" s="59"/>
      <c r="F50" s="59"/>
      <c r="G50" s="59"/>
      <c r="H50" s="59"/>
      <c r="I50" s="59"/>
      <c r="J50" s="60" t="str">
        <f aca="false">IF(OR(A50="",D50=""),"",D50&amp;IF(COUNTA(E50:I50)=0,""," + "&amp;_xlfn.TEXTJOIN(" + ",TRUE(),IF(E50&lt;&gt;"","accel/decel",""),IF(F50&lt;&gt;"","change of direction",""),IF(G50&lt;&gt;"","high-speed running",""),IF(H50&lt;&gt;"","sprint distance",""),IF(I50&lt;&gt;"","top-speed exposure",""))))</f>
        <v/>
      </c>
      <c r="K50" s="58"/>
    </row>
    <row r="51" customFormat="false" ht="15" hidden="false" customHeight="false" outlineLevel="0" collapsed="false">
      <c r="A51" s="56"/>
      <c r="B51" s="57" t="str">
        <f aca="false">IF(A51="","",IF(Dashboard!$L$5="","",INT((A51-Dashboard!$L$5)/7)+1))</f>
        <v/>
      </c>
      <c r="C51" s="58"/>
      <c r="D51" s="58"/>
      <c r="E51" s="59"/>
      <c r="F51" s="59"/>
      <c r="G51" s="59"/>
      <c r="H51" s="59"/>
      <c r="I51" s="59"/>
      <c r="J51" s="60" t="str">
        <f aca="false">IF(OR(A51="",D51=""),"",D51&amp;IF(COUNTA(E51:I51)=0,""," + "&amp;_xlfn.TEXTJOIN(" + ",TRUE(),IF(E51&lt;&gt;"","accel/decel",""),IF(F51&lt;&gt;"","change of direction",""),IF(G51&lt;&gt;"","high-speed running",""),IF(H51&lt;&gt;"","sprint distance",""),IF(I51&lt;&gt;"","top-speed exposure",""))))</f>
        <v/>
      </c>
      <c r="K51" s="58"/>
    </row>
    <row r="52" customFormat="false" ht="15" hidden="false" customHeight="false" outlineLevel="0" collapsed="false">
      <c r="A52" s="56"/>
      <c r="B52" s="57" t="str">
        <f aca="false">IF(A52="","",IF(Dashboard!$L$5="","",INT((A52-Dashboard!$L$5)/7)+1))</f>
        <v/>
      </c>
      <c r="C52" s="58"/>
      <c r="D52" s="58"/>
      <c r="E52" s="59"/>
      <c r="F52" s="59"/>
      <c r="G52" s="59"/>
      <c r="H52" s="59"/>
      <c r="I52" s="59"/>
      <c r="J52" s="60" t="str">
        <f aca="false">IF(OR(A52="",D52=""),"",D52&amp;IF(COUNTA(E52:I52)=0,""," + "&amp;_xlfn.TEXTJOIN(" + ",TRUE(),IF(E52&lt;&gt;"","accel/decel",""),IF(F52&lt;&gt;"","change of direction",""),IF(G52&lt;&gt;"","high-speed running",""),IF(H52&lt;&gt;"","sprint distance",""),IF(I52&lt;&gt;"","top-speed exposure",""))))</f>
        <v/>
      </c>
      <c r="K52" s="58"/>
    </row>
    <row r="53" customFormat="false" ht="15" hidden="false" customHeight="false" outlineLevel="0" collapsed="false">
      <c r="A53" s="56"/>
      <c r="B53" s="57" t="str">
        <f aca="false">IF(A53="","",IF(Dashboard!$L$5="","",INT((A53-Dashboard!$L$5)/7)+1))</f>
        <v/>
      </c>
      <c r="C53" s="58"/>
      <c r="D53" s="58"/>
      <c r="E53" s="59"/>
      <c r="F53" s="59"/>
      <c r="G53" s="59"/>
      <c r="H53" s="59"/>
      <c r="I53" s="59"/>
      <c r="J53" s="60" t="str">
        <f aca="false">IF(OR(A53="",D53=""),"",D53&amp;IF(COUNTA(E53:I53)=0,""," + "&amp;_xlfn.TEXTJOIN(" + ",TRUE(),IF(E53&lt;&gt;"","accel/decel",""),IF(F53&lt;&gt;"","change of direction",""),IF(G53&lt;&gt;"","high-speed running",""),IF(H53&lt;&gt;"","sprint distance",""),IF(I53&lt;&gt;"","top-speed exposure",""))))</f>
        <v/>
      </c>
      <c r="K53" s="58"/>
    </row>
    <row r="54" customFormat="false" ht="15" hidden="false" customHeight="false" outlineLevel="0" collapsed="false">
      <c r="A54" s="56"/>
      <c r="B54" s="57" t="str">
        <f aca="false">IF(A54="","",IF(Dashboard!$L$5="","",INT((A54-Dashboard!$L$5)/7)+1))</f>
        <v/>
      </c>
      <c r="C54" s="58"/>
      <c r="D54" s="58"/>
      <c r="E54" s="59"/>
      <c r="F54" s="59"/>
      <c r="G54" s="59"/>
      <c r="H54" s="59"/>
      <c r="I54" s="59"/>
      <c r="J54" s="60" t="str">
        <f aca="false">IF(OR(A54="",D54=""),"",D54&amp;IF(COUNTA(E54:I54)=0,""," + "&amp;_xlfn.TEXTJOIN(" + ",TRUE(),IF(E54&lt;&gt;"","accel/decel",""),IF(F54&lt;&gt;"","change of direction",""),IF(G54&lt;&gt;"","high-speed running",""),IF(H54&lt;&gt;"","sprint distance",""),IF(I54&lt;&gt;"","top-speed exposure",""))))</f>
        <v/>
      </c>
      <c r="K54" s="58"/>
    </row>
    <row r="55" customFormat="false" ht="15" hidden="false" customHeight="false" outlineLevel="0" collapsed="false">
      <c r="A55" s="56"/>
      <c r="B55" s="57" t="str">
        <f aca="false">IF(A55="","",IF(Dashboard!$L$5="","",INT((A55-Dashboard!$L$5)/7)+1))</f>
        <v/>
      </c>
      <c r="C55" s="58"/>
      <c r="D55" s="58"/>
      <c r="E55" s="59"/>
      <c r="F55" s="59"/>
      <c r="G55" s="59"/>
      <c r="H55" s="59"/>
      <c r="I55" s="59"/>
      <c r="J55" s="60" t="str">
        <f aca="false">IF(OR(A55="",D55=""),"",D55&amp;IF(COUNTA(E55:I55)=0,""," + "&amp;_xlfn.TEXTJOIN(" + ",TRUE(),IF(E55&lt;&gt;"","accel/decel",""),IF(F55&lt;&gt;"","change of direction",""),IF(G55&lt;&gt;"","high-speed running",""),IF(H55&lt;&gt;"","sprint distance",""),IF(I55&lt;&gt;"","top-speed exposure",""))))</f>
        <v/>
      </c>
      <c r="K55" s="58"/>
    </row>
    <row r="56" customFormat="false" ht="15" hidden="false" customHeight="false" outlineLevel="0" collapsed="false">
      <c r="A56" s="56"/>
      <c r="B56" s="57" t="str">
        <f aca="false">IF(A56="","",IF(Dashboard!$L$5="","",INT((A56-Dashboard!$L$5)/7)+1))</f>
        <v/>
      </c>
      <c r="C56" s="58"/>
      <c r="D56" s="58"/>
      <c r="E56" s="59"/>
      <c r="F56" s="59"/>
      <c r="G56" s="59"/>
      <c r="H56" s="59"/>
      <c r="I56" s="59"/>
      <c r="J56" s="60" t="str">
        <f aca="false">IF(OR(A56="",D56=""),"",D56&amp;IF(COUNTA(E56:I56)=0,""," + "&amp;_xlfn.TEXTJOIN(" + ",TRUE(),IF(E56&lt;&gt;"","accel/decel",""),IF(F56&lt;&gt;"","change of direction",""),IF(G56&lt;&gt;"","high-speed running",""),IF(H56&lt;&gt;"","sprint distance",""),IF(I56&lt;&gt;"","top-speed exposure",""))))</f>
        <v/>
      </c>
      <c r="K56" s="58"/>
    </row>
    <row r="57" customFormat="false" ht="15" hidden="false" customHeight="false" outlineLevel="0" collapsed="false">
      <c r="A57" s="56"/>
      <c r="B57" s="57" t="str">
        <f aca="false">IF(A57="","",IF(Dashboard!$L$5="","",INT((A57-Dashboard!$L$5)/7)+1))</f>
        <v/>
      </c>
      <c r="C57" s="58"/>
      <c r="D57" s="58"/>
      <c r="E57" s="59"/>
      <c r="F57" s="59"/>
      <c r="G57" s="59"/>
      <c r="H57" s="59"/>
      <c r="I57" s="59"/>
      <c r="J57" s="60" t="str">
        <f aca="false">IF(OR(A57="",D57=""),"",D57&amp;IF(COUNTA(E57:I57)=0,""," + "&amp;_xlfn.TEXTJOIN(" + ",TRUE(),IF(E57&lt;&gt;"","accel/decel",""),IF(F57&lt;&gt;"","change of direction",""),IF(G57&lt;&gt;"","high-speed running",""),IF(H57&lt;&gt;"","sprint distance",""),IF(I57&lt;&gt;"","top-speed exposure",""))))</f>
        <v/>
      </c>
      <c r="K57" s="58"/>
    </row>
    <row r="58" customFormat="false" ht="15" hidden="false" customHeight="false" outlineLevel="0" collapsed="false">
      <c r="A58" s="56"/>
      <c r="B58" s="57" t="str">
        <f aca="false">IF(A58="","",IF(Dashboard!$L$5="","",INT((A58-Dashboard!$L$5)/7)+1))</f>
        <v/>
      </c>
      <c r="C58" s="58"/>
      <c r="D58" s="58"/>
      <c r="E58" s="59"/>
      <c r="F58" s="59"/>
      <c r="G58" s="59"/>
      <c r="H58" s="59"/>
      <c r="I58" s="59"/>
      <c r="J58" s="60" t="str">
        <f aca="false">IF(OR(A58="",D58=""),"",D58&amp;IF(COUNTA(E58:I58)=0,""," + "&amp;_xlfn.TEXTJOIN(" + ",TRUE(),IF(E58&lt;&gt;"","accel/decel",""),IF(F58&lt;&gt;"","change of direction",""),IF(G58&lt;&gt;"","high-speed running",""),IF(H58&lt;&gt;"","sprint distance",""),IF(I58&lt;&gt;"","top-speed exposure",""))))</f>
        <v/>
      </c>
      <c r="K58" s="58"/>
    </row>
    <row r="59" customFormat="false" ht="15" hidden="false" customHeight="false" outlineLevel="0" collapsed="false">
      <c r="A59" s="56"/>
      <c r="B59" s="57" t="str">
        <f aca="false">IF(A59="","",IF(Dashboard!$L$5="","",INT((A59-Dashboard!$L$5)/7)+1))</f>
        <v/>
      </c>
      <c r="C59" s="58"/>
      <c r="D59" s="58"/>
      <c r="E59" s="59"/>
      <c r="F59" s="59"/>
      <c r="G59" s="59"/>
      <c r="H59" s="59"/>
      <c r="I59" s="59"/>
      <c r="J59" s="60" t="str">
        <f aca="false">IF(OR(A59="",D59=""),"",D59&amp;IF(COUNTA(E59:I59)=0,""," + "&amp;_xlfn.TEXTJOIN(" + ",TRUE(),IF(E59&lt;&gt;"","accel/decel",""),IF(F59&lt;&gt;"","change of direction",""),IF(G59&lt;&gt;"","high-speed running",""),IF(H59&lt;&gt;"","sprint distance",""),IF(I59&lt;&gt;"","top-speed exposure",""))))</f>
        <v/>
      </c>
      <c r="K59" s="58"/>
    </row>
    <row r="60" customFormat="false" ht="15" hidden="false" customHeight="false" outlineLevel="0" collapsed="false">
      <c r="A60" s="56"/>
      <c r="B60" s="57" t="str">
        <f aca="false">IF(A60="","",IF(Dashboard!$L$5="","",INT((A60-Dashboard!$L$5)/7)+1))</f>
        <v/>
      </c>
      <c r="C60" s="58"/>
      <c r="D60" s="58"/>
      <c r="E60" s="59"/>
      <c r="F60" s="59"/>
      <c r="G60" s="59"/>
      <c r="H60" s="59"/>
      <c r="I60" s="59"/>
      <c r="J60" s="60" t="str">
        <f aca="false">IF(OR(A60="",D60=""),"",D60&amp;IF(COUNTA(E60:I60)=0,""," + "&amp;_xlfn.TEXTJOIN(" + ",TRUE(),IF(E60&lt;&gt;"","accel/decel",""),IF(F60&lt;&gt;"","change of direction",""),IF(G60&lt;&gt;"","high-speed running",""),IF(H60&lt;&gt;"","sprint distance",""),IF(I60&lt;&gt;"","top-speed exposure",""))))</f>
        <v/>
      </c>
      <c r="K60" s="58"/>
    </row>
    <row r="61" customFormat="false" ht="15" hidden="false" customHeight="false" outlineLevel="0" collapsed="false">
      <c r="A61" s="56"/>
      <c r="B61" s="57" t="str">
        <f aca="false">IF(A61="","",IF(Dashboard!$L$5="","",INT((A61-Dashboard!$L$5)/7)+1))</f>
        <v/>
      </c>
      <c r="C61" s="58"/>
      <c r="D61" s="58"/>
      <c r="E61" s="59"/>
      <c r="F61" s="59"/>
      <c r="G61" s="59"/>
      <c r="H61" s="59"/>
      <c r="I61" s="59"/>
      <c r="J61" s="60" t="str">
        <f aca="false">IF(OR(A61="",D61=""),"",D61&amp;IF(COUNTA(E61:I61)=0,""," + "&amp;_xlfn.TEXTJOIN(" + ",TRUE(),IF(E61&lt;&gt;"","accel/decel",""),IF(F61&lt;&gt;"","change of direction",""),IF(G61&lt;&gt;"","high-speed running",""),IF(H61&lt;&gt;"","sprint distance",""),IF(I61&lt;&gt;"","top-speed exposure",""))))</f>
        <v/>
      </c>
      <c r="K61" s="58"/>
    </row>
    <row r="62" customFormat="false" ht="15" hidden="false" customHeight="false" outlineLevel="0" collapsed="false">
      <c r="A62" s="56"/>
      <c r="B62" s="57" t="str">
        <f aca="false">IF(A62="","",IF(Dashboard!$L$5="","",INT((A62-Dashboard!$L$5)/7)+1))</f>
        <v/>
      </c>
      <c r="C62" s="58"/>
      <c r="D62" s="58"/>
      <c r="E62" s="59"/>
      <c r="F62" s="59"/>
      <c r="G62" s="59"/>
      <c r="H62" s="59"/>
      <c r="I62" s="59"/>
      <c r="J62" s="60" t="str">
        <f aca="false">IF(OR(A62="",D62=""),"",D62&amp;IF(COUNTA(E62:I62)=0,""," + "&amp;_xlfn.TEXTJOIN(" + ",TRUE(),IF(E62&lt;&gt;"","accel/decel",""),IF(F62&lt;&gt;"","change of direction",""),IF(G62&lt;&gt;"","high-speed running",""),IF(H62&lt;&gt;"","sprint distance",""),IF(I62&lt;&gt;"","top-speed exposure",""))))</f>
        <v/>
      </c>
      <c r="K62" s="58"/>
    </row>
    <row r="63" customFormat="false" ht="15" hidden="false" customHeight="false" outlineLevel="0" collapsed="false">
      <c r="A63" s="56"/>
      <c r="B63" s="57" t="str">
        <f aca="false">IF(A63="","",IF(Dashboard!$L$5="","",INT((A63-Dashboard!$L$5)/7)+1))</f>
        <v/>
      </c>
      <c r="C63" s="58"/>
      <c r="D63" s="58"/>
      <c r="E63" s="59"/>
      <c r="F63" s="59"/>
      <c r="G63" s="59"/>
      <c r="H63" s="59"/>
      <c r="I63" s="59"/>
      <c r="J63" s="60" t="str">
        <f aca="false">IF(OR(A63="",D63=""),"",D63&amp;IF(COUNTA(E63:I63)=0,""," + "&amp;_xlfn.TEXTJOIN(" + ",TRUE(),IF(E63&lt;&gt;"","accel/decel",""),IF(F63&lt;&gt;"","change of direction",""),IF(G63&lt;&gt;"","high-speed running",""),IF(H63&lt;&gt;"","sprint distance",""),IF(I63&lt;&gt;"","top-speed exposure",""))))</f>
        <v/>
      </c>
      <c r="K63" s="58"/>
    </row>
    <row r="64" customFormat="false" ht="15" hidden="false" customHeight="false" outlineLevel="0" collapsed="false">
      <c r="A64" s="56"/>
      <c r="B64" s="57" t="str">
        <f aca="false">IF(A64="","",IF(Dashboard!$L$5="","",INT((A64-Dashboard!$L$5)/7)+1))</f>
        <v/>
      </c>
      <c r="C64" s="58"/>
      <c r="D64" s="58"/>
      <c r="E64" s="59"/>
      <c r="F64" s="59"/>
      <c r="G64" s="59"/>
      <c r="H64" s="59"/>
      <c r="I64" s="59"/>
      <c r="J64" s="60" t="str">
        <f aca="false">IF(OR(A64="",D64=""),"",D64&amp;IF(COUNTA(E64:I64)=0,""," + "&amp;_xlfn.TEXTJOIN(" + ",TRUE(),IF(E64&lt;&gt;"","accel/decel",""),IF(F64&lt;&gt;"","change of direction",""),IF(G64&lt;&gt;"","high-speed running",""),IF(H64&lt;&gt;"","sprint distance",""),IF(I64&lt;&gt;"","top-speed exposure",""))))</f>
        <v/>
      </c>
      <c r="K64" s="58"/>
    </row>
    <row r="65" customFormat="false" ht="15" hidden="false" customHeight="false" outlineLevel="0" collapsed="false">
      <c r="A65" s="56"/>
      <c r="B65" s="57" t="str">
        <f aca="false">IF(A65="","",IF(Dashboard!$L$5="","",INT((A65-Dashboard!$L$5)/7)+1))</f>
        <v/>
      </c>
      <c r="C65" s="58"/>
      <c r="D65" s="58"/>
      <c r="E65" s="59"/>
      <c r="F65" s="59"/>
      <c r="G65" s="59"/>
      <c r="H65" s="59"/>
      <c r="I65" s="59"/>
      <c r="J65" s="60" t="str">
        <f aca="false">IF(OR(A65="",D65=""),"",D65&amp;IF(COUNTA(E65:I65)=0,""," + "&amp;_xlfn.TEXTJOIN(" + ",TRUE(),IF(E65&lt;&gt;"","accel/decel",""),IF(F65&lt;&gt;"","change of direction",""),IF(G65&lt;&gt;"","high-speed running",""),IF(H65&lt;&gt;"","sprint distance",""),IF(I65&lt;&gt;"","top-speed exposure",""))))</f>
        <v/>
      </c>
      <c r="K65" s="58"/>
    </row>
    <row r="66" customFormat="false" ht="15" hidden="false" customHeight="false" outlineLevel="0" collapsed="false">
      <c r="A66" s="56"/>
      <c r="B66" s="57" t="str">
        <f aca="false">IF(A66="","",IF(Dashboard!$L$5="","",INT((A66-Dashboard!$L$5)/7)+1))</f>
        <v/>
      </c>
      <c r="C66" s="58"/>
      <c r="D66" s="58"/>
      <c r="E66" s="59"/>
      <c r="F66" s="59"/>
      <c r="G66" s="59"/>
      <c r="H66" s="59"/>
      <c r="I66" s="59"/>
      <c r="J66" s="60" t="str">
        <f aca="false">IF(OR(A66="",D66=""),"",D66&amp;IF(COUNTA(E66:I66)=0,""," + "&amp;_xlfn.TEXTJOIN(" + ",TRUE(),IF(E66&lt;&gt;"","accel/decel",""),IF(F66&lt;&gt;"","change of direction",""),IF(G66&lt;&gt;"","high-speed running",""),IF(H66&lt;&gt;"","sprint distance",""),IF(I66&lt;&gt;"","top-speed exposure",""))))</f>
        <v/>
      </c>
      <c r="K66" s="58"/>
    </row>
    <row r="67" customFormat="false" ht="15" hidden="false" customHeight="false" outlineLevel="0" collapsed="false">
      <c r="A67" s="56"/>
      <c r="B67" s="57" t="str">
        <f aca="false">IF(A67="","",IF(Dashboard!$L$5="","",INT((A67-Dashboard!$L$5)/7)+1))</f>
        <v/>
      </c>
      <c r="C67" s="58"/>
      <c r="D67" s="58"/>
      <c r="E67" s="59"/>
      <c r="F67" s="59"/>
      <c r="G67" s="59"/>
      <c r="H67" s="59"/>
      <c r="I67" s="59"/>
      <c r="J67" s="60" t="str">
        <f aca="false">IF(OR(A67="",D67=""),"",D67&amp;IF(COUNTA(E67:I67)=0,""," + "&amp;_xlfn.TEXTJOIN(" + ",TRUE(),IF(E67&lt;&gt;"","accel/decel",""),IF(F67&lt;&gt;"","change of direction",""),IF(G67&lt;&gt;"","high-speed running",""),IF(H67&lt;&gt;"","sprint distance",""),IF(I67&lt;&gt;"","top-speed exposure",""))))</f>
        <v/>
      </c>
      <c r="K67" s="58"/>
    </row>
    <row r="68" customFormat="false" ht="15" hidden="false" customHeight="false" outlineLevel="0" collapsed="false">
      <c r="A68" s="56"/>
      <c r="B68" s="57" t="str">
        <f aca="false">IF(A68="","",IF(Dashboard!$L$5="","",INT((A68-Dashboard!$L$5)/7)+1))</f>
        <v/>
      </c>
      <c r="C68" s="58"/>
      <c r="D68" s="58"/>
      <c r="E68" s="59"/>
      <c r="F68" s="59"/>
      <c r="G68" s="59"/>
      <c r="H68" s="59"/>
      <c r="I68" s="59"/>
      <c r="J68" s="60" t="str">
        <f aca="false">IF(OR(A68="",D68=""),"",D68&amp;IF(COUNTA(E68:I68)=0,""," + "&amp;_xlfn.TEXTJOIN(" + ",TRUE(),IF(E68&lt;&gt;"","accel/decel",""),IF(F68&lt;&gt;"","change of direction",""),IF(G68&lt;&gt;"","high-speed running",""),IF(H68&lt;&gt;"","sprint distance",""),IF(I68&lt;&gt;"","top-speed exposure",""))))</f>
        <v/>
      </c>
      <c r="K68" s="58"/>
    </row>
    <row r="69" customFormat="false" ht="15" hidden="false" customHeight="false" outlineLevel="0" collapsed="false">
      <c r="A69" s="56"/>
      <c r="B69" s="57" t="str">
        <f aca="false">IF(A69="","",IF(Dashboard!$L$5="","",INT((A69-Dashboard!$L$5)/7)+1))</f>
        <v/>
      </c>
      <c r="C69" s="58"/>
      <c r="D69" s="58"/>
      <c r="E69" s="59"/>
      <c r="F69" s="59"/>
      <c r="G69" s="59"/>
      <c r="H69" s="59"/>
      <c r="I69" s="59"/>
      <c r="J69" s="60" t="str">
        <f aca="false">IF(OR(A69="",D69=""),"",D69&amp;IF(COUNTA(E69:I69)=0,""," + "&amp;_xlfn.TEXTJOIN(" + ",TRUE(),IF(E69&lt;&gt;"","accel/decel",""),IF(F69&lt;&gt;"","change of direction",""),IF(G69&lt;&gt;"","high-speed running",""),IF(H69&lt;&gt;"","sprint distance",""),IF(I69&lt;&gt;"","top-speed exposure",""))))</f>
        <v/>
      </c>
      <c r="K69" s="58"/>
    </row>
    <row r="70" customFormat="false" ht="15" hidden="false" customHeight="false" outlineLevel="0" collapsed="false">
      <c r="A70" s="56"/>
      <c r="B70" s="57" t="str">
        <f aca="false">IF(A70="","",IF(Dashboard!$L$5="","",INT((A70-Dashboard!$L$5)/7)+1))</f>
        <v/>
      </c>
      <c r="C70" s="58"/>
      <c r="D70" s="58"/>
      <c r="E70" s="59"/>
      <c r="F70" s="59"/>
      <c r="G70" s="59"/>
      <c r="H70" s="59"/>
      <c r="I70" s="59"/>
      <c r="J70" s="60" t="str">
        <f aca="false">IF(OR(A70="",D70=""),"",D70&amp;IF(COUNTA(E70:I70)=0,""," + "&amp;_xlfn.TEXTJOIN(" + ",TRUE(),IF(E70&lt;&gt;"","accel/decel",""),IF(F70&lt;&gt;"","change of direction",""),IF(G70&lt;&gt;"","high-speed running",""),IF(H70&lt;&gt;"","sprint distance",""),IF(I70&lt;&gt;"","top-speed exposure",""))))</f>
        <v/>
      </c>
      <c r="K70" s="58"/>
    </row>
    <row r="71" customFormat="false" ht="15" hidden="false" customHeight="false" outlineLevel="0" collapsed="false">
      <c r="A71" s="56"/>
      <c r="B71" s="57" t="str">
        <f aca="false">IF(A71="","",IF(Dashboard!$L$5="","",INT((A71-Dashboard!$L$5)/7)+1))</f>
        <v/>
      </c>
      <c r="C71" s="58"/>
      <c r="D71" s="58"/>
      <c r="E71" s="59"/>
      <c r="F71" s="59"/>
      <c r="G71" s="59"/>
      <c r="H71" s="59"/>
      <c r="I71" s="59"/>
      <c r="J71" s="60" t="str">
        <f aca="false">IF(OR(A71="",D71=""),"",D71&amp;IF(COUNTA(E71:I71)=0,""," + "&amp;_xlfn.TEXTJOIN(" + ",TRUE(),IF(E71&lt;&gt;"","accel/decel",""),IF(F71&lt;&gt;"","change of direction",""),IF(G71&lt;&gt;"","high-speed running",""),IF(H71&lt;&gt;"","sprint distance",""),IF(I71&lt;&gt;"","top-speed exposure",""))))</f>
        <v/>
      </c>
      <c r="K71" s="58"/>
    </row>
    <row r="72" customFormat="false" ht="15" hidden="false" customHeight="false" outlineLevel="0" collapsed="false">
      <c r="A72" s="56"/>
      <c r="B72" s="57" t="str">
        <f aca="false">IF(A72="","",IF(Dashboard!$L$5="","",INT((A72-Dashboard!$L$5)/7)+1))</f>
        <v/>
      </c>
      <c r="C72" s="58"/>
      <c r="D72" s="58"/>
      <c r="E72" s="59"/>
      <c r="F72" s="59"/>
      <c r="G72" s="59"/>
      <c r="H72" s="59"/>
      <c r="I72" s="59"/>
      <c r="J72" s="60" t="str">
        <f aca="false">IF(OR(A72="",D72=""),"",D72&amp;IF(COUNTA(E72:I72)=0,""," + "&amp;_xlfn.TEXTJOIN(" + ",TRUE(),IF(E72&lt;&gt;"","accel/decel",""),IF(F72&lt;&gt;"","change of direction",""),IF(G72&lt;&gt;"","high-speed running",""),IF(H72&lt;&gt;"","sprint distance",""),IF(I72&lt;&gt;"","top-speed exposure",""))))</f>
        <v/>
      </c>
      <c r="K72" s="58"/>
    </row>
    <row r="73" customFormat="false" ht="15" hidden="false" customHeight="false" outlineLevel="0" collapsed="false">
      <c r="A73" s="56"/>
      <c r="B73" s="57" t="str">
        <f aca="false">IF(A73="","",IF(Dashboard!$L$5="","",INT((A73-Dashboard!$L$5)/7)+1))</f>
        <v/>
      </c>
      <c r="C73" s="58"/>
      <c r="D73" s="58"/>
      <c r="E73" s="59"/>
      <c r="F73" s="59"/>
      <c r="G73" s="59"/>
      <c r="H73" s="59"/>
      <c r="I73" s="59"/>
      <c r="J73" s="60" t="str">
        <f aca="false">IF(OR(A73="",D73=""),"",D73&amp;IF(COUNTA(E73:I73)=0,""," + "&amp;_xlfn.TEXTJOIN(" + ",TRUE(),IF(E73&lt;&gt;"","accel/decel",""),IF(F73&lt;&gt;"","change of direction",""),IF(G73&lt;&gt;"","high-speed running",""),IF(H73&lt;&gt;"","sprint distance",""),IF(I73&lt;&gt;"","top-speed exposure",""))))</f>
        <v/>
      </c>
      <c r="K73" s="58"/>
    </row>
    <row r="74" customFormat="false" ht="15" hidden="false" customHeight="false" outlineLevel="0" collapsed="false">
      <c r="A74" s="56"/>
      <c r="B74" s="57" t="str">
        <f aca="false">IF(A74="","",IF(Dashboard!$L$5="","",INT((A74-Dashboard!$L$5)/7)+1))</f>
        <v/>
      </c>
      <c r="C74" s="58"/>
      <c r="D74" s="58"/>
      <c r="E74" s="59"/>
      <c r="F74" s="59"/>
      <c r="G74" s="59"/>
      <c r="H74" s="59"/>
      <c r="I74" s="59"/>
      <c r="J74" s="60" t="str">
        <f aca="false">IF(OR(A74="",D74=""),"",D74&amp;IF(COUNTA(E74:I74)=0,""," + "&amp;_xlfn.TEXTJOIN(" + ",TRUE(),IF(E74&lt;&gt;"","accel/decel",""),IF(F74&lt;&gt;"","change of direction",""),IF(G74&lt;&gt;"","high-speed running",""),IF(H74&lt;&gt;"","sprint distance",""),IF(I74&lt;&gt;"","top-speed exposure",""))))</f>
        <v/>
      </c>
      <c r="K74" s="58"/>
    </row>
    <row r="75" customFormat="false" ht="15" hidden="false" customHeight="false" outlineLevel="0" collapsed="false">
      <c r="A75" s="56"/>
      <c r="B75" s="57" t="str">
        <f aca="false">IF(A75="","",IF(Dashboard!$L$5="","",INT((A75-Dashboard!$L$5)/7)+1))</f>
        <v/>
      </c>
      <c r="C75" s="58"/>
      <c r="D75" s="58"/>
      <c r="E75" s="59"/>
      <c r="F75" s="59"/>
      <c r="G75" s="59"/>
      <c r="H75" s="59"/>
      <c r="I75" s="59"/>
      <c r="J75" s="60" t="str">
        <f aca="false">IF(OR(A75="",D75=""),"",D75&amp;IF(COUNTA(E75:I75)=0,""," + "&amp;_xlfn.TEXTJOIN(" + ",TRUE(),IF(E75&lt;&gt;"","accel/decel",""),IF(F75&lt;&gt;"","change of direction",""),IF(G75&lt;&gt;"","high-speed running",""),IF(H75&lt;&gt;"","sprint distance",""),IF(I75&lt;&gt;"","top-speed exposure",""))))</f>
        <v/>
      </c>
      <c r="K75" s="58"/>
    </row>
    <row r="76" customFormat="false" ht="15" hidden="false" customHeight="false" outlineLevel="0" collapsed="false">
      <c r="A76" s="56"/>
      <c r="B76" s="57" t="str">
        <f aca="false">IF(A76="","",IF(Dashboard!$L$5="","",INT((A76-Dashboard!$L$5)/7)+1))</f>
        <v/>
      </c>
      <c r="C76" s="58"/>
      <c r="D76" s="58"/>
      <c r="E76" s="59"/>
      <c r="F76" s="59"/>
      <c r="G76" s="59"/>
      <c r="H76" s="59"/>
      <c r="I76" s="59"/>
      <c r="J76" s="60" t="str">
        <f aca="false">IF(OR(A76="",D76=""),"",D76&amp;IF(COUNTA(E76:I76)=0,""," + "&amp;_xlfn.TEXTJOIN(" + ",TRUE(),IF(E76&lt;&gt;"","accel/decel",""),IF(F76&lt;&gt;"","change of direction",""),IF(G76&lt;&gt;"","high-speed running",""),IF(H76&lt;&gt;"","sprint distance",""),IF(I76&lt;&gt;"","top-speed exposure",""))))</f>
        <v/>
      </c>
      <c r="K76" s="58"/>
    </row>
    <row r="77" customFormat="false" ht="15" hidden="false" customHeight="false" outlineLevel="0" collapsed="false">
      <c r="A77" s="56"/>
      <c r="B77" s="57" t="str">
        <f aca="false">IF(A77="","",IF(Dashboard!$L$5="","",INT((A77-Dashboard!$L$5)/7)+1))</f>
        <v/>
      </c>
      <c r="C77" s="58"/>
      <c r="D77" s="58"/>
      <c r="E77" s="59"/>
      <c r="F77" s="59"/>
      <c r="G77" s="59"/>
      <c r="H77" s="59"/>
      <c r="I77" s="59"/>
      <c r="J77" s="60" t="str">
        <f aca="false">IF(OR(A77="",D77=""),"",D77&amp;IF(COUNTA(E77:I77)=0,""," + "&amp;_xlfn.TEXTJOIN(" + ",TRUE(),IF(E77&lt;&gt;"","accel/decel",""),IF(F77&lt;&gt;"","change of direction",""),IF(G77&lt;&gt;"","high-speed running",""),IF(H77&lt;&gt;"","sprint distance",""),IF(I77&lt;&gt;"","top-speed exposure",""))))</f>
        <v/>
      </c>
      <c r="K77" s="58"/>
    </row>
    <row r="78" customFormat="false" ht="15" hidden="false" customHeight="false" outlineLevel="0" collapsed="false">
      <c r="A78" s="56"/>
      <c r="B78" s="57" t="str">
        <f aca="false">IF(A78="","",IF(Dashboard!$L$5="","",INT((A78-Dashboard!$L$5)/7)+1))</f>
        <v/>
      </c>
      <c r="C78" s="58"/>
      <c r="D78" s="58"/>
      <c r="E78" s="59"/>
      <c r="F78" s="59"/>
      <c r="G78" s="59"/>
      <c r="H78" s="59"/>
      <c r="I78" s="59"/>
      <c r="J78" s="60" t="str">
        <f aca="false">IF(OR(A78="",D78=""),"",D78&amp;IF(COUNTA(E78:I78)=0,""," + "&amp;_xlfn.TEXTJOIN(" + ",TRUE(),IF(E78&lt;&gt;"","accel/decel",""),IF(F78&lt;&gt;"","change of direction",""),IF(G78&lt;&gt;"","high-speed running",""),IF(H78&lt;&gt;"","sprint distance",""),IF(I78&lt;&gt;"","top-speed exposure",""))))</f>
        <v/>
      </c>
      <c r="K78" s="58"/>
    </row>
    <row r="79" customFormat="false" ht="15" hidden="false" customHeight="false" outlineLevel="0" collapsed="false">
      <c r="A79" s="56"/>
      <c r="B79" s="57" t="str">
        <f aca="false">IF(A79="","",IF(Dashboard!$L$5="","",INT((A79-Dashboard!$L$5)/7)+1))</f>
        <v/>
      </c>
      <c r="C79" s="58"/>
      <c r="D79" s="58"/>
      <c r="E79" s="59"/>
      <c r="F79" s="59"/>
      <c r="G79" s="59"/>
      <c r="H79" s="59"/>
      <c r="I79" s="59"/>
      <c r="J79" s="60" t="str">
        <f aca="false">IF(OR(A79="",D79=""),"",D79&amp;IF(COUNTA(E79:I79)=0,""," + "&amp;_xlfn.TEXTJOIN(" + ",TRUE(),IF(E79&lt;&gt;"","accel/decel",""),IF(F79&lt;&gt;"","change of direction",""),IF(G79&lt;&gt;"","high-speed running",""),IF(H79&lt;&gt;"","sprint distance",""),IF(I79&lt;&gt;"","top-speed exposure",""))))</f>
        <v/>
      </c>
      <c r="K79" s="58"/>
    </row>
    <row r="80" customFormat="false" ht="15" hidden="false" customHeight="false" outlineLevel="0" collapsed="false">
      <c r="A80" s="56"/>
      <c r="B80" s="57" t="str">
        <f aca="false">IF(A80="","",IF(Dashboard!$L$5="","",INT((A80-Dashboard!$L$5)/7)+1))</f>
        <v/>
      </c>
      <c r="C80" s="58"/>
      <c r="D80" s="58"/>
      <c r="E80" s="59"/>
      <c r="F80" s="59"/>
      <c r="G80" s="59"/>
      <c r="H80" s="59"/>
      <c r="I80" s="59"/>
      <c r="J80" s="60" t="str">
        <f aca="false">IF(OR(A80="",D80=""),"",D80&amp;IF(COUNTA(E80:I80)=0,""," + "&amp;_xlfn.TEXTJOIN(" + ",TRUE(),IF(E80&lt;&gt;"","accel/decel",""),IF(F80&lt;&gt;"","change of direction",""),IF(G80&lt;&gt;"","high-speed running",""),IF(H80&lt;&gt;"","sprint distance",""),IF(I80&lt;&gt;"","top-speed exposure",""))))</f>
        <v/>
      </c>
      <c r="K80" s="58"/>
    </row>
    <row r="81" customFormat="false" ht="15" hidden="false" customHeight="false" outlineLevel="0" collapsed="false">
      <c r="A81" s="56"/>
      <c r="B81" s="57" t="str">
        <f aca="false">IF(A81="","",IF(Dashboard!$L$5="","",INT((A81-Dashboard!$L$5)/7)+1))</f>
        <v/>
      </c>
      <c r="C81" s="58"/>
      <c r="D81" s="58"/>
      <c r="E81" s="59"/>
      <c r="F81" s="59"/>
      <c r="G81" s="59"/>
      <c r="H81" s="59"/>
      <c r="I81" s="59"/>
      <c r="J81" s="60" t="str">
        <f aca="false">IF(OR(A81="",D81=""),"",D81&amp;IF(COUNTA(E81:I81)=0,""," + "&amp;_xlfn.TEXTJOIN(" + ",TRUE(),IF(E81&lt;&gt;"","accel/decel",""),IF(F81&lt;&gt;"","change of direction",""),IF(G81&lt;&gt;"","high-speed running",""),IF(H81&lt;&gt;"","sprint distance",""),IF(I81&lt;&gt;"","top-speed exposure",""))))</f>
        <v/>
      </c>
      <c r="K81" s="58"/>
    </row>
    <row r="82" customFormat="false" ht="15" hidden="false" customHeight="false" outlineLevel="0" collapsed="false">
      <c r="A82" s="56"/>
      <c r="B82" s="57" t="str">
        <f aca="false">IF(A82="","",IF(Dashboard!$L$5="","",INT((A82-Dashboard!$L$5)/7)+1))</f>
        <v/>
      </c>
      <c r="C82" s="58"/>
      <c r="D82" s="58"/>
      <c r="E82" s="59"/>
      <c r="F82" s="59"/>
      <c r="G82" s="59"/>
      <c r="H82" s="59"/>
      <c r="I82" s="59"/>
      <c r="J82" s="60" t="str">
        <f aca="false">IF(OR(A82="",D82=""),"",D82&amp;IF(COUNTA(E82:I82)=0,""," + "&amp;_xlfn.TEXTJOIN(" + ",TRUE(),IF(E82&lt;&gt;"","accel/decel",""),IF(F82&lt;&gt;"","change of direction",""),IF(G82&lt;&gt;"","high-speed running",""),IF(H82&lt;&gt;"","sprint distance",""),IF(I82&lt;&gt;"","top-speed exposure",""))))</f>
        <v/>
      </c>
      <c r="K82" s="58"/>
    </row>
    <row r="83" customFormat="false" ht="15" hidden="false" customHeight="false" outlineLevel="0" collapsed="false">
      <c r="A83" s="56"/>
      <c r="B83" s="57" t="str">
        <f aca="false">IF(A83="","",IF(Dashboard!$L$5="","",INT((A83-Dashboard!$L$5)/7)+1))</f>
        <v/>
      </c>
      <c r="C83" s="58"/>
      <c r="D83" s="58"/>
      <c r="E83" s="59"/>
      <c r="F83" s="59"/>
      <c r="G83" s="59"/>
      <c r="H83" s="59"/>
      <c r="I83" s="59"/>
      <c r="J83" s="60" t="str">
        <f aca="false">IF(OR(A83="",D83=""),"",D83&amp;IF(COUNTA(E83:I83)=0,""," + "&amp;_xlfn.TEXTJOIN(" + ",TRUE(),IF(E83&lt;&gt;"","accel/decel",""),IF(F83&lt;&gt;"","change of direction",""),IF(G83&lt;&gt;"","high-speed running",""),IF(H83&lt;&gt;"","sprint distance",""),IF(I83&lt;&gt;"","top-speed exposure",""))))</f>
        <v/>
      </c>
      <c r="K83" s="58"/>
    </row>
    <row r="84" customFormat="false" ht="15" hidden="false" customHeight="false" outlineLevel="0" collapsed="false">
      <c r="A84" s="56"/>
      <c r="B84" s="57" t="str">
        <f aca="false">IF(A84="","",IF(Dashboard!$L$5="","",INT((A84-Dashboard!$L$5)/7)+1))</f>
        <v/>
      </c>
      <c r="C84" s="58"/>
      <c r="D84" s="58"/>
      <c r="E84" s="59"/>
      <c r="F84" s="59"/>
      <c r="G84" s="59"/>
      <c r="H84" s="59"/>
      <c r="I84" s="59"/>
      <c r="J84" s="60" t="str">
        <f aca="false">IF(OR(A84="",D84=""),"",D84&amp;IF(COUNTA(E84:I84)=0,""," + "&amp;_xlfn.TEXTJOIN(" + ",TRUE(),IF(E84&lt;&gt;"","accel/decel",""),IF(F84&lt;&gt;"","change of direction",""),IF(G84&lt;&gt;"","high-speed running",""),IF(H84&lt;&gt;"","sprint distance",""),IF(I84&lt;&gt;"","top-speed exposure",""))))</f>
        <v/>
      </c>
      <c r="K84" s="58"/>
    </row>
    <row r="85" customFormat="false" ht="15" hidden="false" customHeight="false" outlineLevel="0" collapsed="false">
      <c r="A85" s="56"/>
      <c r="B85" s="57" t="str">
        <f aca="false">IF(A85="","",IF(Dashboard!$L$5="","",INT((A85-Dashboard!$L$5)/7)+1))</f>
        <v/>
      </c>
      <c r="C85" s="58"/>
      <c r="D85" s="58"/>
      <c r="E85" s="59"/>
      <c r="F85" s="59"/>
      <c r="G85" s="59"/>
      <c r="H85" s="59"/>
      <c r="I85" s="59"/>
      <c r="J85" s="60" t="str">
        <f aca="false">IF(OR(A85="",D85=""),"",D85&amp;IF(COUNTA(E85:I85)=0,""," + "&amp;_xlfn.TEXTJOIN(" + ",TRUE(),IF(E85&lt;&gt;"","accel/decel",""),IF(F85&lt;&gt;"","change of direction",""),IF(G85&lt;&gt;"","high-speed running",""),IF(H85&lt;&gt;"","sprint distance",""),IF(I85&lt;&gt;"","top-speed exposure",""))))</f>
        <v/>
      </c>
      <c r="K85" s="58"/>
    </row>
    <row r="86" customFormat="false" ht="15" hidden="false" customHeight="false" outlineLevel="0" collapsed="false">
      <c r="A86" s="56"/>
      <c r="B86" s="57" t="str">
        <f aca="false">IF(A86="","",IF(Dashboard!$L$5="","",INT((A86-Dashboard!$L$5)/7)+1))</f>
        <v/>
      </c>
      <c r="C86" s="58"/>
      <c r="D86" s="58"/>
      <c r="E86" s="59"/>
      <c r="F86" s="59"/>
      <c r="G86" s="59"/>
      <c r="H86" s="59"/>
      <c r="I86" s="59"/>
      <c r="J86" s="60" t="str">
        <f aca="false">IF(OR(A86="",D86=""),"",D86&amp;IF(COUNTA(E86:I86)=0,""," + "&amp;_xlfn.TEXTJOIN(" + ",TRUE(),IF(E86&lt;&gt;"","accel/decel",""),IF(F86&lt;&gt;"","change of direction",""),IF(G86&lt;&gt;"","high-speed running",""),IF(H86&lt;&gt;"","sprint distance",""),IF(I86&lt;&gt;"","top-speed exposure",""))))</f>
        <v/>
      </c>
      <c r="K86" s="58"/>
    </row>
    <row r="87" customFormat="false" ht="15" hidden="false" customHeight="false" outlineLevel="0" collapsed="false">
      <c r="A87" s="56"/>
      <c r="B87" s="57" t="str">
        <f aca="false">IF(A87="","",IF(Dashboard!$L$5="","",INT((A87-Dashboard!$L$5)/7)+1))</f>
        <v/>
      </c>
      <c r="C87" s="58"/>
      <c r="D87" s="58"/>
      <c r="E87" s="59"/>
      <c r="F87" s="59"/>
      <c r="G87" s="59"/>
      <c r="H87" s="59"/>
      <c r="I87" s="59"/>
      <c r="J87" s="60" t="str">
        <f aca="false">IF(OR(A87="",D87=""),"",D87&amp;IF(COUNTA(E87:I87)=0,""," + "&amp;_xlfn.TEXTJOIN(" + ",TRUE(),IF(E87&lt;&gt;"","accel/decel",""),IF(F87&lt;&gt;"","change of direction",""),IF(G87&lt;&gt;"","high-speed running",""),IF(H87&lt;&gt;"","sprint distance",""),IF(I87&lt;&gt;"","top-speed exposure",""))))</f>
        <v/>
      </c>
      <c r="K87" s="58"/>
    </row>
    <row r="88" customFormat="false" ht="15" hidden="false" customHeight="false" outlineLevel="0" collapsed="false">
      <c r="A88" s="56"/>
      <c r="B88" s="57" t="str">
        <f aca="false">IF(A88="","",IF(Dashboard!$L$5="","",INT((A88-Dashboard!$L$5)/7)+1))</f>
        <v/>
      </c>
      <c r="C88" s="58"/>
      <c r="D88" s="58"/>
      <c r="E88" s="59"/>
      <c r="F88" s="59"/>
      <c r="G88" s="59"/>
      <c r="H88" s="59"/>
      <c r="I88" s="59"/>
      <c r="J88" s="60" t="str">
        <f aca="false">IF(OR(A88="",D88=""),"",D88&amp;IF(COUNTA(E88:I88)=0,""," + "&amp;_xlfn.TEXTJOIN(" + ",TRUE(),IF(E88&lt;&gt;"","accel/decel",""),IF(F88&lt;&gt;"","change of direction",""),IF(G88&lt;&gt;"","high-speed running",""),IF(H88&lt;&gt;"","sprint distance",""),IF(I88&lt;&gt;"","top-speed exposure",""))))</f>
        <v/>
      </c>
      <c r="K88" s="58"/>
    </row>
    <row r="89" customFormat="false" ht="15" hidden="false" customHeight="false" outlineLevel="0" collapsed="false">
      <c r="A89" s="56"/>
      <c r="B89" s="57" t="str">
        <f aca="false">IF(A89="","",IF(Dashboard!$L$5="","",INT((A89-Dashboard!$L$5)/7)+1))</f>
        <v/>
      </c>
      <c r="C89" s="58"/>
      <c r="D89" s="58"/>
      <c r="E89" s="59"/>
      <c r="F89" s="59"/>
      <c r="G89" s="59"/>
      <c r="H89" s="59"/>
      <c r="I89" s="59"/>
      <c r="J89" s="60" t="str">
        <f aca="false">IF(OR(A89="",D89=""),"",D89&amp;IF(COUNTA(E89:I89)=0,""," + "&amp;_xlfn.TEXTJOIN(" + ",TRUE(),IF(E89&lt;&gt;"","accel/decel",""),IF(F89&lt;&gt;"","change of direction",""),IF(G89&lt;&gt;"","high-speed running",""),IF(H89&lt;&gt;"","sprint distance",""),IF(I89&lt;&gt;"","top-speed exposure",""))))</f>
        <v/>
      </c>
      <c r="K89" s="58"/>
    </row>
    <row r="90" customFormat="false" ht="15" hidden="false" customHeight="false" outlineLevel="0" collapsed="false">
      <c r="A90" s="56"/>
      <c r="B90" s="57" t="str">
        <f aca="false">IF(A90="","",IF(Dashboard!$L$5="","",INT((A90-Dashboard!$L$5)/7)+1))</f>
        <v/>
      </c>
      <c r="C90" s="58"/>
      <c r="D90" s="58"/>
      <c r="E90" s="59"/>
      <c r="F90" s="59"/>
      <c r="G90" s="59"/>
      <c r="H90" s="59"/>
      <c r="I90" s="59"/>
      <c r="J90" s="60" t="str">
        <f aca="false">IF(OR(A90="",D90=""),"",D90&amp;IF(COUNTA(E90:I90)=0,""," + "&amp;_xlfn.TEXTJOIN(" + ",TRUE(),IF(E90&lt;&gt;"","accel/decel",""),IF(F90&lt;&gt;"","change of direction",""),IF(G90&lt;&gt;"","high-speed running",""),IF(H90&lt;&gt;"","sprint distance",""),IF(I90&lt;&gt;"","top-speed exposure",""))))</f>
        <v/>
      </c>
      <c r="K90" s="58"/>
    </row>
    <row r="91" customFormat="false" ht="15" hidden="false" customHeight="false" outlineLevel="0" collapsed="false">
      <c r="A91" s="56"/>
      <c r="B91" s="57" t="str">
        <f aca="false">IF(A91="","",IF(Dashboard!$L$5="","",INT((A91-Dashboard!$L$5)/7)+1))</f>
        <v/>
      </c>
      <c r="C91" s="58"/>
      <c r="D91" s="58"/>
      <c r="E91" s="59"/>
      <c r="F91" s="59"/>
      <c r="G91" s="59"/>
      <c r="H91" s="59"/>
      <c r="I91" s="59"/>
      <c r="J91" s="60" t="str">
        <f aca="false">IF(OR(A91="",D91=""),"",D91&amp;IF(COUNTA(E91:I91)=0,""," + "&amp;_xlfn.TEXTJOIN(" + ",TRUE(),IF(E91&lt;&gt;"","accel/decel",""),IF(F91&lt;&gt;"","change of direction",""),IF(G91&lt;&gt;"","high-speed running",""),IF(H91&lt;&gt;"","sprint distance",""),IF(I91&lt;&gt;"","top-speed exposure",""))))</f>
        <v/>
      </c>
      <c r="K91" s="58"/>
    </row>
    <row r="92" customFormat="false" ht="15" hidden="false" customHeight="false" outlineLevel="0" collapsed="false">
      <c r="A92" s="56"/>
      <c r="B92" s="57" t="str">
        <f aca="false">IF(A92="","",IF(Dashboard!$L$5="","",INT((A92-Dashboard!$L$5)/7)+1))</f>
        <v/>
      </c>
      <c r="C92" s="58"/>
      <c r="D92" s="58"/>
      <c r="E92" s="59"/>
      <c r="F92" s="59"/>
      <c r="G92" s="59"/>
      <c r="H92" s="59"/>
      <c r="I92" s="59"/>
      <c r="J92" s="60" t="str">
        <f aca="false">IF(OR(A92="",D92=""),"",D92&amp;IF(COUNTA(E92:I92)=0,""," + "&amp;_xlfn.TEXTJOIN(" + ",TRUE(),IF(E92&lt;&gt;"","accel/decel",""),IF(F92&lt;&gt;"","change of direction",""),IF(G92&lt;&gt;"","high-speed running",""),IF(H92&lt;&gt;"","sprint distance",""),IF(I92&lt;&gt;"","top-speed exposure",""))))</f>
        <v/>
      </c>
      <c r="K92" s="58"/>
    </row>
    <row r="93" customFormat="false" ht="15" hidden="false" customHeight="false" outlineLevel="0" collapsed="false">
      <c r="A93" s="56"/>
      <c r="B93" s="57" t="str">
        <f aca="false">IF(A93="","",IF(Dashboard!$L$5="","",INT((A93-Dashboard!$L$5)/7)+1))</f>
        <v/>
      </c>
      <c r="C93" s="58"/>
      <c r="D93" s="58"/>
      <c r="E93" s="59"/>
      <c r="F93" s="59"/>
      <c r="G93" s="59"/>
      <c r="H93" s="59"/>
      <c r="I93" s="59"/>
      <c r="J93" s="60" t="str">
        <f aca="false">IF(OR(A93="",D93=""),"",D93&amp;IF(COUNTA(E93:I93)=0,""," + "&amp;_xlfn.TEXTJOIN(" + ",TRUE(),IF(E93&lt;&gt;"","accel/decel",""),IF(F93&lt;&gt;"","change of direction",""),IF(G93&lt;&gt;"","high-speed running",""),IF(H93&lt;&gt;"","sprint distance",""),IF(I93&lt;&gt;"","top-speed exposure",""))))</f>
        <v/>
      </c>
      <c r="K93" s="58"/>
    </row>
    <row r="94" customFormat="false" ht="15" hidden="false" customHeight="false" outlineLevel="0" collapsed="false">
      <c r="A94" s="56"/>
      <c r="B94" s="57" t="str">
        <f aca="false">IF(A94="","",IF(Dashboard!$L$5="","",INT((A94-Dashboard!$L$5)/7)+1))</f>
        <v/>
      </c>
      <c r="C94" s="58"/>
      <c r="D94" s="58"/>
      <c r="E94" s="59"/>
      <c r="F94" s="59"/>
      <c r="G94" s="59"/>
      <c r="H94" s="59"/>
      <c r="I94" s="59"/>
      <c r="J94" s="60" t="str">
        <f aca="false">IF(OR(A94="",D94=""),"",D94&amp;IF(COUNTA(E94:I94)=0,""," + "&amp;_xlfn.TEXTJOIN(" + ",TRUE(),IF(E94&lt;&gt;"","accel/decel",""),IF(F94&lt;&gt;"","change of direction",""),IF(G94&lt;&gt;"","high-speed running",""),IF(H94&lt;&gt;"","sprint distance",""),IF(I94&lt;&gt;"","top-speed exposure",""))))</f>
        <v/>
      </c>
      <c r="K94" s="58"/>
    </row>
    <row r="95" customFormat="false" ht="15" hidden="false" customHeight="false" outlineLevel="0" collapsed="false">
      <c r="A95" s="56"/>
      <c r="B95" s="57" t="str">
        <f aca="false">IF(A95="","",IF(Dashboard!$L$5="","",INT((A95-Dashboard!$L$5)/7)+1))</f>
        <v/>
      </c>
      <c r="C95" s="58"/>
      <c r="D95" s="58"/>
      <c r="E95" s="59"/>
      <c r="F95" s="59"/>
      <c r="G95" s="59"/>
      <c r="H95" s="59"/>
      <c r="I95" s="59"/>
      <c r="J95" s="60" t="str">
        <f aca="false">IF(OR(A95="",D95=""),"",D95&amp;IF(COUNTA(E95:I95)=0,""," + "&amp;_xlfn.TEXTJOIN(" + ",TRUE(),IF(E95&lt;&gt;"","accel/decel",""),IF(F95&lt;&gt;"","change of direction",""),IF(G95&lt;&gt;"","high-speed running",""),IF(H95&lt;&gt;"","sprint distance",""),IF(I95&lt;&gt;"","top-speed exposure",""))))</f>
        <v/>
      </c>
      <c r="K95" s="58"/>
    </row>
    <row r="96" customFormat="false" ht="15" hidden="false" customHeight="false" outlineLevel="0" collapsed="false">
      <c r="A96" s="56"/>
      <c r="B96" s="57" t="str">
        <f aca="false">IF(A96="","",IF(Dashboard!$L$5="","",INT((A96-Dashboard!$L$5)/7)+1))</f>
        <v/>
      </c>
      <c r="C96" s="58"/>
      <c r="D96" s="58"/>
      <c r="E96" s="59"/>
      <c r="F96" s="59"/>
      <c r="G96" s="59"/>
      <c r="H96" s="59"/>
      <c r="I96" s="59"/>
      <c r="J96" s="60" t="str">
        <f aca="false">IF(OR(A96="",D96=""),"",D96&amp;IF(COUNTA(E96:I96)=0,""," + "&amp;_xlfn.TEXTJOIN(" + ",TRUE(),IF(E96&lt;&gt;"","accel/decel",""),IF(F96&lt;&gt;"","change of direction",""),IF(G96&lt;&gt;"","high-speed running",""),IF(H96&lt;&gt;"","sprint distance",""),IF(I96&lt;&gt;"","top-speed exposure",""))))</f>
        <v/>
      </c>
      <c r="K96" s="58"/>
    </row>
    <row r="97" customFormat="false" ht="15" hidden="false" customHeight="false" outlineLevel="0" collapsed="false">
      <c r="A97" s="56"/>
      <c r="B97" s="57" t="str">
        <f aca="false">IF(A97="","",IF(Dashboard!$L$5="","",INT((A97-Dashboard!$L$5)/7)+1))</f>
        <v/>
      </c>
      <c r="C97" s="58"/>
      <c r="D97" s="58"/>
      <c r="E97" s="59"/>
      <c r="F97" s="59"/>
      <c r="G97" s="59"/>
      <c r="H97" s="59"/>
      <c r="I97" s="59"/>
      <c r="J97" s="60" t="str">
        <f aca="false">IF(OR(A97="",D97=""),"",D97&amp;IF(COUNTA(E97:I97)=0,""," + "&amp;_xlfn.TEXTJOIN(" + ",TRUE(),IF(E97&lt;&gt;"","accel/decel",""),IF(F97&lt;&gt;"","change of direction",""),IF(G97&lt;&gt;"","high-speed running",""),IF(H97&lt;&gt;"","sprint distance",""),IF(I97&lt;&gt;"","top-speed exposure",""))))</f>
        <v/>
      </c>
      <c r="K97" s="58"/>
    </row>
    <row r="98" customFormat="false" ht="15" hidden="false" customHeight="false" outlineLevel="0" collapsed="false">
      <c r="A98" s="56"/>
      <c r="B98" s="57" t="str">
        <f aca="false">IF(A98="","",IF(Dashboard!$L$5="","",INT((A98-Dashboard!$L$5)/7)+1))</f>
        <v/>
      </c>
      <c r="C98" s="58"/>
      <c r="D98" s="58"/>
      <c r="E98" s="59"/>
      <c r="F98" s="59"/>
      <c r="G98" s="59"/>
      <c r="H98" s="59"/>
      <c r="I98" s="59"/>
      <c r="J98" s="60" t="str">
        <f aca="false">IF(OR(A98="",D98=""),"",D98&amp;IF(COUNTA(E98:I98)=0,""," + "&amp;_xlfn.TEXTJOIN(" + ",TRUE(),IF(E98&lt;&gt;"","accel/decel",""),IF(F98&lt;&gt;"","change of direction",""),IF(G98&lt;&gt;"","high-speed running",""),IF(H98&lt;&gt;"","sprint distance",""),IF(I98&lt;&gt;"","top-speed exposure",""))))</f>
        <v/>
      </c>
      <c r="K98" s="58"/>
    </row>
    <row r="99" customFormat="false" ht="15" hidden="false" customHeight="false" outlineLevel="0" collapsed="false">
      <c r="A99" s="56"/>
      <c r="B99" s="57" t="str">
        <f aca="false">IF(A99="","",IF(Dashboard!$L$5="","",INT((A99-Dashboard!$L$5)/7)+1))</f>
        <v/>
      </c>
      <c r="C99" s="58"/>
      <c r="D99" s="58"/>
      <c r="E99" s="59"/>
      <c r="F99" s="59"/>
      <c r="G99" s="59"/>
      <c r="H99" s="59"/>
      <c r="I99" s="59"/>
      <c r="J99" s="60" t="str">
        <f aca="false">IF(OR(A99="",D99=""),"",D99&amp;IF(COUNTA(E99:I99)=0,""," + "&amp;_xlfn.TEXTJOIN(" + ",TRUE(),IF(E99&lt;&gt;"","accel/decel",""),IF(F99&lt;&gt;"","change of direction",""),IF(G99&lt;&gt;"","high-speed running",""),IF(H99&lt;&gt;"","sprint distance",""),IF(I99&lt;&gt;"","top-speed exposure",""))))</f>
        <v/>
      </c>
      <c r="K99" s="58"/>
    </row>
    <row r="100" customFormat="false" ht="15" hidden="false" customHeight="false" outlineLevel="0" collapsed="false">
      <c r="A100" s="56"/>
      <c r="B100" s="57" t="str">
        <f aca="false">IF(A100="","",IF(Dashboard!$L$5="","",INT((A100-Dashboard!$L$5)/7)+1))</f>
        <v/>
      </c>
      <c r="C100" s="58"/>
      <c r="D100" s="58"/>
      <c r="E100" s="59"/>
      <c r="F100" s="59"/>
      <c r="G100" s="59"/>
      <c r="H100" s="59"/>
      <c r="I100" s="59"/>
      <c r="J100" s="60" t="str">
        <f aca="false">IF(OR(A100="",D100=""),"",D100&amp;IF(COUNTA(E100:I100)=0,""," + "&amp;_xlfn.TEXTJOIN(" + ",TRUE(),IF(E100&lt;&gt;"","accel/decel",""),IF(F100&lt;&gt;"","change of direction",""),IF(G100&lt;&gt;"","high-speed running",""),IF(H100&lt;&gt;"","sprint distance",""),IF(I100&lt;&gt;"","top-speed exposure",""))))</f>
        <v/>
      </c>
      <c r="K100" s="58"/>
    </row>
    <row r="101" customFormat="false" ht="15" hidden="false" customHeight="false" outlineLevel="0" collapsed="false">
      <c r="A101" s="56"/>
      <c r="B101" s="57" t="str">
        <f aca="false">IF(A101="","",IF(Dashboard!$L$5="","",INT((A101-Dashboard!$L$5)/7)+1))</f>
        <v/>
      </c>
      <c r="C101" s="58"/>
      <c r="D101" s="58"/>
      <c r="E101" s="59"/>
      <c r="F101" s="59"/>
      <c r="G101" s="59"/>
      <c r="H101" s="59"/>
      <c r="I101" s="59"/>
      <c r="J101" s="60" t="str">
        <f aca="false">IF(OR(A101="",D101=""),"",D101&amp;IF(COUNTA(E101:I101)=0,""," + "&amp;_xlfn.TEXTJOIN(" + ",TRUE(),IF(E101&lt;&gt;"","accel/decel",""),IF(F101&lt;&gt;"","change of direction",""),IF(G101&lt;&gt;"","high-speed running",""),IF(H101&lt;&gt;"","sprint distance",""),IF(I101&lt;&gt;"","top-speed exposure",""))))</f>
        <v/>
      </c>
      <c r="K101" s="58"/>
    </row>
    <row r="102" customFormat="false" ht="15" hidden="false" customHeight="false" outlineLevel="0" collapsed="false">
      <c r="A102" s="56"/>
      <c r="B102" s="57" t="str">
        <f aca="false">IF(A102="","",IF(Dashboard!$L$5="","",INT((A102-Dashboard!$L$5)/7)+1))</f>
        <v/>
      </c>
      <c r="C102" s="58"/>
      <c r="D102" s="58"/>
      <c r="E102" s="59"/>
      <c r="F102" s="59"/>
      <c r="G102" s="59"/>
      <c r="H102" s="59"/>
      <c r="I102" s="59"/>
      <c r="J102" s="60" t="str">
        <f aca="false">IF(OR(A102="",D102=""),"",D102&amp;IF(COUNTA(E102:I102)=0,""," + "&amp;_xlfn.TEXTJOIN(" + ",TRUE(),IF(E102&lt;&gt;"","accel/decel",""),IF(F102&lt;&gt;"","change of direction",""),IF(G102&lt;&gt;"","high-speed running",""),IF(H102&lt;&gt;"","sprint distance",""),IF(I102&lt;&gt;"","top-speed exposure",""))))</f>
        <v/>
      </c>
      <c r="K102" s="58"/>
    </row>
    <row r="103" customFormat="false" ht="15" hidden="false" customHeight="false" outlineLevel="0" collapsed="false">
      <c r="A103" s="56"/>
      <c r="B103" s="57" t="str">
        <f aca="false">IF(A103="","",IF(Dashboard!$L$5="","",INT((A103-Dashboard!$L$5)/7)+1))</f>
        <v/>
      </c>
      <c r="C103" s="58"/>
      <c r="D103" s="58"/>
      <c r="E103" s="59"/>
      <c r="F103" s="59"/>
      <c r="G103" s="59"/>
      <c r="H103" s="59"/>
      <c r="I103" s="59"/>
      <c r="J103" s="60" t="str">
        <f aca="false">IF(OR(A103="",D103=""),"",D103&amp;IF(COUNTA(E103:I103)=0,""," + "&amp;_xlfn.TEXTJOIN(" + ",TRUE(),IF(E103&lt;&gt;"","accel/decel",""),IF(F103&lt;&gt;"","change of direction",""),IF(G103&lt;&gt;"","high-speed running",""),IF(H103&lt;&gt;"","sprint distance",""),IF(I103&lt;&gt;"","top-speed exposure",""))))</f>
        <v/>
      </c>
      <c r="K103" s="58"/>
    </row>
    <row r="104" customFormat="false" ht="15" hidden="false" customHeight="false" outlineLevel="0" collapsed="false">
      <c r="A104" s="56"/>
      <c r="B104" s="57" t="str">
        <f aca="false">IF(A104="","",IF(Dashboard!$L$5="","",INT((A104-Dashboard!$L$5)/7)+1))</f>
        <v/>
      </c>
      <c r="C104" s="58"/>
      <c r="D104" s="58"/>
      <c r="E104" s="59"/>
      <c r="F104" s="59"/>
      <c r="G104" s="59"/>
      <c r="H104" s="59"/>
      <c r="I104" s="59"/>
      <c r="J104" s="60" t="str">
        <f aca="false">IF(OR(A104="",D104=""),"",D104&amp;IF(COUNTA(E104:I104)=0,""," + "&amp;_xlfn.TEXTJOIN(" + ",TRUE(),IF(E104&lt;&gt;"","accel/decel",""),IF(F104&lt;&gt;"","change of direction",""),IF(G104&lt;&gt;"","high-speed running",""),IF(H104&lt;&gt;"","sprint distance",""),IF(I104&lt;&gt;"","top-speed exposure",""))))</f>
        <v/>
      </c>
      <c r="K104" s="58"/>
    </row>
  </sheetData>
  <mergeCells count="2">
    <mergeCell ref="A1:K1"/>
    <mergeCell ref="A2:K2"/>
  </mergeCells>
  <conditionalFormatting sqref="E5:I104">
    <cfRule type="expression" priority="2" aboveAverage="0" equalAverage="0" bottom="0" percent="0" rank="0" text="" dxfId="15">
      <formula>E5&lt;&gt;""</formula>
    </cfRule>
  </conditionalFormatting>
  <conditionalFormatting sqref="C5:C104">
    <cfRule type="expression" priority="3" aboveAverage="0" equalAverage="0" bottom="0" percent="0" rank="0" text="" dxfId="9">
      <formula>ISNUMBER(SEARCH("Unavailable",C5))</formula>
    </cfRule>
    <cfRule type="expression" priority="4" aboveAverage="0" equalAverage="0" bottom="0" percent="0" rank="0" text="" dxfId="7">
      <formula>ISNUMBER(SEARCH("Available for selection",C5))</formula>
    </cfRule>
  </conditionalFormatting>
  <dataValidations count="3">
    <dataValidation allowBlank="true" errorStyle="stop" operator="between" showDropDown="false" showErrorMessage="false" showInputMessage="false" sqref="C5:C104" type="list">
      <formula1>Lists!$I$3:$I$6</formula1>
      <formula2>0</formula2>
    </dataValidation>
    <dataValidation allowBlank="true" errorStyle="stop" operator="between" showDropDown="false" showErrorMessage="false" showInputMessage="false" sqref="D5:D104" type="list">
      <formula1>Lists!$J$3:$J$6</formula1>
      <formula2>0</formula2>
    </dataValidation>
    <dataValidation allowBlank="true" errorStyle="stop" operator="between" showDropDown="false" showErrorMessage="false" showInputMessage="false" sqref="E5:I104" type="list">
      <formula1>Lists!$L$3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28A"/>
    <pageSetUpPr fitToPage="false"/>
  </sheetPr>
  <dimension ref="A1:AA16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"/>
    <col collapsed="false" customWidth="true" hidden="false" outlineLevel="0" max="26" min="3" style="0" width="10"/>
    <col collapsed="false" customWidth="true" hidden="false" outlineLevel="0" max="27" min="27" style="0" width="32"/>
  </cols>
  <sheetData>
    <row r="1" customFormat="false" ht="27.75" hidden="false" customHeight="true" outlineLevel="0" collapsed="false">
      <c r="A1" s="53" t="s">
        <v>90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customFormat="false" ht="25.5" hidden="false" customHeight="true" outlineLevel="0" collapsed="false">
      <c r="A2" s="54" t="s">
        <v>91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</row>
    <row r="4" customFormat="false" ht="19.5" hidden="false" customHeight="true" outlineLevel="0" collapsed="false">
      <c r="A4" s="62" t="s">
        <v>92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</row>
    <row r="5" customFormat="false" ht="30" hidden="false" customHeight="true" outlineLevel="0" collapsed="false">
      <c r="A5" s="63" t="s">
        <v>93</v>
      </c>
      <c r="B5" s="63" t="s">
        <v>94</v>
      </c>
      <c r="C5" s="63"/>
      <c r="D5" s="63" t="s">
        <v>95</v>
      </c>
      <c r="E5" s="63"/>
      <c r="F5" s="63"/>
      <c r="G5" s="63"/>
      <c r="H5" s="63"/>
      <c r="I5" s="63"/>
      <c r="J5" s="63"/>
      <c r="K5" s="63" t="s">
        <v>96</v>
      </c>
      <c r="L5" s="63"/>
      <c r="M5" s="63"/>
      <c r="N5" s="63" t="s">
        <v>97</v>
      </c>
      <c r="O5" s="63" t="s">
        <v>98</v>
      </c>
      <c r="P5" s="63" t="s">
        <v>99</v>
      </c>
      <c r="Q5" s="63" t="s">
        <v>100</v>
      </c>
      <c r="R5" s="63"/>
      <c r="S5" s="63" t="s">
        <v>101</v>
      </c>
      <c r="T5" s="63" t="s">
        <v>102</v>
      </c>
      <c r="U5" s="63" t="s">
        <v>103</v>
      </c>
      <c r="V5" s="63" t="s">
        <v>104</v>
      </c>
      <c r="W5" s="63"/>
      <c r="X5" s="63" t="s">
        <v>84</v>
      </c>
      <c r="Y5" s="63"/>
      <c r="Z5" s="63"/>
      <c r="AA5" s="63"/>
    </row>
    <row r="6" customFormat="false" ht="18" hidden="false" customHeight="true" outlineLevel="0" collapsed="false">
      <c r="A6" s="64" t="n">
        <v>1</v>
      </c>
      <c r="B6" s="65" t="s">
        <v>105</v>
      </c>
      <c r="C6" s="65"/>
      <c r="D6" s="58" t="s">
        <v>106</v>
      </c>
      <c r="E6" s="58"/>
      <c r="F6" s="58"/>
      <c r="G6" s="58"/>
      <c r="H6" s="58"/>
      <c r="I6" s="58"/>
      <c r="J6" s="58"/>
      <c r="K6" s="66" t="s">
        <v>107</v>
      </c>
      <c r="L6" s="66"/>
      <c r="M6" s="66"/>
      <c r="N6" s="67"/>
      <c r="O6" s="67" t="s">
        <v>108</v>
      </c>
      <c r="P6" s="67"/>
      <c r="Q6" s="68" t="str">
        <f aca="false">IF(IF(OR($K6="",$K6="Manual"),"",IF(LEFT($K6,4)="GPS:",IFERROR(CHOOSE(MATCH($K6,Lists!$G$3:$G$8,0),GPS!$G$6,GPS!$G$7,GPS!$G$8,GPS!$G$9,GPS!$G$10,GPS!$G$11),""),IFERROR(IF($N6="LSI",INDEX($I$109:$I$132,MATCH($K6,$C$109:$C$132,0)),IF($N6="L",INDEX($G$109:$G$132,MATCH($K6,$C$109:$C$132,0)),IF($N6="R",INDEX($H$109:$H$132,MATCH($K6,$C$109:$C$132,0)),IF(Dashboard!$K$5="L",INDEX($G$109:$G$132,MATCH($K6,$C$109:$C$132,0)),IF(Dashboard!$K$5="R",INDEX($H$109:$H$132,MATCH($K6,$C$109:$C$132,0)),""))))),"")))="","",IF(OR($N6="LSI",LEFT($K6,4)="GPS:"),TEXT(IF(OR($K6="",$K6="Manual"),"",IF(LEFT($K6,4)="GPS:",IFERROR(CHOOSE(MATCH($K6,Lists!$G$3:$G$8,0),GPS!$G$6,GPS!$G$7,GPS!$G$8,GPS!$G$9,GPS!$G$10,GPS!$G$11),""),IFERROR(IF($N6="LSI",INDEX($I$109:$I$132,MATCH($K6,$C$109:$C$132,0)),IF($N6="L",INDEX($G$109:$G$132,MATCH($K6,$C$109:$C$132,0)),IF($N6="R",INDEX($H$109:$H$132,MATCH($K6,$C$109:$C$132,0)),IF(Dashboard!$K$5="L",INDEX($G$109:$G$132,MATCH($K6,$C$109:$C$132,0)),IF(Dashboard!$K$5="R",INDEX($H$109:$H$132,MATCH($K6,$C$109:$C$132,0)),""))))),""))),"0%"),TEXT(IF(OR($K6="",$K6="Manual"),"",IF(LEFT($K6,4)="GPS:",IFERROR(CHOOSE(MATCH($K6,Lists!$G$3:$G$8,0),GPS!$G$6,GPS!$G$7,GPS!$G$8,GPS!$G$9,GPS!$G$10,GPS!$G$11),""),IFERROR(IF($N6="LSI",INDEX($I$109:$I$132,MATCH($K6,$C$109:$C$132,0)),IF($N6="L",INDEX($G$109:$G$132,MATCH($K6,$C$109:$C$132,0)),IF($N6="R",INDEX($H$109:$H$132,MATCH($K6,$C$109:$C$132,0)),IF(Dashboard!$K$5="L",INDEX($G$109:$G$132,MATCH($K6,$C$109:$C$132,0)),IF(Dashboard!$K$5="R",INDEX($H$109:$H$132,MATCH($K6,$C$109:$C$132,0)),""))))),""))),"0.0")))</f>
        <v/>
      </c>
      <c r="R6" s="68"/>
      <c r="S6" s="69" t="str">
        <f aca="false">IF(OR(IF(OR($K6="",$K6="Manual"),"",IF(LEFT($K6,4)="GPS:",IFERROR(CHOOSE(MATCH($K6,Lists!$G$3:$G$8,0),GPS!$G$6,GPS!$G$7,GPS!$G$8,GPS!$G$9,GPS!$G$10,GPS!$G$11),""),IFERROR(IF($N6="LSI",INDEX($I$109:$I$132,MATCH($K6,$C$109:$C$132,0)),IF($N6="L",INDEX($G$109:$G$132,MATCH($K6,$C$109:$C$132,0)),IF($N6="R",INDEX($H$109:$H$132,MATCH($K6,$C$109:$C$132,0)),IF(Dashboard!$K$5="L",INDEX($G$109:$G$132,MATCH($K6,$C$109:$C$132,0)),IF(Dashboard!$K$5="R",INDEX($H$109:$H$132,MATCH($K6,$C$109:$C$132,0)),""))))),"")))="",$P6=""),"",IF(IF($O6="≤",IF(OR($K6="",$K6="Manual"),"",IF(LEFT($K6,4)="GPS:",IFERROR(CHOOSE(MATCH($K6,Lists!$G$3:$G$8,0),GPS!$G$6,GPS!$G$7,GPS!$G$8,GPS!$G$9,GPS!$G$10,GPS!$G$11),""),IFERROR(IF($N6="LSI",INDEX($I$109:$I$132,MATCH($K6,$C$109:$C$132,0)),IF($N6="L",INDEX($G$109:$G$132,MATCH($K6,$C$109:$C$132,0)),IF($N6="R",INDEX($H$109:$H$132,MATCH($K6,$C$109:$C$132,0)),IF(Dashboard!$K$5="L",INDEX($G$109:$G$132,MATCH($K6,$C$109:$C$132,0)),IF(Dashboard!$K$5="R",INDEX($H$109:$H$132,MATCH($K6,$C$109:$C$132,0)),""))))),"")))&lt;=$P6,IF(OR($K6="",$K6="Manual"),"",IF(LEFT($K6,4)="GPS:",IFERROR(CHOOSE(MATCH($K6,Lists!$G$3:$G$8,0),GPS!$G$6,GPS!$G$7,GPS!$G$8,GPS!$G$9,GPS!$G$10,GPS!$G$11),""),IFERROR(IF($N6="LSI",INDEX($I$109:$I$132,MATCH($K6,$C$109:$C$132,0)),IF($N6="L",INDEX($G$109:$G$132,MATCH($K6,$C$109:$C$132,0)),IF($N6="R",INDEX($H$109:$H$132,MATCH($K6,$C$109:$C$132,0)),IF(Dashboard!$K$5="L",INDEX($G$109:$G$132,MATCH($K6,$C$109:$C$132,0)),IF(Dashboard!$K$5="R",INDEX($H$109:$H$132,MATCH($K6,$C$109:$C$132,0)),""))))),"")))&gt;=$P6),"MET","NOT MET"))</f>
        <v/>
      </c>
      <c r="T6" s="7"/>
      <c r="U6" s="68" t="str">
        <f aca="false">IF($T6&lt;&gt;"",$T6,IF($S6="MET","Y",IF($S6="NOT MET","N","")))</f>
        <v/>
      </c>
      <c r="V6" s="70" t="str">
        <f aca="false">IF($U6="Y",IFERROR(IF(LEFT($K6,4)="GPS:","",INDEX($J$109:$J$132,MATCH($K6,$C$109:$C$132,0))),""),"")</f>
        <v/>
      </c>
      <c r="W6" s="70"/>
      <c r="X6" s="58"/>
      <c r="Y6" s="58"/>
      <c r="Z6" s="58"/>
      <c r="AA6" s="58"/>
    </row>
    <row r="7" customFormat="false" ht="18" hidden="false" customHeight="true" outlineLevel="0" collapsed="false">
      <c r="A7" s="64" t="n">
        <v>2</v>
      </c>
      <c r="B7" s="65"/>
      <c r="C7" s="65"/>
      <c r="D7" s="58" t="s">
        <v>109</v>
      </c>
      <c r="E7" s="58"/>
      <c r="F7" s="58"/>
      <c r="G7" s="58"/>
      <c r="H7" s="58"/>
      <c r="I7" s="58"/>
      <c r="J7" s="58"/>
      <c r="K7" s="66" t="s">
        <v>107</v>
      </c>
      <c r="L7" s="66"/>
      <c r="M7" s="66"/>
      <c r="N7" s="67"/>
      <c r="O7" s="67" t="s">
        <v>108</v>
      </c>
      <c r="P7" s="67"/>
      <c r="Q7" s="68" t="str">
        <f aca="false">IF(IF(OR($K7="",$K7="Manual"),"",IF(LEFT($K7,4)="GPS:",IFERROR(CHOOSE(MATCH($K7,Lists!$G$3:$G$8,0),GPS!$G$6,GPS!$G$7,GPS!$G$8,GPS!$G$9,GPS!$G$10,GPS!$G$11),""),IFERROR(IF($N7="LSI",INDEX($I$109:$I$132,MATCH($K7,$C$109:$C$132,0)),IF($N7="L",INDEX($G$109:$G$132,MATCH($K7,$C$109:$C$132,0)),IF($N7="R",INDEX($H$109:$H$132,MATCH($K7,$C$109:$C$132,0)),IF(Dashboard!$K$5="L",INDEX($G$109:$G$132,MATCH($K7,$C$109:$C$132,0)),IF(Dashboard!$K$5="R",INDEX($H$109:$H$132,MATCH($K7,$C$109:$C$132,0)),""))))),"")))="","",IF(OR($N7="LSI",LEFT($K7,4)="GPS:"),TEXT(IF(OR($K7="",$K7="Manual"),"",IF(LEFT($K7,4)="GPS:",IFERROR(CHOOSE(MATCH($K7,Lists!$G$3:$G$8,0),GPS!$G$6,GPS!$G$7,GPS!$G$8,GPS!$G$9,GPS!$G$10,GPS!$G$11),""),IFERROR(IF($N7="LSI",INDEX($I$109:$I$132,MATCH($K7,$C$109:$C$132,0)),IF($N7="L",INDEX($G$109:$G$132,MATCH($K7,$C$109:$C$132,0)),IF($N7="R",INDEX($H$109:$H$132,MATCH($K7,$C$109:$C$132,0)),IF(Dashboard!$K$5="L",INDEX($G$109:$G$132,MATCH($K7,$C$109:$C$132,0)),IF(Dashboard!$K$5="R",INDEX($H$109:$H$132,MATCH($K7,$C$109:$C$132,0)),""))))),""))),"0%"),TEXT(IF(OR($K7="",$K7="Manual"),"",IF(LEFT($K7,4)="GPS:",IFERROR(CHOOSE(MATCH($K7,Lists!$G$3:$G$8,0),GPS!$G$6,GPS!$G$7,GPS!$G$8,GPS!$G$9,GPS!$G$10,GPS!$G$11),""),IFERROR(IF($N7="LSI",INDEX($I$109:$I$132,MATCH($K7,$C$109:$C$132,0)),IF($N7="L",INDEX($G$109:$G$132,MATCH($K7,$C$109:$C$132,0)),IF($N7="R",INDEX($H$109:$H$132,MATCH($K7,$C$109:$C$132,0)),IF(Dashboard!$K$5="L",INDEX($G$109:$G$132,MATCH($K7,$C$109:$C$132,0)),IF(Dashboard!$K$5="R",INDEX($H$109:$H$132,MATCH($K7,$C$109:$C$132,0)),""))))),""))),"0.0")))</f>
        <v/>
      </c>
      <c r="R7" s="68"/>
      <c r="S7" s="69" t="str">
        <f aca="false">IF(OR(IF(OR($K7="",$K7="Manual"),"",IF(LEFT($K7,4)="GPS:",IFERROR(CHOOSE(MATCH($K7,Lists!$G$3:$G$8,0),GPS!$G$6,GPS!$G$7,GPS!$G$8,GPS!$G$9,GPS!$G$10,GPS!$G$11),""),IFERROR(IF($N7="LSI",INDEX($I$109:$I$132,MATCH($K7,$C$109:$C$132,0)),IF($N7="L",INDEX($G$109:$G$132,MATCH($K7,$C$109:$C$132,0)),IF($N7="R",INDEX($H$109:$H$132,MATCH($K7,$C$109:$C$132,0)),IF(Dashboard!$K$5="L",INDEX($G$109:$G$132,MATCH($K7,$C$109:$C$132,0)),IF(Dashboard!$K$5="R",INDEX($H$109:$H$132,MATCH($K7,$C$109:$C$132,0)),""))))),"")))="",$P7=""),"",IF(IF($O7="≤",IF(OR($K7="",$K7="Manual"),"",IF(LEFT($K7,4)="GPS:",IFERROR(CHOOSE(MATCH($K7,Lists!$G$3:$G$8,0),GPS!$G$6,GPS!$G$7,GPS!$G$8,GPS!$G$9,GPS!$G$10,GPS!$G$11),""),IFERROR(IF($N7="LSI",INDEX($I$109:$I$132,MATCH($K7,$C$109:$C$132,0)),IF($N7="L",INDEX($G$109:$G$132,MATCH($K7,$C$109:$C$132,0)),IF($N7="R",INDEX($H$109:$H$132,MATCH($K7,$C$109:$C$132,0)),IF(Dashboard!$K$5="L",INDEX($G$109:$G$132,MATCH($K7,$C$109:$C$132,0)),IF(Dashboard!$K$5="R",INDEX($H$109:$H$132,MATCH($K7,$C$109:$C$132,0)),""))))),"")))&lt;=$P7,IF(OR($K7="",$K7="Manual"),"",IF(LEFT($K7,4)="GPS:",IFERROR(CHOOSE(MATCH($K7,Lists!$G$3:$G$8,0),GPS!$G$6,GPS!$G$7,GPS!$G$8,GPS!$G$9,GPS!$G$10,GPS!$G$11),""),IFERROR(IF($N7="LSI",INDEX($I$109:$I$132,MATCH($K7,$C$109:$C$132,0)),IF($N7="L",INDEX($G$109:$G$132,MATCH($K7,$C$109:$C$132,0)),IF($N7="R",INDEX($H$109:$H$132,MATCH($K7,$C$109:$C$132,0)),IF(Dashboard!$K$5="L",INDEX($G$109:$G$132,MATCH($K7,$C$109:$C$132,0)),IF(Dashboard!$K$5="R",INDEX($H$109:$H$132,MATCH($K7,$C$109:$C$132,0)),""))))),"")))&gt;=$P7),"MET","NOT MET"))</f>
        <v/>
      </c>
      <c r="T7" s="7"/>
      <c r="U7" s="68" t="str">
        <f aca="false">IF($T7&lt;&gt;"",$T7,IF($S7="MET","Y",IF($S7="NOT MET","N","")))</f>
        <v/>
      </c>
      <c r="V7" s="70" t="str">
        <f aca="false">IF($U7="Y",IFERROR(IF(LEFT($K7,4)="GPS:","",INDEX($J$109:$J$132,MATCH($K7,$C$109:$C$132,0))),""),"")</f>
        <v/>
      </c>
      <c r="W7" s="70"/>
      <c r="X7" s="58"/>
      <c r="Y7" s="58"/>
      <c r="Z7" s="58"/>
      <c r="AA7" s="58"/>
    </row>
    <row r="8" customFormat="false" ht="18" hidden="false" customHeight="true" outlineLevel="0" collapsed="false">
      <c r="A8" s="64" t="n">
        <v>3</v>
      </c>
      <c r="B8" s="65"/>
      <c r="C8" s="65"/>
      <c r="D8" s="58"/>
      <c r="E8" s="58"/>
      <c r="F8" s="58"/>
      <c r="G8" s="58"/>
      <c r="H8" s="58"/>
      <c r="I8" s="58"/>
      <c r="J8" s="58"/>
      <c r="K8" s="66"/>
      <c r="L8" s="66"/>
      <c r="M8" s="66"/>
      <c r="N8" s="67"/>
      <c r="O8" s="67" t="s">
        <v>108</v>
      </c>
      <c r="P8" s="67"/>
      <c r="Q8" s="68" t="str">
        <f aca="false">IF(IF(OR($K8="",$K8="Manual"),"",IF(LEFT($K8,4)="GPS:",IFERROR(CHOOSE(MATCH($K8,Lists!$G$3:$G$8,0),GPS!$G$6,GPS!$G$7,GPS!$G$8,GPS!$G$9,GPS!$G$10,GPS!$G$11),""),IFERROR(IF($N8="LSI",INDEX($I$109:$I$132,MATCH($K8,$C$109:$C$132,0)),IF($N8="L",INDEX($G$109:$G$132,MATCH($K8,$C$109:$C$132,0)),IF($N8="R",INDEX($H$109:$H$132,MATCH($K8,$C$109:$C$132,0)),IF(Dashboard!$K$5="L",INDEX($G$109:$G$132,MATCH($K8,$C$109:$C$132,0)),IF(Dashboard!$K$5="R",INDEX($H$109:$H$132,MATCH($K8,$C$109:$C$132,0)),""))))),"")))="","",IF(OR($N8="LSI",LEFT($K8,4)="GPS:"),TEXT(IF(OR($K8="",$K8="Manual"),"",IF(LEFT($K8,4)="GPS:",IFERROR(CHOOSE(MATCH($K8,Lists!$G$3:$G$8,0),GPS!$G$6,GPS!$G$7,GPS!$G$8,GPS!$G$9,GPS!$G$10,GPS!$G$11),""),IFERROR(IF($N8="LSI",INDEX($I$109:$I$132,MATCH($K8,$C$109:$C$132,0)),IF($N8="L",INDEX($G$109:$G$132,MATCH($K8,$C$109:$C$132,0)),IF($N8="R",INDEX($H$109:$H$132,MATCH($K8,$C$109:$C$132,0)),IF(Dashboard!$K$5="L",INDEX($G$109:$G$132,MATCH($K8,$C$109:$C$132,0)),IF(Dashboard!$K$5="R",INDEX($H$109:$H$132,MATCH($K8,$C$109:$C$132,0)),""))))),""))),"0%"),TEXT(IF(OR($K8="",$K8="Manual"),"",IF(LEFT($K8,4)="GPS:",IFERROR(CHOOSE(MATCH($K8,Lists!$G$3:$G$8,0),GPS!$G$6,GPS!$G$7,GPS!$G$8,GPS!$G$9,GPS!$G$10,GPS!$G$11),""),IFERROR(IF($N8="LSI",INDEX($I$109:$I$132,MATCH($K8,$C$109:$C$132,0)),IF($N8="L",INDEX($G$109:$G$132,MATCH($K8,$C$109:$C$132,0)),IF($N8="R",INDEX($H$109:$H$132,MATCH($K8,$C$109:$C$132,0)),IF(Dashboard!$K$5="L",INDEX($G$109:$G$132,MATCH($K8,$C$109:$C$132,0)),IF(Dashboard!$K$5="R",INDEX($H$109:$H$132,MATCH($K8,$C$109:$C$132,0)),""))))),""))),"0.0")))</f>
        <v/>
      </c>
      <c r="R8" s="68"/>
      <c r="S8" s="69" t="str">
        <f aca="false">IF(OR(IF(OR($K8="",$K8="Manual"),"",IF(LEFT($K8,4)="GPS:",IFERROR(CHOOSE(MATCH($K8,Lists!$G$3:$G$8,0),GPS!$G$6,GPS!$G$7,GPS!$G$8,GPS!$G$9,GPS!$G$10,GPS!$G$11),""),IFERROR(IF($N8="LSI",INDEX($I$109:$I$132,MATCH($K8,$C$109:$C$132,0)),IF($N8="L",INDEX($G$109:$G$132,MATCH($K8,$C$109:$C$132,0)),IF($N8="R",INDEX($H$109:$H$132,MATCH($K8,$C$109:$C$132,0)),IF(Dashboard!$K$5="L",INDEX($G$109:$G$132,MATCH($K8,$C$109:$C$132,0)),IF(Dashboard!$K$5="R",INDEX($H$109:$H$132,MATCH($K8,$C$109:$C$132,0)),""))))),"")))="",$P8=""),"",IF(IF($O8="≤",IF(OR($K8="",$K8="Manual"),"",IF(LEFT($K8,4)="GPS:",IFERROR(CHOOSE(MATCH($K8,Lists!$G$3:$G$8,0),GPS!$G$6,GPS!$G$7,GPS!$G$8,GPS!$G$9,GPS!$G$10,GPS!$G$11),""),IFERROR(IF($N8="LSI",INDEX($I$109:$I$132,MATCH($K8,$C$109:$C$132,0)),IF($N8="L",INDEX($G$109:$G$132,MATCH($K8,$C$109:$C$132,0)),IF($N8="R",INDEX($H$109:$H$132,MATCH($K8,$C$109:$C$132,0)),IF(Dashboard!$K$5="L",INDEX($G$109:$G$132,MATCH($K8,$C$109:$C$132,0)),IF(Dashboard!$K$5="R",INDEX($H$109:$H$132,MATCH($K8,$C$109:$C$132,0)),""))))),"")))&lt;=$P8,IF(OR($K8="",$K8="Manual"),"",IF(LEFT($K8,4)="GPS:",IFERROR(CHOOSE(MATCH($K8,Lists!$G$3:$G$8,0),GPS!$G$6,GPS!$G$7,GPS!$G$8,GPS!$G$9,GPS!$G$10,GPS!$G$11),""),IFERROR(IF($N8="LSI",INDEX($I$109:$I$132,MATCH($K8,$C$109:$C$132,0)),IF($N8="L",INDEX($G$109:$G$132,MATCH($K8,$C$109:$C$132,0)),IF($N8="R",INDEX($H$109:$H$132,MATCH($K8,$C$109:$C$132,0)),IF(Dashboard!$K$5="L",INDEX($G$109:$G$132,MATCH($K8,$C$109:$C$132,0)),IF(Dashboard!$K$5="R",INDEX($H$109:$H$132,MATCH($K8,$C$109:$C$132,0)),""))))),"")))&gt;=$P8),"MET","NOT MET"))</f>
        <v/>
      </c>
      <c r="T8" s="7"/>
      <c r="U8" s="68" t="str">
        <f aca="false">IF($T8&lt;&gt;"",$T8,IF($S8="MET","Y",IF($S8="NOT MET","N","")))</f>
        <v/>
      </c>
      <c r="V8" s="70" t="str">
        <f aca="false">IF($U8="Y",IFERROR(IF(LEFT($K8,4)="GPS:","",INDEX($J$109:$J$132,MATCH($K8,$C$109:$C$132,0))),""),"")</f>
        <v/>
      </c>
      <c r="W8" s="70"/>
      <c r="X8" s="58"/>
      <c r="Y8" s="58"/>
      <c r="Z8" s="58"/>
      <c r="AA8" s="58"/>
    </row>
    <row r="9" customFormat="false" ht="18" hidden="false" customHeight="true" outlineLevel="0" collapsed="false">
      <c r="A9" s="64" t="n">
        <v>4</v>
      </c>
      <c r="B9" s="65" t="s">
        <v>110</v>
      </c>
      <c r="C9" s="65"/>
      <c r="D9" s="58" t="s">
        <v>111</v>
      </c>
      <c r="E9" s="58"/>
      <c r="F9" s="58"/>
      <c r="G9" s="58"/>
      <c r="H9" s="58"/>
      <c r="I9" s="58"/>
      <c r="J9" s="58"/>
      <c r="K9" s="66" t="s">
        <v>112</v>
      </c>
      <c r="L9" s="66"/>
      <c r="M9" s="66"/>
      <c r="N9" s="67" t="s">
        <v>50</v>
      </c>
      <c r="O9" s="67" t="s">
        <v>108</v>
      </c>
      <c r="P9" s="67" t="n">
        <v>0.9</v>
      </c>
      <c r="Q9" s="68" t="str">
        <f aca="false">IF(IF(OR($K9="",$K9="Manual"),"",IF(LEFT($K9,4)="GPS:",IFERROR(CHOOSE(MATCH($K9,Lists!$G$3:$G$8,0),GPS!$G$6,GPS!$G$7,GPS!$G$8,GPS!$G$9,GPS!$G$10,GPS!$G$11),""),IFERROR(IF($N9="LSI",INDEX($I$109:$I$132,MATCH($K9,$C$109:$C$132,0)),IF($N9="L",INDEX($G$109:$G$132,MATCH($K9,$C$109:$C$132,0)),IF($N9="R",INDEX($H$109:$H$132,MATCH($K9,$C$109:$C$132,0)),IF(Dashboard!$K$5="L",INDEX($G$109:$G$132,MATCH($K9,$C$109:$C$132,0)),IF(Dashboard!$K$5="R",INDEX($H$109:$H$132,MATCH($K9,$C$109:$C$132,0)),""))))),"")))="","",IF(OR($N9="LSI",LEFT($K9,4)="GPS:"),TEXT(IF(OR($K9="",$K9="Manual"),"",IF(LEFT($K9,4)="GPS:",IFERROR(CHOOSE(MATCH($K9,Lists!$G$3:$G$8,0),GPS!$G$6,GPS!$G$7,GPS!$G$8,GPS!$G$9,GPS!$G$10,GPS!$G$11),""),IFERROR(IF($N9="LSI",INDEX($I$109:$I$132,MATCH($K9,$C$109:$C$132,0)),IF($N9="L",INDEX($G$109:$G$132,MATCH($K9,$C$109:$C$132,0)),IF($N9="R",INDEX($H$109:$H$132,MATCH($K9,$C$109:$C$132,0)),IF(Dashboard!$K$5="L",INDEX($G$109:$G$132,MATCH($K9,$C$109:$C$132,0)),IF(Dashboard!$K$5="R",INDEX($H$109:$H$132,MATCH($K9,$C$109:$C$132,0)),""))))),""))),"0%"),TEXT(IF(OR($K9="",$K9="Manual"),"",IF(LEFT($K9,4)="GPS:",IFERROR(CHOOSE(MATCH($K9,Lists!$G$3:$G$8,0),GPS!$G$6,GPS!$G$7,GPS!$G$8,GPS!$G$9,GPS!$G$10,GPS!$G$11),""),IFERROR(IF($N9="LSI",INDEX($I$109:$I$132,MATCH($K9,$C$109:$C$132,0)),IF($N9="L",INDEX($G$109:$G$132,MATCH($K9,$C$109:$C$132,0)),IF($N9="R",INDEX($H$109:$H$132,MATCH($K9,$C$109:$C$132,0)),IF(Dashboard!$K$5="L",INDEX($G$109:$G$132,MATCH($K9,$C$109:$C$132,0)),IF(Dashboard!$K$5="R",INDEX($H$109:$H$132,MATCH($K9,$C$109:$C$132,0)),""))))),""))),"0.0")))</f>
        <v/>
      </c>
      <c r="R9" s="68"/>
      <c r="S9" s="69" t="str">
        <f aca="false">IF(OR(IF(OR($K9="",$K9="Manual"),"",IF(LEFT($K9,4)="GPS:",IFERROR(CHOOSE(MATCH($K9,Lists!$G$3:$G$8,0),GPS!$G$6,GPS!$G$7,GPS!$G$8,GPS!$G$9,GPS!$G$10,GPS!$G$11),""),IFERROR(IF($N9="LSI",INDEX($I$109:$I$132,MATCH($K9,$C$109:$C$132,0)),IF($N9="L",INDEX($G$109:$G$132,MATCH($K9,$C$109:$C$132,0)),IF($N9="R",INDEX($H$109:$H$132,MATCH($K9,$C$109:$C$132,0)),IF(Dashboard!$K$5="L",INDEX($G$109:$G$132,MATCH($K9,$C$109:$C$132,0)),IF(Dashboard!$K$5="R",INDEX($H$109:$H$132,MATCH($K9,$C$109:$C$132,0)),""))))),"")))="",$P9=""),"",IF(IF($O9="≤",IF(OR($K9="",$K9="Manual"),"",IF(LEFT($K9,4)="GPS:",IFERROR(CHOOSE(MATCH($K9,Lists!$G$3:$G$8,0),GPS!$G$6,GPS!$G$7,GPS!$G$8,GPS!$G$9,GPS!$G$10,GPS!$G$11),""),IFERROR(IF($N9="LSI",INDEX($I$109:$I$132,MATCH($K9,$C$109:$C$132,0)),IF($N9="L",INDEX($G$109:$G$132,MATCH($K9,$C$109:$C$132,0)),IF($N9="R",INDEX($H$109:$H$132,MATCH($K9,$C$109:$C$132,0)),IF(Dashboard!$K$5="L",INDEX($G$109:$G$132,MATCH($K9,$C$109:$C$132,0)),IF(Dashboard!$K$5="R",INDEX($H$109:$H$132,MATCH($K9,$C$109:$C$132,0)),""))))),"")))&lt;=$P9,IF(OR($K9="",$K9="Manual"),"",IF(LEFT($K9,4)="GPS:",IFERROR(CHOOSE(MATCH($K9,Lists!$G$3:$G$8,0),GPS!$G$6,GPS!$G$7,GPS!$G$8,GPS!$G$9,GPS!$G$10,GPS!$G$11),""),IFERROR(IF($N9="LSI",INDEX($I$109:$I$132,MATCH($K9,$C$109:$C$132,0)),IF($N9="L",INDEX($G$109:$G$132,MATCH($K9,$C$109:$C$132,0)),IF($N9="R",INDEX($H$109:$H$132,MATCH($K9,$C$109:$C$132,0)),IF(Dashboard!$K$5="L",INDEX($G$109:$G$132,MATCH($K9,$C$109:$C$132,0)),IF(Dashboard!$K$5="R",INDEX($H$109:$H$132,MATCH($K9,$C$109:$C$132,0)),""))))),"")))&gt;=$P9),"MET","NOT MET"))</f>
        <v/>
      </c>
      <c r="T9" s="7"/>
      <c r="U9" s="68" t="str">
        <f aca="false">IF($T9&lt;&gt;"",$T9,IF($S9="MET","Y",IF($S9="NOT MET","N","")))</f>
        <v/>
      </c>
      <c r="V9" s="70" t="str">
        <f aca="false">IF($U9="Y",IFERROR(IF(LEFT($K9,4)="GPS:","",INDEX($J$109:$J$132,MATCH($K9,$C$109:$C$132,0))),""),"")</f>
        <v/>
      </c>
      <c r="W9" s="70"/>
      <c r="X9" s="58"/>
      <c r="Y9" s="58"/>
      <c r="Z9" s="58"/>
      <c r="AA9" s="58"/>
    </row>
    <row r="10" customFormat="false" ht="18" hidden="false" customHeight="true" outlineLevel="0" collapsed="false">
      <c r="A10" s="64" t="n">
        <v>5</v>
      </c>
      <c r="B10" s="65"/>
      <c r="C10" s="65"/>
      <c r="D10" s="58" t="s">
        <v>113</v>
      </c>
      <c r="E10" s="58"/>
      <c r="F10" s="58"/>
      <c r="G10" s="58"/>
      <c r="H10" s="58"/>
      <c r="I10" s="58"/>
      <c r="J10" s="58"/>
      <c r="K10" s="66" t="s">
        <v>114</v>
      </c>
      <c r="L10" s="66"/>
      <c r="M10" s="66"/>
      <c r="N10" s="67" t="s">
        <v>50</v>
      </c>
      <c r="O10" s="67" t="s">
        <v>108</v>
      </c>
      <c r="P10" s="67" t="n">
        <v>0.7</v>
      </c>
      <c r="Q10" s="68" t="str">
        <f aca="false">IF(IF(OR($K10="",$K10="Manual"),"",IF(LEFT($K10,4)="GPS:",IFERROR(CHOOSE(MATCH($K10,Lists!$G$3:$G$8,0),GPS!$G$6,GPS!$G$7,GPS!$G$8,GPS!$G$9,GPS!$G$10,GPS!$G$11),""),IFERROR(IF($N10="LSI",INDEX($I$109:$I$132,MATCH($K10,$C$109:$C$132,0)),IF($N10="L",INDEX($G$109:$G$132,MATCH($K10,$C$109:$C$132,0)),IF($N10="R",INDEX($H$109:$H$132,MATCH($K10,$C$109:$C$132,0)),IF(Dashboard!$K$5="L",INDEX($G$109:$G$132,MATCH($K10,$C$109:$C$132,0)),IF(Dashboard!$K$5="R",INDEX($H$109:$H$132,MATCH($K10,$C$109:$C$132,0)),""))))),"")))="","",IF(OR($N10="LSI",LEFT($K10,4)="GPS:"),TEXT(IF(OR($K10="",$K10="Manual"),"",IF(LEFT($K10,4)="GPS:",IFERROR(CHOOSE(MATCH($K10,Lists!$G$3:$G$8,0),GPS!$G$6,GPS!$G$7,GPS!$G$8,GPS!$G$9,GPS!$G$10,GPS!$G$11),""),IFERROR(IF($N10="LSI",INDEX($I$109:$I$132,MATCH($K10,$C$109:$C$132,0)),IF($N10="L",INDEX($G$109:$G$132,MATCH($K10,$C$109:$C$132,0)),IF($N10="R",INDEX($H$109:$H$132,MATCH($K10,$C$109:$C$132,0)),IF(Dashboard!$K$5="L",INDEX($G$109:$G$132,MATCH($K10,$C$109:$C$132,0)),IF(Dashboard!$K$5="R",INDEX($H$109:$H$132,MATCH($K10,$C$109:$C$132,0)),""))))),""))),"0%"),TEXT(IF(OR($K10="",$K10="Manual"),"",IF(LEFT($K10,4)="GPS:",IFERROR(CHOOSE(MATCH($K10,Lists!$G$3:$G$8,0),GPS!$G$6,GPS!$G$7,GPS!$G$8,GPS!$G$9,GPS!$G$10,GPS!$G$11),""),IFERROR(IF($N10="LSI",INDEX($I$109:$I$132,MATCH($K10,$C$109:$C$132,0)),IF($N10="L",INDEX($G$109:$G$132,MATCH($K10,$C$109:$C$132,0)),IF($N10="R",INDEX($H$109:$H$132,MATCH($K10,$C$109:$C$132,0)),IF(Dashboard!$K$5="L",INDEX($G$109:$G$132,MATCH($K10,$C$109:$C$132,0)),IF(Dashboard!$K$5="R",INDEX($H$109:$H$132,MATCH($K10,$C$109:$C$132,0)),""))))),""))),"0.0")))</f>
        <v>92%</v>
      </c>
      <c r="R10" s="68"/>
      <c r="S10" s="69" t="str">
        <f aca="false">IF(OR(IF(OR($K10="",$K10="Manual"),"",IF(LEFT($K10,4)="GPS:",IFERROR(CHOOSE(MATCH($K10,Lists!$G$3:$G$8,0),GPS!$G$6,GPS!$G$7,GPS!$G$8,GPS!$G$9,GPS!$G$10,GPS!$G$11),""),IFERROR(IF($N10="LSI",INDEX($I$109:$I$132,MATCH($K10,$C$109:$C$132,0)),IF($N10="L",INDEX($G$109:$G$132,MATCH($K10,$C$109:$C$132,0)),IF($N10="R",INDEX($H$109:$H$132,MATCH($K10,$C$109:$C$132,0)),IF(Dashboard!$K$5="L",INDEX($G$109:$G$132,MATCH($K10,$C$109:$C$132,0)),IF(Dashboard!$K$5="R",INDEX($H$109:$H$132,MATCH($K10,$C$109:$C$132,0)),""))))),"")))="",$P10=""),"",IF(IF($O10="≤",IF(OR($K10="",$K10="Manual"),"",IF(LEFT($K10,4)="GPS:",IFERROR(CHOOSE(MATCH($K10,Lists!$G$3:$G$8,0),GPS!$G$6,GPS!$G$7,GPS!$G$8,GPS!$G$9,GPS!$G$10,GPS!$G$11),""),IFERROR(IF($N10="LSI",INDEX($I$109:$I$132,MATCH($K10,$C$109:$C$132,0)),IF($N10="L",INDEX($G$109:$G$132,MATCH($K10,$C$109:$C$132,0)),IF($N10="R",INDEX($H$109:$H$132,MATCH($K10,$C$109:$C$132,0)),IF(Dashboard!$K$5="L",INDEX($G$109:$G$132,MATCH($K10,$C$109:$C$132,0)),IF(Dashboard!$K$5="R",INDEX($H$109:$H$132,MATCH($K10,$C$109:$C$132,0)),""))))),"")))&lt;=$P10,IF(OR($K10="",$K10="Manual"),"",IF(LEFT($K10,4)="GPS:",IFERROR(CHOOSE(MATCH($K10,Lists!$G$3:$G$8,0),GPS!$G$6,GPS!$G$7,GPS!$G$8,GPS!$G$9,GPS!$G$10,GPS!$G$11),""),IFERROR(IF($N10="LSI",INDEX($I$109:$I$132,MATCH($K10,$C$109:$C$132,0)),IF($N10="L",INDEX($G$109:$G$132,MATCH($K10,$C$109:$C$132,0)),IF($N10="R",INDEX($H$109:$H$132,MATCH($K10,$C$109:$C$132,0)),IF(Dashboard!$K$5="L",INDEX($G$109:$G$132,MATCH($K10,$C$109:$C$132,0)),IF(Dashboard!$K$5="R",INDEX($H$109:$H$132,MATCH($K10,$C$109:$C$132,0)),""))))),"")))&gt;=$P10),"MET","NOT MET"))</f>
        <v>MET</v>
      </c>
      <c r="T10" s="7"/>
      <c r="U10" s="68" t="str">
        <f aca="false">IF($T10&lt;&gt;"",$T10,IF($S10="MET","Y",IF($S10="NOT MET","N","")))</f>
        <v>Y</v>
      </c>
      <c r="V10" s="70" t="n">
        <f aca="false">IF($U10="Y",IFERROR(IF(LEFT($K10,4)="GPS:","",INDEX($J$109:$J$132,MATCH($K10,$C$109:$C$132,0))),""),"")</f>
        <v>46314</v>
      </c>
      <c r="W10" s="70"/>
      <c r="X10" s="58"/>
      <c r="Y10" s="58"/>
      <c r="Z10" s="58"/>
      <c r="AA10" s="58"/>
    </row>
    <row r="11" customFormat="false" ht="18" hidden="false" customHeight="true" outlineLevel="0" collapsed="false">
      <c r="A11" s="64" t="n">
        <v>6</v>
      </c>
      <c r="B11" s="65"/>
      <c r="C11" s="65"/>
      <c r="D11" s="58" t="s">
        <v>115</v>
      </c>
      <c r="E11" s="58"/>
      <c r="F11" s="58"/>
      <c r="G11" s="58"/>
      <c r="H11" s="58"/>
      <c r="I11" s="58"/>
      <c r="J11" s="58"/>
      <c r="K11" s="66" t="s">
        <v>116</v>
      </c>
      <c r="L11" s="66"/>
      <c r="M11" s="66"/>
      <c r="N11" s="67" t="s">
        <v>50</v>
      </c>
      <c r="O11" s="67" t="s">
        <v>108</v>
      </c>
      <c r="P11" s="67" t="n">
        <v>0.7</v>
      </c>
      <c r="Q11" s="68" t="str">
        <f aca="false">IF(IF(OR($K11="",$K11="Manual"),"",IF(LEFT($K11,4)="GPS:",IFERROR(CHOOSE(MATCH($K11,Lists!$G$3:$G$8,0),GPS!$G$6,GPS!$G$7,GPS!$G$8,GPS!$G$9,GPS!$G$10,GPS!$G$11),""),IFERROR(IF($N11="LSI",INDEX($I$109:$I$132,MATCH($K11,$C$109:$C$132,0)),IF($N11="L",INDEX($G$109:$G$132,MATCH($K11,$C$109:$C$132,0)),IF($N11="R",INDEX($H$109:$H$132,MATCH($K11,$C$109:$C$132,0)),IF(Dashboard!$K$5="L",INDEX($G$109:$G$132,MATCH($K11,$C$109:$C$132,0)),IF(Dashboard!$K$5="R",INDEX($H$109:$H$132,MATCH($K11,$C$109:$C$132,0)),""))))),"")))="","",IF(OR($N11="LSI",LEFT($K11,4)="GPS:"),TEXT(IF(OR($K11="",$K11="Manual"),"",IF(LEFT($K11,4)="GPS:",IFERROR(CHOOSE(MATCH($K11,Lists!$G$3:$G$8,0),GPS!$G$6,GPS!$G$7,GPS!$G$8,GPS!$G$9,GPS!$G$10,GPS!$G$11),""),IFERROR(IF($N11="LSI",INDEX($I$109:$I$132,MATCH($K11,$C$109:$C$132,0)),IF($N11="L",INDEX($G$109:$G$132,MATCH($K11,$C$109:$C$132,0)),IF($N11="R",INDEX($H$109:$H$132,MATCH($K11,$C$109:$C$132,0)),IF(Dashboard!$K$5="L",INDEX($G$109:$G$132,MATCH($K11,$C$109:$C$132,0)),IF(Dashboard!$K$5="R",INDEX($H$109:$H$132,MATCH($K11,$C$109:$C$132,0)),""))))),""))),"0%"),TEXT(IF(OR($K11="",$K11="Manual"),"",IF(LEFT($K11,4)="GPS:",IFERROR(CHOOSE(MATCH($K11,Lists!$G$3:$G$8,0),GPS!$G$6,GPS!$G$7,GPS!$G$8,GPS!$G$9,GPS!$G$10,GPS!$G$11),""),IFERROR(IF($N11="LSI",INDEX($I$109:$I$132,MATCH($K11,$C$109:$C$132,0)),IF($N11="L",INDEX($G$109:$G$132,MATCH($K11,$C$109:$C$132,0)),IF($N11="R",INDEX($H$109:$H$132,MATCH($K11,$C$109:$C$132,0)),IF(Dashboard!$K$5="L",INDEX($G$109:$G$132,MATCH($K11,$C$109:$C$132,0)),IF(Dashboard!$K$5="R",INDEX($H$109:$H$132,MATCH($K11,$C$109:$C$132,0)),""))))),""))),"0.0")))</f>
        <v>93%</v>
      </c>
      <c r="R11" s="68"/>
      <c r="S11" s="69" t="str">
        <f aca="false">IF(OR(IF(OR($K11="",$K11="Manual"),"",IF(LEFT($K11,4)="GPS:",IFERROR(CHOOSE(MATCH($K11,Lists!$G$3:$G$8,0),GPS!$G$6,GPS!$G$7,GPS!$G$8,GPS!$G$9,GPS!$G$10,GPS!$G$11),""),IFERROR(IF($N11="LSI",INDEX($I$109:$I$132,MATCH($K11,$C$109:$C$132,0)),IF($N11="L",INDEX($G$109:$G$132,MATCH($K11,$C$109:$C$132,0)),IF($N11="R",INDEX($H$109:$H$132,MATCH($K11,$C$109:$C$132,0)),IF(Dashboard!$K$5="L",INDEX($G$109:$G$132,MATCH($K11,$C$109:$C$132,0)),IF(Dashboard!$K$5="R",INDEX($H$109:$H$132,MATCH($K11,$C$109:$C$132,0)),""))))),"")))="",$P11=""),"",IF(IF($O11="≤",IF(OR($K11="",$K11="Manual"),"",IF(LEFT($K11,4)="GPS:",IFERROR(CHOOSE(MATCH($K11,Lists!$G$3:$G$8,0),GPS!$G$6,GPS!$G$7,GPS!$G$8,GPS!$G$9,GPS!$G$10,GPS!$G$11),""),IFERROR(IF($N11="LSI",INDEX($I$109:$I$132,MATCH($K11,$C$109:$C$132,0)),IF($N11="L",INDEX($G$109:$G$132,MATCH($K11,$C$109:$C$132,0)),IF($N11="R",INDEX($H$109:$H$132,MATCH($K11,$C$109:$C$132,0)),IF(Dashboard!$K$5="L",INDEX($G$109:$G$132,MATCH($K11,$C$109:$C$132,0)),IF(Dashboard!$K$5="R",INDEX($H$109:$H$132,MATCH($K11,$C$109:$C$132,0)),""))))),"")))&lt;=$P11,IF(OR($K11="",$K11="Manual"),"",IF(LEFT($K11,4)="GPS:",IFERROR(CHOOSE(MATCH($K11,Lists!$G$3:$G$8,0),GPS!$G$6,GPS!$G$7,GPS!$G$8,GPS!$G$9,GPS!$G$10,GPS!$G$11),""),IFERROR(IF($N11="LSI",INDEX($I$109:$I$132,MATCH($K11,$C$109:$C$132,0)),IF($N11="L",INDEX($G$109:$G$132,MATCH($K11,$C$109:$C$132,0)),IF($N11="R",INDEX($H$109:$H$132,MATCH($K11,$C$109:$C$132,0)),IF(Dashboard!$K$5="L",INDEX($G$109:$G$132,MATCH($K11,$C$109:$C$132,0)),IF(Dashboard!$K$5="R",INDEX($H$109:$H$132,MATCH($K11,$C$109:$C$132,0)),""))))),"")))&gt;=$P11),"MET","NOT MET"))</f>
        <v>MET</v>
      </c>
      <c r="T11" s="7"/>
      <c r="U11" s="68" t="str">
        <f aca="false">IF($T11&lt;&gt;"",$T11,IF($S11="MET","Y",IF($S11="NOT MET","N","")))</f>
        <v>Y</v>
      </c>
      <c r="V11" s="70" t="n">
        <f aca="false">IF($U11="Y",IFERROR(IF(LEFT($K11,4)="GPS:","",INDEX($J$109:$J$132,MATCH($K11,$C$109:$C$132,0))),""),"")</f>
        <v>46314</v>
      </c>
      <c r="W11" s="70"/>
      <c r="X11" s="58"/>
      <c r="Y11" s="58"/>
      <c r="Z11" s="58"/>
      <c r="AA11" s="58"/>
    </row>
    <row r="12" customFormat="false" ht="18" hidden="false" customHeight="true" outlineLevel="0" collapsed="false">
      <c r="A12" s="64" t="n">
        <v>7</v>
      </c>
      <c r="B12" s="65" t="s">
        <v>117</v>
      </c>
      <c r="C12" s="65"/>
      <c r="D12" s="58" t="s">
        <v>118</v>
      </c>
      <c r="E12" s="58"/>
      <c r="F12" s="58"/>
      <c r="G12" s="58"/>
      <c r="H12" s="58"/>
      <c r="I12" s="58"/>
      <c r="J12" s="58"/>
      <c r="K12" s="66" t="s">
        <v>114</v>
      </c>
      <c r="L12" s="66"/>
      <c r="M12" s="66"/>
      <c r="N12" s="67" t="s">
        <v>50</v>
      </c>
      <c r="O12" s="67" t="s">
        <v>108</v>
      </c>
      <c r="P12" s="67" t="n">
        <v>0.8</v>
      </c>
      <c r="Q12" s="68" t="str">
        <f aca="false">IF(IF(OR($K12="",$K12="Manual"),"",IF(LEFT($K12,4)="GPS:",IFERROR(CHOOSE(MATCH($K12,Lists!$G$3:$G$8,0),GPS!$G$6,GPS!$G$7,GPS!$G$8,GPS!$G$9,GPS!$G$10,GPS!$G$11),""),IFERROR(IF($N12="LSI",INDEX($I$109:$I$132,MATCH($K12,$C$109:$C$132,0)),IF($N12="L",INDEX($G$109:$G$132,MATCH($K12,$C$109:$C$132,0)),IF($N12="R",INDEX($H$109:$H$132,MATCH($K12,$C$109:$C$132,0)),IF(Dashboard!$K$5="L",INDEX($G$109:$G$132,MATCH($K12,$C$109:$C$132,0)),IF(Dashboard!$K$5="R",INDEX($H$109:$H$132,MATCH($K12,$C$109:$C$132,0)),""))))),"")))="","",IF(OR($N12="LSI",LEFT($K12,4)="GPS:"),TEXT(IF(OR($K12="",$K12="Manual"),"",IF(LEFT($K12,4)="GPS:",IFERROR(CHOOSE(MATCH($K12,Lists!$G$3:$G$8,0),GPS!$G$6,GPS!$G$7,GPS!$G$8,GPS!$G$9,GPS!$G$10,GPS!$G$11),""),IFERROR(IF($N12="LSI",INDEX($I$109:$I$132,MATCH($K12,$C$109:$C$132,0)),IF($N12="L",INDEX($G$109:$G$132,MATCH($K12,$C$109:$C$132,0)),IF($N12="R",INDEX($H$109:$H$132,MATCH($K12,$C$109:$C$132,0)),IF(Dashboard!$K$5="L",INDEX($G$109:$G$132,MATCH($K12,$C$109:$C$132,0)),IF(Dashboard!$K$5="R",INDEX($H$109:$H$132,MATCH($K12,$C$109:$C$132,0)),""))))),""))),"0%"),TEXT(IF(OR($K12="",$K12="Manual"),"",IF(LEFT($K12,4)="GPS:",IFERROR(CHOOSE(MATCH($K12,Lists!$G$3:$G$8,0),GPS!$G$6,GPS!$G$7,GPS!$G$8,GPS!$G$9,GPS!$G$10,GPS!$G$11),""),IFERROR(IF($N12="LSI",INDEX($I$109:$I$132,MATCH($K12,$C$109:$C$132,0)),IF($N12="L",INDEX($G$109:$G$132,MATCH($K12,$C$109:$C$132,0)),IF($N12="R",INDEX($H$109:$H$132,MATCH($K12,$C$109:$C$132,0)),IF(Dashboard!$K$5="L",INDEX($G$109:$G$132,MATCH($K12,$C$109:$C$132,0)),IF(Dashboard!$K$5="R",INDEX($H$109:$H$132,MATCH($K12,$C$109:$C$132,0)),""))))),""))),"0.0")))</f>
        <v>92%</v>
      </c>
      <c r="R12" s="68"/>
      <c r="S12" s="69" t="str">
        <f aca="false">IF(OR(IF(OR($K12="",$K12="Manual"),"",IF(LEFT($K12,4)="GPS:",IFERROR(CHOOSE(MATCH($K12,Lists!$G$3:$G$8,0),GPS!$G$6,GPS!$G$7,GPS!$G$8,GPS!$G$9,GPS!$G$10,GPS!$G$11),""),IFERROR(IF($N12="LSI",INDEX($I$109:$I$132,MATCH($K12,$C$109:$C$132,0)),IF($N12="L",INDEX($G$109:$G$132,MATCH($K12,$C$109:$C$132,0)),IF($N12="R",INDEX($H$109:$H$132,MATCH($K12,$C$109:$C$132,0)),IF(Dashboard!$K$5="L",INDEX($G$109:$G$132,MATCH($K12,$C$109:$C$132,0)),IF(Dashboard!$K$5="R",INDEX($H$109:$H$132,MATCH($K12,$C$109:$C$132,0)),""))))),"")))="",$P12=""),"",IF(IF($O12="≤",IF(OR($K12="",$K12="Manual"),"",IF(LEFT($K12,4)="GPS:",IFERROR(CHOOSE(MATCH($K12,Lists!$G$3:$G$8,0),GPS!$G$6,GPS!$G$7,GPS!$G$8,GPS!$G$9,GPS!$G$10,GPS!$G$11),""),IFERROR(IF($N12="LSI",INDEX($I$109:$I$132,MATCH($K12,$C$109:$C$132,0)),IF($N12="L",INDEX($G$109:$G$132,MATCH($K12,$C$109:$C$132,0)),IF($N12="R",INDEX($H$109:$H$132,MATCH($K12,$C$109:$C$132,0)),IF(Dashboard!$K$5="L",INDEX($G$109:$G$132,MATCH($K12,$C$109:$C$132,0)),IF(Dashboard!$K$5="R",INDEX($H$109:$H$132,MATCH($K12,$C$109:$C$132,0)),""))))),"")))&lt;=$P12,IF(OR($K12="",$K12="Manual"),"",IF(LEFT($K12,4)="GPS:",IFERROR(CHOOSE(MATCH($K12,Lists!$G$3:$G$8,0),GPS!$G$6,GPS!$G$7,GPS!$G$8,GPS!$G$9,GPS!$G$10,GPS!$G$11),""),IFERROR(IF($N12="LSI",INDEX($I$109:$I$132,MATCH($K12,$C$109:$C$132,0)),IF($N12="L",INDEX($G$109:$G$132,MATCH($K12,$C$109:$C$132,0)),IF($N12="R",INDEX($H$109:$H$132,MATCH($K12,$C$109:$C$132,0)),IF(Dashboard!$K$5="L",INDEX($G$109:$G$132,MATCH($K12,$C$109:$C$132,0)),IF(Dashboard!$K$5="R",INDEX($H$109:$H$132,MATCH($K12,$C$109:$C$132,0)),""))))),"")))&gt;=$P12),"MET","NOT MET"))</f>
        <v>MET</v>
      </c>
      <c r="T12" s="7"/>
      <c r="U12" s="68" t="str">
        <f aca="false">IF($T12&lt;&gt;"",$T12,IF($S12="MET","Y",IF($S12="NOT MET","N","")))</f>
        <v>Y</v>
      </c>
      <c r="V12" s="70" t="n">
        <f aca="false">IF($U12="Y",IFERROR(IF(LEFT($K12,4)="GPS:","",INDEX($J$109:$J$132,MATCH($K12,$C$109:$C$132,0))),""),"")</f>
        <v>46314</v>
      </c>
      <c r="W12" s="70"/>
      <c r="X12" s="58"/>
      <c r="Y12" s="58"/>
      <c r="Z12" s="58"/>
      <c r="AA12" s="58"/>
    </row>
    <row r="13" customFormat="false" ht="18" hidden="false" customHeight="true" outlineLevel="0" collapsed="false">
      <c r="A13" s="64" t="n">
        <v>8</v>
      </c>
      <c r="B13" s="65"/>
      <c r="C13" s="65"/>
      <c r="D13" s="58" t="s">
        <v>119</v>
      </c>
      <c r="E13" s="58"/>
      <c r="F13" s="58"/>
      <c r="G13" s="58"/>
      <c r="H13" s="58"/>
      <c r="I13" s="58"/>
      <c r="J13" s="58"/>
      <c r="K13" s="66" t="s">
        <v>120</v>
      </c>
      <c r="L13" s="66"/>
      <c r="M13" s="66"/>
      <c r="N13" s="67" t="s">
        <v>50</v>
      </c>
      <c r="O13" s="67" t="s">
        <v>108</v>
      </c>
      <c r="P13" s="67" t="n">
        <v>0.8</v>
      </c>
      <c r="Q13" s="68" t="str">
        <f aca="false">IF(IF(OR($K13="",$K13="Manual"),"",IF(LEFT($K13,4)="GPS:",IFERROR(CHOOSE(MATCH($K13,Lists!$G$3:$G$8,0),GPS!$G$6,GPS!$G$7,GPS!$G$8,GPS!$G$9,GPS!$G$10,GPS!$G$11),""),IFERROR(IF($N13="LSI",INDEX($I$109:$I$132,MATCH($K13,$C$109:$C$132,0)),IF($N13="L",INDEX($G$109:$G$132,MATCH($K13,$C$109:$C$132,0)),IF($N13="R",INDEX($H$109:$H$132,MATCH($K13,$C$109:$C$132,0)),IF(Dashboard!$K$5="L",INDEX($G$109:$G$132,MATCH($K13,$C$109:$C$132,0)),IF(Dashboard!$K$5="R",INDEX($H$109:$H$132,MATCH($K13,$C$109:$C$132,0)),""))))),"")))="","",IF(OR($N13="LSI",LEFT($K13,4)="GPS:"),TEXT(IF(OR($K13="",$K13="Manual"),"",IF(LEFT($K13,4)="GPS:",IFERROR(CHOOSE(MATCH($K13,Lists!$G$3:$G$8,0),GPS!$G$6,GPS!$G$7,GPS!$G$8,GPS!$G$9,GPS!$G$10,GPS!$G$11),""),IFERROR(IF($N13="LSI",INDEX($I$109:$I$132,MATCH($K13,$C$109:$C$132,0)),IF($N13="L",INDEX($G$109:$G$132,MATCH($K13,$C$109:$C$132,0)),IF($N13="R",INDEX($H$109:$H$132,MATCH($K13,$C$109:$C$132,0)),IF(Dashboard!$K$5="L",INDEX($G$109:$G$132,MATCH($K13,$C$109:$C$132,0)),IF(Dashboard!$K$5="R",INDEX($H$109:$H$132,MATCH($K13,$C$109:$C$132,0)),""))))),""))),"0%"),TEXT(IF(OR($K13="",$K13="Manual"),"",IF(LEFT($K13,4)="GPS:",IFERROR(CHOOSE(MATCH($K13,Lists!$G$3:$G$8,0),GPS!$G$6,GPS!$G$7,GPS!$G$8,GPS!$G$9,GPS!$G$10,GPS!$G$11),""),IFERROR(IF($N13="LSI",INDEX($I$109:$I$132,MATCH($K13,$C$109:$C$132,0)),IF($N13="L",INDEX($G$109:$G$132,MATCH($K13,$C$109:$C$132,0)),IF($N13="R",INDEX($H$109:$H$132,MATCH($K13,$C$109:$C$132,0)),IF(Dashboard!$K$5="L",INDEX($G$109:$G$132,MATCH($K13,$C$109:$C$132,0)),IF(Dashboard!$K$5="R",INDEX($H$109:$H$132,MATCH($K13,$C$109:$C$132,0)),""))))),""))),"0.0")))</f>
        <v>93%</v>
      </c>
      <c r="R13" s="68"/>
      <c r="S13" s="69" t="str">
        <f aca="false">IF(OR(IF(OR($K13="",$K13="Manual"),"",IF(LEFT($K13,4)="GPS:",IFERROR(CHOOSE(MATCH($K13,Lists!$G$3:$G$8,0),GPS!$G$6,GPS!$G$7,GPS!$G$8,GPS!$G$9,GPS!$G$10,GPS!$G$11),""),IFERROR(IF($N13="LSI",INDEX($I$109:$I$132,MATCH($K13,$C$109:$C$132,0)),IF($N13="L",INDEX($G$109:$G$132,MATCH($K13,$C$109:$C$132,0)),IF($N13="R",INDEX($H$109:$H$132,MATCH($K13,$C$109:$C$132,0)),IF(Dashboard!$K$5="L",INDEX($G$109:$G$132,MATCH($K13,$C$109:$C$132,0)),IF(Dashboard!$K$5="R",INDEX($H$109:$H$132,MATCH($K13,$C$109:$C$132,0)),""))))),"")))="",$P13=""),"",IF(IF($O13="≤",IF(OR($K13="",$K13="Manual"),"",IF(LEFT($K13,4)="GPS:",IFERROR(CHOOSE(MATCH($K13,Lists!$G$3:$G$8,0),GPS!$G$6,GPS!$G$7,GPS!$G$8,GPS!$G$9,GPS!$G$10,GPS!$G$11),""),IFERROR(IF($N13="LSI",INDEX($I$109:$I$132,MATCH($K13,$C$109:$C$132,0)),IF($N13="L",INDEX($G$109:$G$132,MATCH($K13,$C$109:$C$132,0)),IF($N13="R",INDEX($H$109:$H$132,MATCH($K13,$C$109:$C$132,0)),IF(Dashboard!$K$5="L",INDEX($G$109:$G$132,MATCH($K13,$C$109:$C$132,0)),IF(Dashboard!$K$5="R",INDEX($H$109:$H$132,MATCH($K13,$C$109:$C$132,0)),""))))),"")))&lt;=$P13,IF(OR($K13="",$K13="Manual"),"",IF(LEFT($K13,4)="GPS:",IFERROR(CHOOSE(MATCH($K13,Lists!$G$3:$G$8,0),GPS!$G$6,GPS!$G$7,GPS!$G$8,GPS!$G$9,GPS!$G$10,GPS!$G$11),""),IFERROR(IF($N13="LSI",INDEX($I$109:$I$132,MATCH($K13,$C$109:$C$132,0)),IF($N13="L",INDEX($G$109:$G$132,MATCH($K13,$C$109:$C$132,0)),IF($N13="R",INDEX($H$109:$H$132,MATCH($K13,$C$109:$C$132,0)),IF(Dashboard!$K$5="L",INDEX($G$109:$G$132,MATCH($K13,$C$109:$C$132,0)),IF(Dashboard!$K$5="R",INDEX($H$109:$H$132,MATCH($K13,$C$109:$C$132,0)),""))))),"")))&gt;=$P13),"MET","NOT MET"))</f>
        <v>MET</v>
      </c>
      <c r="T13" s="7"/>
      <c r="U13" s="68" t="str">
        <f aca="false">IF($T13&lt;&gt;"",$T13,IF($S13="MET","Y",IF($S13="NOT MET","N","")))</f>
        <v>Y</v>
      </c>
      <c r="V13" s="70" t="n">
        <f aca="false">IF($U13="Y",IFERROR(IF(LEFT($K13,4)="GPS:","",INDEX($J$109:$J$132,MATCH($K13,$C$109:$C$132,0))),""),"")</f>
        <v>46314</v>
      </c>
      <c r="W13" s="70"/>
      <c r="X13" s="58"/>
      <c r="Y13" s="58"/>
      <c r="Z13" s="58"/>
      <c r="AA13" s="58"/>
    </row>
    <row r="14" customFormat="false" ht="18" hidden="false" customHeight="true" outlineLevel="0" collapsed="false">
      <c r="A14" s="64" t="n">
        <v>9</v>
      </c>
      <c r="B14" s="65"/>
      <c r="C14" s="65"/>
      <c r="D14" s="58" t="s">
        <v>121</v>
      </c>
      <c r="E14" s="58"/>
      <c r="F14" s="58"/>
      <c r="G14" s="58"/>
      <c r="H14" s="58"/>
      <c r="I14" s="58"/>
      <c r="J14" s="58"/>
      <c r="K14" s="66" t="s">
        <v>107</v>
      </c>
      <c r="L14" s="66"/>
      <c r="M14" s="66"/>
      <c r="N14" s="67"/>
      <c r="O14" s="67" t="s">
        <v>108</v>
      </c>
      <c r="P14" s="67"/>
      <c r="Q14" s="68" t="str">
        <f aca="false">IF(IF(OR($K14="",$K14="Manual"),"",IF(LEFT($K14,4)="GPS:",IFERROR(CHOOSE(MATCH($K14,Lists!$G$3:$G$8,0),GPS!$G$6,GPS!$G$7,GPS!$G$8,GPS!$G$9,GPS!$G$10,GPS!$G$11),""),IFERROR(IF($N14="LSI",INDEX($I$109:$I$132,MATCH($K14,$C$109:$C$132,0)),IF($N14="L",INDEX($G$109:$G$132,MATCH($K14,$C$109:$C$132,0)),IF($N14="R",INDEX($H$109:$H$132,MATCH($K14,$C$109:$C$132,0)),IF(Dashboard!$K$5="L",INDEX($G$109:$G$132,MATCH($K14,$C$109:$C$132,0)),IF(Dashboard!$K$5="R",INDEX($H$109:$H$132,MATCH($K14,$C$109:$C$132,0)),""))))),"")))="","",IF(OR($N14="LSI",LEFT($K14,4)="GPS:"),TEXT(IF(OR($K14="",$K14="Manual"),"",IF(LEFT($K14,4)="GPS:",IFERROR(CHOOSE(MATCH($K14,Lists!$G$3:$G$8,0),GPS!$G$6,GPS!$G$7,GPS!$G$8,GPS!$G$9,GPS!$G$10,GPS!$G$11),""),IFERROR(IF($N14="LSI",INDEX($I$109:$I$132,MATCH($K14,$C$109:$C$132,0)),IF($N14="L",INDEX($G$109:$G$132,MATCH($K14,$C$109:$C$132,0)),IF($N14="R",INDEX($H$109:$H$132,MATCH($K14,$C$109:$C$132,0)),IF(Dashboard!$K$5="L",INDEX($G$109:$G$132,MATCH($K14,$C$109:$C$132,0)),IF(Dashboard!$K$5="R",INDEX($H$109:$H$132,MATCH($K14,$C$109:$C$132,0)),""))))),""))),"0%"),TEXT(IF(OR($K14="",$K14="Manual"),"",IF(LEFT($K14,4)="GPS:",IFERROR(CHOOSE(MATCH($K14,Lists!$G$3:$G$8,0),GPS!$G$6,GPS!$G$7,GPS!$G$8,GPS!$G$9,GPS!$G$10,GPS!$G$11),""),IFERROR(IF($N14="LSI",INDEX($I$109:$I$132,MATCH($K14,$C$109:$C$132,0)),IF($N14="L",INDEX($G$109:$G$132,MATCH($K14,$C$109:$C$132,0)),IF($N14="R",INDEX($H$109:$H$132,MATCH($K14,$C$109:$C$132,0)),IF(Dashboard!$K$5="L",INDEX($G$109:$G$132,MATCH($K14,$C$109:$C$132,0)),IF(Dashboard!$K$5="R",INDEX($H$109:$H$132,MATCH($K14,$C$109:$C$132,0)),""))))),""))),"0.0")))</f>
        <v/>
      </c>
      <c r="R14" s="68"/>
      <c r="S14" s="69" t="str">
        <f aca="false">IF(OR(IF(OR($K14="",$K14="Manual"),"",IF(LEFT($K14,4)="GPS:",IFERROR(CHOOSE(MATCH($K14,Lists!$G$3:$G$8,0),GPS!$G$6,GPS!$G$7,GPS!$G$8,GPS!$G$9,GPS!$G$10,GPS!$G$11),""),IFERROR(IF($N14="LSI",INDEX($I$109:$I$132,MATCH($K14,$C$109:$C$132,0)),IF($N14="L",INDEX($G$109:$G$132,MATCH($K14,$C$109:$C$132,0)),IF($N14="R",INDEX($H$109:$H$132,MATCH($K14,$C$109:$C$132,0)),IF(Dashboard!$K$5="L",INDEX($G$109:$G$132,MATCH($K14,$C$109:$C$132,0)),IF(Dashboard!$K$5="R",INDEX($H$109:$H$132,MATCH($K14,$C$109:$C$132,0)),""))))),"")))="",$P14=""),"",IF(IF($O14="≤",IF(OR($K14="",$K14="Manual"),"",IF(LEFT($K14,4)="GPS:",IFERROR(CHOOSE(MATCH($K14,Lists!$G$3:$G$8,0),GPS!$G$6,GPS!$G$7,GPS!$G$8,GPS!$G$9,GPS!$G$10,GPS!$G$11),""),IFERROR(IF($N14="LSI",INDEX($I$109:$I$132,MATCH($K14,$C$109:$C$132,0)),IF($N14="L",INDEX($G$109:$G$132,MATCH($K14,$C$109:$C$132,0)),IF($N14="R",INDEX($H$109:$H$132,MATCH($K14,$C$109:$C$132,0)),IF(Dashboard!$K$5="L",INDEX($G$109:$G$132,MATCH($K14,$C$109:$C$132,0)),IF(Dashboard!$K$5="R",INDEX($H$109:$H$132,MATCH($K14,$C$109:$C$132,0)),""))))),"")))&lt;=$P14,IF(OR($K14="",$K14="Manual"),"",IF(LEFT($K14,4)="GPS:",IFERROR(CHOOSE(MATCH($K14,Lists!$G$3:$G$8,0),GPS!$G$6,GPS!$G$7,GPS!$G$8,GPS!$G$9,GPS!$G$10,GPS!$G$11),""),IFERROR(IF($N14="LSI",INDEX($I$109:$I$132,MATCH($K14,$C$109:$C$132,0)),IF($N14="L",INDEX($G$109:$G$132,MATCH($K14,$C$109:$C$132,0)),IF($N14="R",INDEX($H$109:$H$132,MATCH($K14,$C$109:$C$132,0)),IF(Dashboard!$K$5="L",INDEX($G$109:$G$132,MATCH($K14,$C$109:$C$132,0)),IF(Dashboard!$K$5="R",INDEX($H$109:$H$132,MATCH($K14,$C$109:$C$132,0)),""))))),"")))&gt;=$P14),"MET","NOT MET"))</f>
        <v/>
      </c>
      <c r="T14" s="7"/>
      <c r="U14" s="68" t="str">
        <f aca="false">IF($T14&lt;&gt;"",$T14,IF($S14="MET","Y",IF($S14="NOT MET","N","")))</f>
        <v/>
      </c>
      <c r="V14" s="70" t="str">
        <f aca="false">IF($U14="Y",IFERROR(IF(LEFT($K14,4)="GPS:","",INDEX($J$109:$J$132,MATCH($K14,$C$109:$C$132,0))),""),"")</f>
        <v/>
      </c>
      <c r="W14" s="70"/>
      <c r="X14" s="58"/>
      <c r="Y14" s="58"/>
      <c r="Z14" s="58"/>
      <c r="AA14" s="58"/>
    </row>
    <row r="15" customFormat="false" ht="18" hidden="false" customHeight="true" outlineLevel="0" collapsed="false">
      <c r="A15" s="64" t="n">
        <v>10</v>
      </c>
      <c r="B15" s="65" t="s">
        <v>122</v>
      </c>
      <c r="C15" s="65"/>
      <c r="D15" s="58" t="s">
        <v>123</v>
      </c>
      <c r="E15" s="58"/>
      <c r="F15" s="58"/>
      <c r="G15" s="58"/>
      <c r="H15" s="58"/>
      <c r="I15" s="58"/>
      <c r="J15" s="58"/>
      <c r="K15" s="66" t="s">
        <v>114</v>
      </c>
      <c r="L15" s="66"/>
      <c r="M15" s="66"/>
      <c r="N15" s="67" t="s">
        <v>50</v>
      </c>
      <c r="O15" s="67" t="s">
        <v>108</v>
      </c>
      <c r="P15" s="67" t="n">
        <v>0.9</v>
      </c>
      <c r="Q15" s="68" t="str">
        <f aca="false">IF(IF(OR($K15="",$K15="Manual"),"",IF(LEFT($K15,4)="GPS:",IFERROR(CHOOSE(MATCH($K15,Lists!$G$3:$G$8,0),GPS!$G$6,GPS!$G$7,GPS!$G$8,GPS!$G$9,GPS!$G$10,GPS!$G$11),""),IFERROR(IF($N15="LSI",INDEX($I$109:$I$132,MATCH($K15,$C$109:$C$132,0)),IF($N15="L",INDEX($G$109:$G$132,MATCH($K15,$C$109:$C$132,0)),IF($N15="R",INDEX($H$109:$H$132,MATCH($K15,$C$109:$C$132,0)),IF(Dashboard!$K$5="L",INDEX($G$109:$G$132,MATCH($K15,$C$109:$C$132,0)),IF(Dashboard!$K$5="R",INDEX($H$109:$H$132,MATCH($K15,$C$109:$C$132,0)),""))))),"")))="","",IF(OR($N15="LSI",LEFT($K15,4)="GPS:"),TEXT(IF(OR($K15="",$K15="Manual"),"",IF(LEFT($K15,4)="GPS:",IFERROR(CHOOSE(MATCH($K15,Lists!$G$3:$G$8,0),GPS!$G$6,GPS!$G$7,GPS!$G$8,GPS!$G$9,GPS!$G$10,GPS!$G$11),""),IFERROR(IF($N15="LSI",INDEX($I$109:$I$132,MATCH($K15,$C$109:$C$132,0)),IF($N15="L",INDEX($G$109:$G$132,MATCH($K15,$C$109:$C$132,0)),IF($N15="R",INDEX($H$109:$H$132,MATCH($K15,$C$109:$C$132,0)),IF(Dashboard!$K$5="L",INDEX($G$109:$G$132,MATCH($K15,$C$109:$C$132,0)),IF(Dashboard!$K$5="R",INDEX($H$109:$H$132,MATCH($K15,$C$109:$C$132,0)),""))))),""))),"0%"),TEXT(IF(OR($K15="",$K15="Manual"),"",IF(LEFT($K15,4)="GPS:",IFERROR(CHOOSE(MATCH($K15,Lists!$G$3:$G$8,0),GPS!$G$6,GPS!$G$7,GPS!$G$8,GPS!$G$9,GPS!$G$10,GPS!$G$11),""),IFERROR(IF($N15="LSI",INDEX($I$109:$I$132,MATCH($K15,$C$109:$C$132,0)),IF($N15="L",INDEX($G$109:$G$132,MATCH($K15,$C$109:$C$132,0)),IF($N15="R",INDEX($H$109:$H$132,MATCH($K15,$C$109:$C$132,0)),IF(Dashboard!$K$5="L",INDEX($G$109:$G$132,MATCH($K15,$C$109:$C$132,0)),IF(Dashboard!$K$5="R",INDEX($H$109:$H$132,MATCH($K15,$C$109:$C$132,0)),""))))),""))),"0.0")))</f>
        <v>92%</v>
      </c>
      <c r="R15" s="68"/>
      <c r="S15" s="69" t="str">
        <f aca="false">IF(OR(IF(OR($K15="",$K15="Manual"),"",IF(LEFT($K15,4)="GPS:",IFERROR(CHOOSE(MATCH($K15,Lists!$G$3:$G$8,0),GPS!$G$6,GPS!$G$7,GPS!$G$8,GPS!$G$9,GPS!$G$10,GPS!$G$11),""),IFERROR(IF($N15="LSI",INDEX($I$109:$I$132,MATCH($K15,$C$109:$C$132,0)),IF($N15="L",INDEX($G$109:$G$132,MATCH($K15,$C$109:$C$132,0)),IF($N15="R",INDEX($H$109:$H$132,MATCH($K15,$C$109:$C$132,0)),IF(Dashboard!$K$5="L",INDEX($G$109:$G$132,MATCH($K15,$C$109:$C$132,0)),IF(Dashboard!$K$5="R",INDEX($H$109:$H$132,MATCH($K15,$C$109:$C$132,0)),""))))),"")))="",$P15=""),"",IF(IF($O15="≤",IF(OR($K15="",$K15="Manual"),"",IF(LEFT($K15,4)="GPS:",IFERROR(CHOOSE(MATCH($K15,Lists!$G$3:$G$8,0),GPS!$G$6,GPS!$G$7,GPS!$G$8,GPS!$G$9,GPS!$G$10,GPS!$G$11),""),IFERROR(IF($N15="LSI",INDEX($I$109:$I$132,MATCH($K15,$C$109:$C$132,0)),IF($N15="L",INDEX($G$109:$G$132,MATCH($K15,$C$109:$C$132,0)),IF($N15="R",INDEX($H$109:$H$132,MATCH($K15,$C$109:$C$132,0)),IF(Dashboard!$K$5="L",INDEX($G$109:$G$132,MATCH($K15,$C$109:$C$132,0)),IF(Dashboard!$K$5="R",INDEX($H$109:$H$132,MATCH($K15,$C$109:$C$132,0)),""))))),"")))&lt;=$P15,IF(OR($K15="",$K15="Manual"),"",IF(LEFT($K15,4)="GPS:",IFERROR(CHOOSE(MATCH($K15,Lists!$G$3:$G$8,0),GPS!$G$6,GPS!$G$7,GPS!$G$8,GPS!$G$9,GPS!$G$10,GPS!$G$11),""),IFERROR(IF($N15="LSI",INDEX($I$109:$I$132,MATCH($K15,$C$109:$C$132,0)),IF($N15="L",INDEX($G$109:$G$132,MATCH($K15,$C$109:$C$132,0)),IF($N15="R",INDEX($H$109:$H$132,MATCH($K15,$C$109:$C$132,0)),IF(Dashboard!$K$5="L",INDEX($G$109:$G$132,MATCH($K15,$C$109:$C$132,0)),IF(Dashboard!$K$5="R",INDEX($H$109:$H$132,MATCH($K15,$C$109:$C$132,0)),""))))),"")))&gt;=$P15),"MET","NOT MET"))</f>
        <v>MET</v>
      </c>
      <c r="T15" s="7"/>
      <c r="U15" s="68" t="str">
        <f aca="false">IF($T15&lt;&gt;"",$T15,IF($S15="MET","Y",IF($S15="NOT MET","N","")))</f>
        <v>Y</v>
      </c>
      <c r="V15" s="70" t="n">
        <f aca="false">IF($U15="Y",IFERROR(IF(LEFT($K15,4)="GPS:","",INDEX($J$109:$J$132,MATCH($K15,$C$109:$C$132,0))),""),"")</f>
        <v>46314</v>
      </c>
      <c r="W15" s="70"/>
      <c r="X15" s="58"/>
      <c r="Y15" s="58"/>
      <c r="Z15" s="58"/>
      <c r="AA15" s="58"/>
    </row>
    <row r="16" customFormat="false" ht="18" hidden="false" customHeight="true" outlineLevel="0" collapsed="false">
      <c r="A16" s="64" t="n">
        <v>11</v>
      </c>
      <c r="B16" s="65"/>
      <c r="C16" s="65"/>
      <c r="D16" s="58" t="s">
        <v>124</v>
      </c>
      <c r="E16" s="58"/>
      <c r="F16" s="58"/>
      <c r="G16" s="58"/>
      <c r="H16" s="58"/>
      <c r="I16" s="58"/>
      <c r="J16" s="58"/>
      <c r="K16" s="66" t="s">
        <v>125</v>
      </c>
      <c r="L16" s="66"/>
      <c r="M16" s="66"/>
      <c r="N16" s="67" t="s">
        <v>50</v>
      </c>
      <c r="O16" s="67" t="s">
        <v>108</v>
      </c>
      <c r="P16" s="67" t="n">
        <v>0.9</v>
      </c>
      <c r="Q16" s="68" t="str">
        <f aca="false">IF(IF(OR($K16="",$K16="Manual"),"",IF(LEFT($K16,4)="GPS:",IFERROR(CHOOSE(MATCH($K16,Lists!$G$3:$G$8,0),GPS!$G$6,GPS!$G$7,GPS!$G$8,GPS!$G$9,GPS!$G$10,GPS!$G$11),""),IFERROR(IF($N16="LSI",INDEX($I$109:$I$132,MATCH($K16,$C$109:$C$132,0)),IF($N16="L",INDEX($G$109:$G$132,MATCH($K16,$C$109:$C$132,0)),IF($N16="R",INDEX($H$109:$H$132,MATCH($K16,$C$109:$C$132,0)),IF(Dashboard!$K$5="L",INDEX($G$109:$G$132,MATCH($K16,$C$109:$C$132,0)),IF(Dashboard!$K$5="R",INDEX($H$109:$H$132,MATCH($K16,$C$109:$C$132,0)),""))))),"")))="","",IF(OR($N16="LSI",LEFT($K16,4)="GPS:"),TEXT(IF(OR($K16="",$K16="Manual"),"",IF(LEFT($K16,4)="GPS:",IFERROR(CHOOSE(MATCH($K16,Lists!$G$3:$G$8,0),GPS!$G$6,GPS!$G$7,GPS!$G$8,GPS!$G$9,GPS!$G$10,GPS!$G$11),""),IFERROR(IF($N16="LSI",INDEX($I$109:$I$132,MATCH($K16,$C$109:$C$132,0)),IF($N16="L",INDEX($G$109:$G$132,MATCH($K16,$C$109:$C$132,0)),IF($N16="R",INDEX($H$109:$H$132,MATCH($K16,$C$109:$C$132,0)),IF(Dashboard!$K$5="L",INDEX($G$109:$G$132,MATCH($K16,$C$109:$C$132,0)),IF(Dashboard!$K$5="R",INDEX($H$109:$H$132,MATCH($K16,$C$109:$C$132,0)),""))))),""))),"0%"),TEXT(IF(OR($K16="",$K16="Manual"),"",IF(LEFT($K16,4)="GPS:",IFERROR(CHOOSE(MATCH($K16,Lists!$G$3:$G$8,0),GPS!$G$6,GPS!$G$7,GPS!$G$8,GPS!$G$9,GPS!$G$10,GPS!$G$11),""),IFERROR(IF($N16="LSI",INDEX($I$109:$I$132,MATCH($K16,$C$109:$C$132,0)),IF($N16="L",INDEX($G$109:$G$132,MATCH($K16,$C$109:$C$132,0)),IF($N16="R",INDEX($H$109:$H$132,MATCH($K16,$C$109:$C$132,0)),IF(Dashboard!$K$5="L",INDEX($G$109:$G$132,MATCH($K16,$C$109:$C$132,0)),IF(Dashboard!$K$5="R",INDEX($H$109:$H$132,MATCH($K16,$C$109:$C$132,0)),""))))),""))),"0.0")))</f>
        <v/>
      </c>
      <c r="R16" s="68"/>
      <c r="S16" s="69" t="str">
        <f aca="false">IF(OR(IF(OR($K16="",$K16="Manual"),"",IF(LEFT($K16,4)="GPS:",IFERROR(CHOOSE(MATCH($K16,Lists!$G$3:$G$8,0),GPS!$G$6,GPS!$G$7,GPS!$G$8,GPS!$G$9,GPS!$G$10,GPS!$G$11),""),IFERROR(IF($N16="LSI",INDEX($I$109:$I$132,MATCH($K16,$C$109:$C$132,0)),IF($N16="L",INDEX($G$109:$G$132,MATCH($K16,$C$109:$C$132,0)),IF($N16="R",INDEX($H$109:$H$132,MATCH($K16,$C$109:$C$132,0)),IF(Dashboard!$K$5="L",INDEX($G$109:$G$132,MATCH($K16,$C$109:$C$132,0)),IF(Dashboard!$K$5="R",INDEX($H$109:$H$132,MATCH($K16,$C$109:$C$132,0)),""))))),"")))="",$P16=""),"",IF(IF($O16="≤",IF(OR($K16="",$K16="Manual"),"",IF(LEFT($K16,4)="GPS:",IFERROR(CHOOSE(MATCH($K16,Lists!$G$3:$G$8,0),GPS!$G$6,GPS!$G$7,GPS!$G$8,GPS!$G$9,GPS!$G$10,GPS!$G$11),""),IFERROR(IF($N16="LSI",INDEX($I$109:$I$132,MATCH($K16,$C$109:$C$132,0)),IF($N16="L",INDEX($G$109:$G$132,MATCH($K16,$C$109:$C$132,0)),IF($N16="R",INDEX($H$109:$H$132,MATCH($K16,$C$109:$C$132,0)),IF(Dashboard!$K$5="L",INDEX($G$109:$G$132,MATCH($K16,$C$109:$C$132,0)),IF(Dashboard!$K$5="R",INDEX($H$109:$H$132,MATCH($K16,$C$109:$C$132,0)),""))))),"")))&lt;=$P16,IF(OR($K16="",$K16="Manual"),"",IF(LEFT($K16,4)="GPS:",IFERROR(CHOOSE(MATCH($K16,Lists!$G$3:$G$8,0),GPS!$G$6,GPS!$G$7,GPS!$G$8,GPS!$G$9,GPS!$G$10,GPS!$G$11),""),IFERROR(IF($N16="LSI",INDEX($I$109:$I$132,MATCH($K16,$C$109:$C$132,0)),IF($N16="L",INDEX($G$109:$G$132,MATCH($K16,$C$109:$C$132,0)),IF($N16="R",INDEX($H$109:$H$132,MATCH($K16,$C$109:$C$132,0)),IF(Dashboard!$K$5="L",INDEX($G$109:$G$132,MATCH($K16,$C$109:$C$132,0)),IF(Dashboard!$K$5="R",INDEX($H$109:$H$132,MATCH($K16,$C$109:$C$132,0)),""))))),"")))&gt;=$P16),"MET","NOT MET"))</f>
        <v/>
      </c>
      <c r="T16" s="7"/>
      <c r="U16" s="68" t="str">
        <f aca="false">IF($T16&lt;&gt;"",$T16,IF($S16="MET","Y",IF($S16="NOT MET","N","")))</f>
        <v/>
      </c>
      <c r="V16" s="70" t="str">
        <f aca="false">IF($U16="Y",IFERROR(IF(LEFT($K16,4)="GPS:","",INDEX($J$109:$J$132,MATCH($K16,$C$109:$C$132,0))),""),"")</f>
        <v/>
      </c>
      <c r="W16" s="70"/>
      <c r="X16" s="58"/>
      <c r="Y16" s="58"/>
      <c r="Z16" s="58"/>
      <c r="AA16" s="58"/>
    </row>
    <row r="17" customFormat="false" ht="18" hidden="false" customHeight="true" outlineLevel="0" collapsed="false">
      <c r="A17" s="64" t="n">
        <v>12</v>
      </c>
      <c r="B17" s="65"/>
      <c r="C17" s="65"/>
      <c r="D17" s="58" t="s">
        <v>126</v>
      </c>
      <c r="E17" s="58"/>
      <c r="F17" s="58"/>
      <c r="G17" s="58"/>
      <c r="H17" s="58"/>
      <c r="I17" s="58"/>
      <c r="J17" s="58"/>
      <c r="K17" s="66" t="s">
        <v>127</v>
      </c>
      <c r="L17" s="66"/>
      <c r="M17" s="66"/>
      <c r="N17" s="67" t="s">
        <v>50</v>
      </c>
      <c r="O17" s="67" t="s">
        <v>108</v>
      </c>
      <c r="P17" s="67" t="n">
        <v>0.9</v>
      </c>
      <c r="Q17" s="68" t="str">
        <f aca="false">IF(IF(OR($K17="",$K17="Manual"),"",IF(LEFT($K17,4)="GPS:",IFERROR(CHOOSE(MATCH($K17,Lists!$G$3:$G$8,0),GPS!$G$6,GPS!$G$7,GPS!$G$8,GPS!$G$9,GPS!$G$10,GPS!$G$11),""),IFERROR(IF($N17="LSI",INDEX($I$109:$I$132,MATCH($K17,$C$109:$C$132,0)),IF($N17="L",INDEX($G$109:$G$132,MATCH($K17,$C$109:$C$132,0)),IF($N17="R",INDEX($H$109:$H$132,MATCH($K17,$C$109:$C$132,0)),IF(Dashboard!$K$5="L",INDEX($G$109:$G$132,MATCH($K17,$C$109:$C$132,0)),IF(Dashboard!$K$5="R",INDEX($H$109:$H$132,MATCH($K17,$C$109:$C$132,0)),""))))),"")))="","",IF(OR($N17="LSI",LEFT($K17,4)="GPS:"),TEXT(IF(OR($K17="",$K17="Manual"),"",IF(LEFT($K17,4)="GPS:",IFERROR(CHOOSE(MATCH($K17,Lists!$G$3:$G$8,0),GPS!$G$6,GPS!$G$7,GPS!$G$8,GPS!$G$9,GPS!$G$10,GPS!$G$11),""),IFERROR(IF($N17="LSI",INDEX($I$109:$I$132,MATCH($K17,$C$109:$C$132,0)),IF($N17="L",INDEX($G$109:$G$132,MATCH($K17,$C$109:$C$132,0)),IF($N17="R",INDEX($H$109:$H$132,MATCH($K17,$C$109:$C$132,0)),IF(Dashboard!$K$5="L",INDEX($G$109:$G$132,MATCH($K17,$C$109:$C$132,0)),IF(Dashboard!$K$5="R",INDEX($H$109:$H$132,MATCH($K17,$C$109:$C$132,0)),""))))),""))),"0%"),TEXT(IF(OR($K17="",$K17="Manual"),"",IF(LEFT($K17,4)="GPS:",IFERROR(CHOOSE(MATCH($K17,Lists!$G$3:$G$8,0),GPS!$G$6,GPS!$G$7,GPS!$G$8,GPS!$G$9,GPS!$G$10,GPS!$G$11),""),IFERROR(IF($N17="LSI",INDEX($I$109:$I$132,MATCH($K17,$C$109:$C$132,0)),IF($N17="L",INDEX($G$109:$G$132,MATCH($K17,$C$109:$C$132,0)),IF($N17="R",INDEX($H$109:$H$132,MATCH($K17,$C$109:$C$132,0)),IF(Dashboard!$K$5="L",INDEX($G$109:$G$132,MATCH($K17,$C$109:$C$132,0)),IF(Dashboard!$K$5="R",INDEX($H$109:$H$132,MATCH($K17,$C$109:$C$132,0)),""))))),""))),"0.0")))</f>
        <v/>
      </c>
      <c r="R17" s="68"/>
      <c r="S17" s="69" t="str">
        <f aca="false">IF(OR(IF(OR($K17="",$K17="Manual"),"",IF(LEFT($K17,4)="GPS:",IFERROR(CHOOSE(MATCH($K17,Lists!$G$3:$G$8,0),GPS!$G$6,GPS!$G$7,GPS!$G$8,GPS!$G$9,GPS!$G$10,GPS!$G$11),""),IFERROR(IF($N17="LSI",INDEX($I$109:$I$132,MATCH($K17,$C$109:$C$132,0)),IF($N17="L",INDEX($G$109:$G$132,MATCH($K17,$C$109:$C$132,0)),IF($N17="R",INDEX($H$109:$H$132,MATCH($K17,$C$109:$C$132,0)),IF(Dashboard!$K$5="L",INDEX($G$109:$G$132,MATCH($K17,$C$109:$C$132,0)),IF(Dashboard!$K$5="R",INDEX($H$109:$H$132,MATCH($K17,$C$109:$C$132,0)),""))))),"")))="",$P17=""),"",IF(IF($O17="≤",IF(OR($K17="",$K17="Manual"),"",IF(LEFT($K17,4)="GPS:",IFERROR(CHOOSE(MATCH($K17,Lists!$G$3:$G$8,0),GPS!$G$6,GPS!$G$7,GPS!$G$8,GPS!$G$9,GPS!$G$10,GPS!$G$11),""),IFERROR(IF($N17="LSI",INDEX($I$109:$I$132,MATCH($K17,$C$109:$C$132,0)),IF($N17="L",INDEX($G$109:$G$132,MATCH($K17,$C$109:$C$132,0)),IF($N17="R",INDEX($H$109:$H$132,MATCH($K17,$C$109:$C$132,0)),IF(Dashboard!$K$5="L",INDEX($G$109:$G$132,MATCH($K17,$C$109:$C$132,0)),IF(Dashboard!$K$5="R",INDEX($H$109:$H$132,MATCH($K17,$C$109:$C$132,0)),""))))),"")))&lt;=$P17,IF(OR($K17="",$K17="Manual"),"",IF(LEFT($K17,4)="GPS:",IFERROR(CHOOSE(MATCH($K17,Lists!$G$3:$G$8,0),GPS!$G$6,GPS!$G$7,GPS!$G$8,GPS!$G$9,GPS!$G$10,GPS!$G$11),""),IFERROR(IF($N17="LSI",INDEX($I$109:$I$132,MATCH($K17,$C$109:$C$132,0)),IF($N17="L",INDEX($G$109:$G$132,MATCH($K17,$C$109:$C$132,0)),IF($N17="R",INDEX($H$109:$H$132,MATCH($K17,$C$109:$C$132,0)),IF(Dashboard!$K$5="L",INDEX($G$109:$G$132,MATCH($K17,$C$109:$C$132,0)),IF(Dashboard!$K$5="R",INDEX($H$109:$H$132,MATCH($K17,$C$109:$C$132,0)),""))))),"")))&gt;=$P17),"MET","NOT MET"))</f>
        <v/>
      </c>
      <c r="T17" s="7"/>
      <c r="U17" s="68" t="str">
        <f aca="false">IF($T17&lt;&gt;"",$T17,IF($S17="MET","Y",IF($S17="NOT MET","N","")))</f>
        <v/>
      </c>
      <c r="V17" s="70" t="str">
        <f aca="false">IF($U17="Y",IFERROR(IF(LEFT($K17,4)="GPS:","",INDEX($J$109:$J$132,MATCH($K17,$C$109:$C$132,0))),""),"")</f>
        <v/>
      </c>
      <c r="W17" s="70"/>
      <c r="X17" s="58"/>
      <c r="Y17" s="58"/>
      <c r="Z17" s="58"/>
      <c r="AA17" s="58"/>
    </row>
    <row r="18" customFormat="false" ht="18" hidden="false" customHeight="true" outlineLevel="0" collapsed="false">
      <c r="A18" s="64" t="n">
        <v>13</v>
      </c>
      <c r="B18" s="65" t="s">
        <v>128</v>
      </c>
      <c r="C18" s="65"/>
      <c r="D18" s="58" t="s">
        <v>129</v>
      </c>
      <c r="E18" s="58"/>
      <c r="F18" s="58"/>
      <c r="G18" s="58"/>
      <c r="H18" s="58"/>
      <c r="I18" s="58"/>
      <c r="J18" s="58"/>
      <c r="K18" s="66" t="s">
        <v>130</v>
      </c>
      <c r="L18" s="66"/>
      <c r="M18" s="66"/>
      <c r="N18" s="67"/>
      <c r="O18" s="67" t="s">
        <v>108</v>
      </c>
      <c r="P18" s="67" t="n">
        <v>0.9</v>
      </c>
      <c r="Q18" s="68" t="str">
        <f aca="false">IF(IF(OR($K18="",$K18="Manual"),"",IF(LEFT($K18,4)="GPS:",IFERROR(CHOOSE(MATCH($K18,Lists!$G$3:$G$8,0),GPS!$G$6,GPS!$G$7,GPS!$G$8,GPS!$G$9,GPS!$G$10,GPS!$G$11),""),IFERROR(IF($N18="LSI",INDEX($I$109:$I$132,MATCH($K18,$C$109:$C$132,0)),IF($N18="L",INDEX($G$109:$G$132,MATCH($K18,$C$109:$C$132,0)),IF($N18="R",INDEX($H$109:$H$132,MATCH($K18,$C$109:$C$132,0)),IF(Dashboard!$K$5="L",INDEX($G$109:$G$132,MATCH($K18,$C$109:$C$132,0)),IF(Dashboard!$K$5="R",INDEX($H$109:$H$132,MATCH($K18,$C$109:$C$132,0)),""))))),"")))="","",IF(OR($N18="LSI",LEFT($K18,4)="GPS:"),TEXT(IF(OR($K18="",$K18="Manual"),"",IF(LEFT($K18,4)="GPS:",IFERROR(CHOOSE(MATCH($K18,Lists!$G$3:$G$8,0),GPS!$G$6,GPS!$G$7,GPS!$G$8,GPS!$G$9,GPS!$G$10,GPS!$G$11),""),IFERROR(IF($N18="LSI",INDEX($I$109:$I$132,MATCH($K18,$C$109:$C$132,0)),IF($N18="L",INDEX($G$109:$G$132,MATCH($K18,$C$109:$C$132,0)),IF($N18="R",INDEX($H$109:$H$132,MATCH($K18,$C$109:$C$132,0)),IF(Dashboard!$K$5="L",INDEX($G$109:$G$132,MATCH($K18,$C$109:$C$132,0)),IF(Dashboard!$K$5="R",INDEX($H$109:$H$132,MATCH($K18,$C$109:$C$132,0)),""))))),""))),"0%"),TEXT(IF(OR($K18="",$K18="Manual"),"",IF(LEFT($K18,4)="GPS:",IFERROR(CHOOSE(MATCH($K18,Lists!$G$3:$G$8,0),GPS!$G$6,GPS!$G$7,GPS!$G$8,GPS!$G$9,GPS!$G$10,GPS!$G$11),""),IFERROR(IF($N18="LSI",INDEX($I$109:$I$132,MATCH($K18,$C$109:$C$132,0)),IF($N18="L",INDEX($G$109:$G$132,MATCH($K18,$C$109:$C$132,0)),IF($N18="R",INDEX($H$109:$H$132,MATCH($K18,$C$109:$C$132,0)),IF(Dashboard!$K$5="L",INDEX($G$109:$G$132,MATCH($K18,$C$109:$C$132,0)),IF(Dashboard!$K$5="R",INDEX($H$109:$H$132,MATCH($K18,$C$109:$C$132,0)),""))))),""))),"0.0")))</f>
        <v>52%</v>
      </c>
      <c r="R18" s="68"/>
      <c r="S18" s="69" t="str">
        <f aca="false">IF(OR(IF(OR($K18="",$K18="Manual"),"",IF(LEFT($K18,4)="GPS:",IFERROR(CHOOSE(MATCH($K18,Lists!$G$3:$G$8,0),GPS!$G$6,GPS!$G$7,GPS!$G$8,GPS!$G$9,GPS!$G$10,GPS!$G$11),""),IFERROR(IF($N18="LSI",INDEX($I$109:$I$132,MATCH($K18,$C$109:$C$132,0)),IF($N18="L",INDEX($G$109:$G$132,MATCH($K18,$C$109:$C$132,0)),IF($N18="R",INDEX($H$109:$H$132,MATCH($K18,$C$109:$C$132,0)),IF(Dashboard!$K$5="L",INDEX($G$109:$G$132,MATCH($K18,$C$109:$C$132,0)),IF(Dashboard!$K$5="R",INDEX($H$109:$H$132,MATCH($K18,$C$109:$C$132,0)),""))))),"")))="",$P18=""),"",IF(IF($O18="≤",IF(OR($K18="",$K18="Manual"),"",IF(LEFT($K18,4)="GPS:",IFERROR(CHOOSE(MATCH($K18,Lists!$G$3:$G$8,0),GPS!$G$6,GPS!$G$7,GPS!$G$8,GPS!$G$9,GPS!$G$10,GPS!$G$11),""),IFERROR(IF($N18="LSI",INDEX($I$109:$I$132,MATCH($K18,$C$109:$C$132,0)),IF($N18="L",INDEX($G$109:$G$132,MATCH($K18,$C$109:$C$132,0)),IF($N18="R",INDEX($H$109:$H$132,MATCH($K18,$C$109:$C$132,0)),IF(Dashboard!$K$5="L",INDEX($G$109:$G$132,MATCH($K18,$C$109:$C$132,0)),IF(Dashboard!$K$5="R",INDEX($H$109:$H$132,MATCH($K18,$C$109:$C$132,0)),""))))),"")))&lt;=$P18,IF(OR($K18="",$K18="Manual"),"",IF(LEFT($K18,4)="GPS:",IFERROR(CHOOSE(MATCH($K18,Lists!$G$3:$G$8,0),GPS!$G$6,GPS!$G$7,GPS!$G$8,GPS!$G$9,GPS!$G$10,GPS!$G$11),""),IFERROR(IF($N18="LSI",INDEX($I$109:$I$132,MATCH($K18,$C$109:$C$132,0)),IF($N18="L",INDEX($G$109:$G$132,MATCH($K18,$C$109:$C$132,0)),IF($N18="R",INDEX($H$109:$H$132,MATCH($K18,$C$109:$C$132,0)),IF(Dashboard!$K$5="L",INDEX($G$109:$G$132,MATCH($K18,$C$109:$C$132,0)),IF(Dashboard!$K$5="R",INDEX($H$109:$H$132,MATCH($K18,$C$109:$C$132,0)),""))))),"")))&gt;=$P18),"MET","NOT MET"))</f>
        <v>NOT MET</v>
      </c>
      <c r="T18" s="7"/>
      <c r="U18" s="68" t="str">
        <f aca="false">IF($T18&lt;&gt;"",$T18,IF($S18="MET","Y",IF($S18="NOT MET","N","")))</f>
        <v>N</v>
      </c>
      <c r="V18" s="70" t="str">
        <f aca="false">IF($U18="Y",IFERROR(IF(LEFT($K18,4)="GPS:","",INDEX($J$109:$J$132,MATCH($K18,$C$109:$C$132,0))),""),"")</f>
        <v/>
      </c>
      <c r="W18" s="70"/>
      <c r="X18" s="58"/>
      <c r="Y18" s="58"/>
      <c r="Z18" s="58"/>
      <c r="AA18" s="58"/>
    </row>
    <row r="19" customFormat="false" ht="18" hidden="false" customHeight="true" outlineLevel="0" collapsed="false">
      <c r="A19" s="64" t="n">
        <v>14</v>
      </c>
      <c r="B19" s="65"/>
      <c r="C19" s="65"/>
      <c r="D19" s="58" t="s">
        <v>131</v>
      </c>
      <c r="E19" s="58"/>
      <c r="F19" s="58"/>
      <c r="G19" s="58"/>
      <c r="H19" s="58"/>
      <c r="I19" s="58"/>
      <c r="J19" s="58"/>
      <c r="K19" s="66" t="s">
        <v>132</v>
      </c>
      <c r="L19" s="66"/>
      <c r="M19" s="66"/>
      <c r="N19" s="67"/>
      <c r="O19" s="67" t="s">
        <v>108</v>
      </c>
      <c r="P19" s="67" t="n">
        <v>0.9</v>
      </c>
      <c r="Q19" s="68" t="str">
        <f aca="false">IF(IF(OR($K19="",$K19="Manual"),"",IF(LEFT($K19,4)="GPS:",IFERROR(CHOOSE(MATCH($K19,Lists!$G$3:$G$8,0),GPS!$G$6,GPS!$G$7,GPS!$G$8,GPS!$G$9,GPS!$G$10,GPS!$G$11),""),IFERROR(IF($N19="LSI",INDEX($I$109:$I$132,MATCH($K19,$C$109:$C$132,0)),IF($N19="L",INDEX($G$109:$G$132,MATCH($K19,$C$109:$C$132,0)),IF($N19="R",INDEX($H$109:$H$132,MATCH($K19,$C$109:$C$132,0)),IF(Dashboard!$K$5="L",INDEX($G$109:$G$132,MATCH($K19,$C$109:$C$132,0)),IF(Dashboard!$K$5="R",INDEX($H$109:$H$132,MATCH($K19,$C$109:$C$132,0)),""))))),"")))="","",IF(OR($N19="LSI",LEFT($K19,4)="GPS:"),TEXT(IF(OR($K19="",$K19="Manual"),"",IF(LEFT($K19,4)="GPS:",IFERROR(CHOOSE(MATCH($K19,Lists!$G$3:$G$8,0),GPS!$G$6,GPS!$G$7,GPS!$G$8,GPS!$G$9,GPS!$G$10,GPS!$G$11),""),IFERROR(IF($N19="LSI",INDEX($I$109:$I$132,MATCH($K19,$C$109:$C$132,0)),IF($N19="L",INDEX($G$109:$G$132,MATCH($K19,$C$109:$C$132,0)),IF($N19="R",INDEX($H$109:$H$132,MATCH($K19,$C$109:$C$132,0)),IF(Dashboard!$K$5="L",INDEX($G$109:$G$132,MATCH($K19,$C$109:$C$132,0)),IF(Dashboard!$K$5="R",INDEX($H$109:$H$132,MATCH($K19,$C$109:$C$132,0)),""))))),""))),"0%"),TEXT(IF(OR($K19="",$K19="Manual"),"",IF(LEFT($K19,4)="GPS:",IFERROR(CHOOSE(MATCH($K19,Lists!$G$3:$G$8,0),GPS!$G$6,GPS!$G$7,GPS!$G$8,GPS!$G$9,GPS!$G$10,GPS!$G$11),""),IFERROR(IF($N19="LSI",INDEX($I$109:$I$132,MATCH($K19,$C$109:$C$132,0)),IF($N19="L",INDEX($G$109:$G$132,MATCH($K19,$C$109:$C$132,0)),IF($N19="R",INDEX($H$109:$H$132,MATCH($K19,$C$109:$C$132,0)),IF(Dashboard!$K$5="L",INDEX($G$109:$G$132,MATCH($K19,$C$109:$C$132,0)),IF(Dashboard!$K$5="R",INDEX($H$109:$H$132,MATCH($K19,$C$109:$C$132,0)),""))))),""))),"0.0")))</f>
        <v>59%</v>
      </c>
      <c r="R19" s="68"/>
      <c r="S19" s="69" t="str">
        <f aca="false">IF(OR(IF(OR($K19="",$K19="Manual"),"",IF(LEFT($K19,4)="GPS:",IFERROR(CHOOSE(MATCH($K19,Lists!$G$3:$G$8,0),GPS!$G$6,GPS!$G$7,GPS!$G$8,GPS!$G$9,GPS!$G$10,GPS!$G$11),""),IFERROR(IF($N19="LSI",INDEX($I$109:$I$132,MATCH($K19,$C$109:$C$132,0)),IF($N19="L",INDEX($G$109:$G$132,MATCH($K19,$C$109:$C$132,0)),IF($N19="R",INDEX($H$109:$H$132,MATCH($K19,$C$109:$C$132,0)),IF(Dashboard!$K$5="L",INDEX($G$109:$G$132,MATCH($K19,$C$109:$C$132,0)),IF(Dashboard!$K$5="R",INDEX($H$109:$H$132,MATCH($K19,$C$109:$C$132,0)),""))))),"")))="",$P19=""),"",IF(IF($O19="≤",IF(OR($K19="",$K19="Manual"),"",IF(LEFT($K19,4)="GPS:",IFERROR(CHOOSE(MATCH($K19,Lists!$G$3:$G$8,0),GPS!$G$6,GPS!$G$7,GPS!$G$8,GPS!$G$9,GPS!$G$10,GPS!$G$11),""),IFERROR(IF($N19="LSI",INDEX($I$109:$I$132,MATCH($K19,$C$109:$C$132,0)),IF($N19="L",INDEX($G$109:$G$132,MATCH($K19,$C$109:$C$132,0)),IF($N19="R",INDEX($H$109:$H$132,MATCH($K19,$C$109:$C$132,0)),IF(Dashboard!$K$5="L",INDEX($G$109:$G$132,MATCH($K19,$C$109:$C$132,0)),IF(Dashboard!$K$5="R",INDEX($H$109:$H$132,MATCH($K19,$C$109:$C$132,0)),""))))),"")))&lt;=$P19,IF(OR($K19="",$K19="Manual"),"",IF(LEFT($K19,4)="GPS:",IFERROR(CHOOSE(MATCH($K19,Lists!$G$3:$G$8,0),GPS!$G$6,GPS!$G$7,GPS!$G$8,GPS!$G$9,GPS!$G$10,GPS!$G$11),""),IFERROR(IF($N19="LSI",INDEX($I$109:$I$132,MATCH($K19,$C$109:$C$132,0)),IF($N19="L",INDEX($G$109:$G$132,MATCH($K19,$C$109:$C$132,0)),IF($N19="R",INDEX($H$109:$H$132,MATCH($K19,$C$109:$C$132,0)),IF(Dashboard!$K$5="L",INDEX($G$109:$G$132,MATCH($K19,$C$109:$C$132,0)),IF(Dashboard!$K$5="R",INDEX($H$109:$H$132,MATCH($K19,$C$109:$C$132,0)),""))))),"")))&gt;=$P19),"MET","NOT MET"))</f>
        <v>NOT MET</v>
      </c>
      <c r="T19" s="7"/>
      <c r="U19" s="68" t="str">
        <f aca="false">IF($T19&lt;&gt;"",$T19,IF($S19="MET","Y",IF($S19="NOT MET","N","")))</f>
        <v>N</v>
      </c>
      <c r="V19" s="70" t="str">
        <f aca="false">IF($U19="Y",IFERROR(IF(LEFT($K19,4)="GPS:","",INDEX($J$109:$J$132,MATCH($K19,$C$109:$C$132,0))),""),"")</f>
        <v/>
      </c>
      <c r="W19" s="70"/>
      <c r="X19" s="58"/>
      <c r="Y19" s="58"/>
      <c r="Z19" s="58"/>
      <c r="AA19" s="58"/>
    </row>
    <row r="20" customFormat="false" ht="18" hidden="false" customHeight="true" outlineLevel="0" collapsed="false">
      <c r="A20" s="64" t="n">
        <v>15</v>
      </c>
      <c r="B20" s="65"/>
      <c r="C20" s="65"/>
      <c r="D20" s="58" t="s">
        <v>133</v>
      </c>
      <c r="E20" s="58"/>
      <c r="F20" s="58"/>
      <c r="G20" s="58"/>
      <c r="H20" s="58"/>
      <c r="I20" s="58"/>
      <c r="J20" s="58"/>
      <c r="K20" s="66" t="s">
        <v>107</v>
      </c>
      <c r="L20" s="66"/>
      <c r="M20" s="66"/>
      <c r="N20" s="67"/>
      <c r="O20" s="67" t="s">
        <v>108</v>
      </c>
      <c r="P20" s="67"/>
      <c r="Q20" s="68" t="str">
        <f aca="false">IF(IF(OR($K20="",$K20="Manual"),"",IF(LEFT($K20,4)="GPS:",IFERROR(CHOOSE(MATCH($K20,Lists!$G$3:$G$8,0),GPS!$G$6,GPS!$G$7,GPS!$G$8,GPS!$G$9,GPS!$G$10,GPS!$G$11),""),IFERROR(IF($N20="LSI",INDEX($I$109:$I$132,MATCH($K20,$C$109:$C$132,0)),IF($N20="L",INDEX($G$109:$G$132,MATCH($K20,$C$109:$C$132,0)),IF($N20="R",INDEX($H$109:$H$132,MATCH($K20,$C$109:$C$132,0)),IF(Dashboard!$K$5="L",INDEX($G$109:$G$132,MATCH($K20,$C$109:$C$132,0)),IF(Dashboard!$K$5="R",INDEX($H$109:$H$132,MATCH($K20,$C$109:$C$132,0)),""))))),"")))="","",IF(OR($N20="LSI",LEFT($K20,4)="GPS:"),TEXT(IF(OR($K20="",$K20="Manual"),"",IF(LEFT($K20,4)="GPS:",IFERROR(CHOOSE(MATCH($K20,Lists!$G$3:$G$8,0),GPS!$G$6,GPS!$G$7,GPS!$G$8,GPS!$G$9,GPS!$G$10,GPS!$G$11),""),IFERROR(IF($N20="LSI",INDEX($I$109:$I$132,MATCH($K20,$C$109:$C$132,0)),IF($N20="L",INDEX($G$109:$G$132,MATCH($K20,$C$109:$C$132,0)),IF($N20="R",INDEX($H$109:$H$132,MATCH($K20,$C$109:$C$132,0)),IF(Dashboard!$K$5="L",INDEX($G$109:$G$132,MATCH($K20,$C$109:$C$132,0)),IF(Dashboard!$K$5="R",INDEX($H$109:$H$132,MATCH($K20,$C$109:$C$132,0)),""))))),""))),"0%"),TEXT(IF(OR($K20="",$K20="Manual"),"",IF(LEFT($K20,4)="GPS:",IFERROR(CHOOSE(MATCH($K20,Lists!$G$3:$G$8,0),GPS!$G$6,GPS!$G$7,GPS!$G$8,GPS!$G$9,GPS!$G$10,GPS!$G$11),""),IFERROR(IF($N20="LSI",INDEX($I$109:$I$132,MATCH($K20,$C$109:$C$132,0)),IF($N20="L",INDEX($G$109:$G$132,MATCH($K20,$C$109:$C$132,0)),IF($N20="R",INDEX($H$109:$H$132,MATCH($K20,$C$109:$C$132,0)),IF(Dashboard!$K$5="L",INDEX($G$109:$G$132,MATCH($K20,$C$109:$C$132,0)),IF(Dashboard!$K$5="R",INDEX($H$109:$H$132,MATCH($K20,$C$109:$C$132,0)),""))))),""))),"0.0")))</f>
        <v/>
      </c>
      <c r="R20" s="68"/>
      <c r="S20" s="69" t="str">
        <f aca="false">IF(OR(IF(OR($K20="",$K20="Manual"),"",IF(LEFT($K20,4)="GPS:",IFERROR(CHOOSE(MATCH($K20,Lists!$G$3:$G$8,0),GPS!$G$6,GPS!$G$7,GPS!$G$8,GPS!$G$9,GPS!$G$10,GPS!$G$11),""),IFERROR(IF($N20="LSI",INDEX($I$109:$I$132,MATCH($K20,$C$109:$C$132,0)),IF($N20="L",INDEX($G$109:$G$132,MATCH($K20,$C$109:$C$132,0)),IF($N20="R",INDEX($H$109:$H$132,MATCH($K20,$C$109:$C$132,0)),IF(Dashboard!$K$5="L",INDEX($G$109:$G$132,MATCH($K20,$C$109:$C$132,0)),IF(Dashboard!$K$5="R",INDEX($H$109:$H$132,MATCH($K20,$C$109:$C$132,0)),""))))),"")))="",$P20=""),"",IF(IF($O20="≤",IF(OR($K20="",$K20="Manual"),"",IF(LEFT($K20,4)="GPS:",IFERROR(CHOOSE(MATCH($K20,Lists!$G$3:$G$8,0),GPS!$G$6,GPS!$G$7,GPS!$G$8,GPS!$G$9,GPS!$G$10,GPS!$G$11),""),IFERROR(IF($N20="LSI",INDEX($I$109:$I$132,MATCH($K20,$C$109:$C$132,0)),IF($N20="L",INDEX($G$109:$G$132,MATCH($K20,$C$109:$C$132,0)),IF($N20="R",INDEX($H$109:$H$132,MATCH($K20,$C$109:$C$132,0)),IF(Dashboard!$K$5="L",INDEX($G$109:$G$132,MATCH($K20,$C$109:$C$132,0)),IF(Dashboard!$K$5="R",INDEX($H$109:$H$132,MATCH($K20,$C$109:$C$132,0)),""))))),"")))&lt;=$P20,IF(OR($K20="",$K20="Manual"),"",IF(LEFT($K20,4)="GPS:",IFERROR(CHOOSE(MATCH($K20,Lists!$G$3:$G$8,0),GPS!$G$6,GPS!$G$7,GPS!$G$8,GPS!$G$9,GPS!$G$10,GPS!$G$11),""),IFERROR(IF($N20="LSI",INDEX($I$109:$I$132,MATCH($K20,$C$109:$C$132,0)),IF($N20="L",INDEX($G$109:$G$132,MATCH($K20,$C$109:$C$132,0)),IF($N20="R",INDEX($H$109:$H$132,MATCH($K20,$C$109:$C$132,0)),IF(Dashboard!$K$5="L",INDEX($G$109:$G$132,MATCH($K20,$C$109:$C$132,0)),IF(Dashboard!$K$5="R",INDEX($H$109:$H$132,MATCH($K20,$C$109:$C$132,0)),""))))),"")))&gt;=$P20),"MET","NOT MET"))</f>
        <v/>
      </c>
      <c r="T20" s="7"/>
      <c r="U20" s="68" t="str">
        <f aca="false">IF($T20&lt;&gt;"",$T20,IF($S20="MET","Y",IF($S20="NOT MET","N","")))</f>
        <v/>
      </c>
      <c r="V20" s="70" t="str">
        <f aca="false">IF($U20="Y",IFERROR(IF(LEFT($K20,4)="GPS:","",INDEX($J$109:$J$132,MATCH($K20,$C$109:$C$132,0))),""),"")</f>
        <v/>
      </c>
      <c r="W20" s="70"/>
      <c r="X20" s="58"/>
      <c r="Y20" s="58"/>
      <c r="Z20" s="58"/>
      <c r="AA20" s="58"/>
    </row>
    <row r="21" customFormat="false" ht="18" hidden="false" customHeight="true" outlineLevel="0" collapsed="false">
      <c r="A21" s="64" t="n">
        <v>16</v>
      </c>
      <c r="B21" s="65" t="s">
        <v>134</v>
      </c>
      <c r="C21" s="65"/>
      <c r="D21" s="58" t="s">
        <v>135</v>
      </c>
      <c r="E21" s="58"/>
      <c r="F21" s="58"/>
      <c r="G21" s="58"/>
      <c r="H21" s="58"/>
      <c r="I21" s="58"/>
      <c r="J21" s="58"/>
      <c r="K21" s="66" t="s">
        <v>130</v>
      </c>
      <c r="L21" s="66"/>
      <c r="M21" s="66"/>
      <c r="N21" s="67"/>
      <c r="O21" s="67" t="s">
        <v>108</v>
      </c>
      <c r="P21" s="67" t="n">
        <v>1</v>
      </c>
      <c r="Q21" s="68" t="str">
        <f aca="false">IF(IF(OR($K21="",$K21="Manual"),"",IF(LEFT($K21,4)="GPS:",IFERROR(CHOOSE(MATCH($K21,Lists!$G$3:$G$8,0),GPS!$G$6,GPS!$G$7,GPS!$G$8,GPS!$G$9,GPS!$G$10,GPS!$G$11),""),IFERROR(IF($N21="LSI",INDEX($I$109:$I$132,MATCH($K21,$C$109:$C$132,0)),IF($N21="L",INDEX($G$109:$G$132,MATCH($K21,$C$109:$C$132,0)),IF($N21="R",INDEX($H$109:$H$132,MATCH($K21,$C$109:$C$132,0)),IF(Dashboard!$K$5="L",INDEX($G$109:$G$132,MATCH($K21,$C$109:$C$132,0)),IF(Dashboard!$K$5="R",INDEX($H$109:$H$132,MATCH($K21,$C$109:$C$132,0)),""))))),"")))="","",IF(OR($N21="LSI",LEFT($K21,4)="GPS:"),TEXT(IF(OR($K21="",$K21="Manual"),"",IF(LEFT($K21,4)="GPS:",IFERROR(CHOOSE(MATCH($K21,Lists!$G$3:$G$8,0),GPS!$G$6,GPS!$G$7,GPS!$G$8,GPS!$G$9,GPS!$G$10,GPS!$G$11),""),IFERROR(IF($N21="LSI",INDEX($I$109:$I$132,MATCH($K21,$C$109:$C$132,0)),IF($N21="L",INDEX($G$109:$G$132,MATCH($K21,$C$109:$C$132,0)),IF($N21="R",INDEX($H$109:$H$132,MATCH($K21,$C$109:$C$132,0)),IF(Dashboard!$K$5="L",INDEX($G$109:$G$132,MATCH($K21,$C$109:$C$132,0)),IF(Dashboard!$K$5="R",INDEX($H$109:$H$132,MATCH($K21,$C$109:$C$132,0)),""))))),""))),"0%"),TEXT(IF(OR($K21="",$K21="Manual"),"",IF(LEFT($K21,4)="GPS:",IFERROR(CHOOSE(MATCH($K21,Lists!$G$3:$G$8,0),GPS!$G$6,GPS!$G$7,GPS!$G$8,GPS!$G$9,GPS!$G$10,GPS!$G$11),""),IFERROR(IF($N21="LSI",INDEX($I$109:$I$132,MATCH($K21,$C$109:$C$132,0)),IF($N21="L",INDEX($G$109:$G$132,MATCH($K21,$C$109:$C$132,0)),IF($N21="R",INDEX($H$109:$H$132,MATCH($K21,$C$109:$C$132,0)),IF(Dashboard!$K$5="L",INDEX($G$109:$G$132,MATCH($K21,$C$109:$C$132,0)),IF(Dashboard!$K$5="R",INDEX($H$109:$H$132,MATCH($K21,$C$109:$C$132,0)),""))))),""))),"0.0")))</f>
        <v>52%</v>
      </c>
      <c r="R21" s="68"/>
      <c r="S21" s="69" t="str">
        <f aca="false">IF(OR(IF(OR($K21="",$K21="Manual"),"",IF(LEFT($K21,4)="GPS:",IFERROR(CHOOSE(MATCH($K21,Lists!$G$3:$G$8,0),GPS!$G$6,GPS!$G$7,GPS!$G$8,GPS!$G$9,GPS!$G$10,GPS!$G$11),""),IFERROR(IF($N21="LSI",INDEX($I$109:$I$132,MATCH($K21,$C$109:$C$132,0)),IF($N21="L",INDEX($G$109:$G$132,MATCH($K21,$C$109:$C$132,0)),IF($N21="R",INDEX($H$109:$H$132,MATCH($K21,$C$109:$C$132,0)),IF(Dashboard!$K$5="L",INDEX($G$109:$G$132,MATCH($K21,$C$109:$C$132,0)),IF(Dashboard!$K$5="R",INDEX($H$109:$H$132,MATCH($K21,$C$109:$C$132,0)),""))))),"")))="",$P21=""),"",IF(IF($O21="≤",IF(OR($K21="",$K21="Manual"),"",IF(LEFT($K21,4)="GPS:",IFERROR(CHOOSE(MATCH($K21,Lists!$G$3:$G$8,0),GPS!$G$6,GPS!$G$7,GPS!$G$8,GPS!$G$9,GPS!$G$10,GPS!$G$11),""),IFERROR(IF($N21="LSI",INDEX($I$109:$I$132,MATCH($K21,$C$109:$C$132,0)),IF($N21="L",INDEX($G$109:$G$132,MATCH($K21,$C$109:$C$132,0)),IF($N21="R",INDEX($H$109:$H$132,MATCH($K21,$C$109:$C$132,0)),IF(Dashboard!$K$5="L",INDEX($G$109:$G$132,MATCH($K21,$C$109:$C$132,0)),IF(Dashboard!$K$5="R",INDEX($H$109:$H$132,MATCH($K21,$C$109:$C$132,0)),""))))),"")))&lt;=$P21,IF(OR($K21="",$K21="Manual"),"",IF(LEFT($K21,4)="GPS:",IFERROR(CHOOSE(MATCH($K21,Lists!$G$3:$G$8,0),GPS!$G$6,GPS!$G$7,GPS!$G$8,GPS!$G$9,GPS!$G$10,GPS!$G$11),""),IFERROR(IF($N21="LSI",INDEX($I$109:$I$132,MATCH($K21,$C$109:$C$132,0)),IF($N21="L",INDEX($G$109:$G$132,MATCH($K21,$C$109:$C$132,0)),IF($N21="R",INDEX($H$109:$H$132,MATCH($K21,$C$109:$C$132,0)),IF(Dashboard!$K$5="L",INDEX($G$109:$G$132,MATCH($K21,$C$109:$C$132,0)),IF(Dashboard!$K$5="R",INDEX($H$109:$H$132,MATCH($K21,$C$109:$C$132,0)),""))))),"")))&gt;=$P21),"MET","NOT MET"))</f>
        <v>NOT MET</v>
      </c>
      <c r="T21" s="7"/>
      <c r="U21" s="68" t="str">
        <f aca="false">IF($T21&lt;&gt;"",$T21,IF($S21="MET","Y",IF($S21="NOT MET","N","")))</f>
        <v>N</v>
      </c>
      <c r="V21" s="70" t="str">
        <f aca="false">IF($U21="Y",IFERROR(IF(LEFT($K21,4)="GPS:","",INDEX($J$109:$J$132,MATCH($K21,$C$109:$C$132,0))),""),"")</f>
        <v/>
      </c>
      <c r="W21" s="70"/>
      <c r="X21" s="58"/>
      <c r="Y21" s="58"/>
      <c r="Z21" s="58"/>
      <c r="AA21" s="58"/>
    </row>
    <row r="22" customFormat="false" ht="18" hidden="false" customHeight="true" outlineLevel="0" collapsed="false">
      <c r="A22" s="64" t="n">
        <v>17</v>
      </c>
      <c r="B22" s="65"/>
      <c r="C22" s="65"/>
      <c r="D22" s="58" t="s">
        <v>136</v>
      </c>
      <c r="E22" s="58"/>
      <c r="F22" s="58"/>
      <c r="G22" s="58"/>
      <c r="H22" s="58"/>
      <c r="I22" s="58"/>
      <c r="J22" s="58"/>
      <c r="K22" s="66" t="s">
        <v>137</v>
      </c>
      <c r="L22" s="66"/>
      <c r="M22" s="66"/>
      <c r="N22" s="67"/>
      <c r="O22" s="67" t="s">
        <v>108</v>
      </c>
      <c r="P22" s="67" t="n">
        <v>0.95</v>
      </c>
      <c r="Q22" s="68" t="str">
        <f aca="false">IF(IF(OR($K22="",$K22="Manual"),"",IF(LEFT($K22,4)="GPS:",IFERROR(CHOOSE(MATCH($K22,Lists!$G$3:$G$8,0),GPS!$G$6,GPS!$G$7,GPS!$G$8,GPS!$G$9,GPS!$G$10,GPS!$G$11),""),IFERROR(IF($N22="LSI",INDEX($I$109:$I$132,MATCH($K22,$C$109:$C$132,0)),IF($N22="L",INDEX($G$109:$G$132,MATCH($K22,$C$109:$C$132,0)),IF($N22="R",INDEX($H$109:$H$132,MATCH($K22,$C$109:$C$132,0)),IF(Dashboard!$K$5="L",INDEX($G$109:$G$132,MATCH($K22,$C$109:$C$132,0)),IF(Dashboard!$K$5="R",INDEX($H$109:$H$132,MATCH($K22,$C$109:$C$132,0)),""))))),"")))="","",IF(OR($N22="LSI",LEFT($K22,4)="GPS:"),TEXT(IF(OR($K22="",$K22="Manual"),"",IF(LEFT($K22,4)="GPS:",IFERROR(CHOOSE(MATCH($K22,Lists!$G$3:$G$8,0),GPS!$G$6,GPS!$G$7,GPS!$G$8,GPS!$G$9,GPS!$G$10,GPS!$G$11),""),IFERROR(IF($N22="LSI",INDEX($I$109:$I$132,MATCH($K22,$C$109:$C$132,0)),IF($N22="L",INDEX($G$109:$G$132,MATCH($K22,$C$109:$C$132,0)),IF($N22="R",INDEX($H$109:$H$132,MATCH($K22,$C$109:$C$132,0)),IF(Dashboard!$K$5="L",INDEX($G$109:$G$132,MATCH($K22,$C$109:$C$132,0)),IF(Dashboard!$K$5="R",INDEX($H$109:$H$132,MATCH($K22,$C$109:$C$132,0)),""))))),""))),"0%"),TEXT(IF(OR($K22="",$K22="Manual"),"",IF(LEFT($K22,4)="GPS:",IFERROR(CHOOSE(MATCH($K22,Lists!$G$3:$G$8,0),GPS!$G$6,GPS!$G$7,GPS!$G$8,GPS!$G$9,GPS!$G$10,GPS!$G$11),""),IFERROR(IF($N22="LSI",INDEX($I$109:$I$132,MATCH($K22,$C$109:$C$132,0)),IF($N22="L",INDEX($G$109:$G$132,MATCH($K22,$C$109:$C$132,0)),IF($N22="R",INDEX($H$109:$H$132,MATCH($K22,$C$109:$C$132,0)),IF(Dashboard!$K$5="L",INDEX($G$109:$G$132,MATCH($K22,$C$109:$C$132,0)),IF(Dashboard!$K$5="R",INDEX($H$109:$H$132,MATCH($K22,$C$109:$C$132,0)),""))))),""))),"0.0")))</f>
        <v>42%</v>
      </c>
      <c r="R22" s="68"/>
      <c r="S22" s="69" t="str">
        <f aca="false">IF(OR(IF(OR($K22="",$K22="Manual"),"",IF(LEFT($K22,4)="GPS:",IFERROR(CHOOSE(MATCH($K22,Lists!$G$3:$G$8,0),GPS!$G$6,GPS!$G$7,GPS!$G$8,GPS!$G$9,GPS!$G$10,GPS!$G$11),""),IFERROR(IF($N22="LSI",INDEX($I$109:$I$132,MATCH($K22,$C$109:$C$132,0)),IF($N22="L",INDEX($G$109:$G$132,MATCH($K22,$C$109:$C$132,0)),IF($N22="R",INDEX($H$109:$H$132,MATCH($K22,$C$109:$C$132,0)),IF(Dashboard!$K$5="L",INDEX($G$109:$G$132,MATCH($K22,$C$109:$C$132,0)),IF(Dashboard!$K$5="R",INDEX($H$109:$H$132,MATCH($K22,$C$109:$C$132,0)),""))))),"")))="",$P22=""),"",IF(IF($O22="≤",IF(OR($K22="",$K22="Manual"),"",IF(LEFT($K22,4)="GPS:",IFERROR(CHOOSE(MATCH($K22,Lists!$G$3:$G$8,0),GPS!$G$6,GPS!$G$7,GPS!$G$8,GPS!$G$9,GPS!$G$10,GPS!$G$11),""),IFERROR(IF($N22="LSI",INDEX($I$109:$I$132,MATCH($K22,$C$109:$C$132,0)),IF($N22="L",INDEX($G$109:$G$132,MATCH($K22,$C$109:$C$132,0)),IF($N22="R",INDEX($H$109:$H$132,MATCH($K22,$C$109:$C$132,0)),IF(Dashboard!$K$5="L",INDEX($G$109:$G$132,MATCH($K22,$C$109:$C$132,0)),IF(Dashboard!$K$5="R",INDEX($H$109:$H$132,MATCH($K22,$C$109:$C$132,0)),""))))),"")))&lt;=$P22,IF(OR($K22="",$K22="Manual"),"",IF(LEFT($K22,4)="GPS:",IFERROR(CHOOSE(MATCH($K22,Lists!$G$3:$G$8,0),GPS!$G$6,GPS!$G$7,GPS!$G$8,GPS!$G$9,GPS!$G$10,GPS!$G$11),""),IFERROR(IF($N22="LSI",INDEX($I$109:$I$132,MATCH($K22,$C$109:$C$132,0)),IF($N22="L",INDEX($G$109:$G$132,MATCH($K22,$C$109:$C$132,0)),IF($N22="R",INDEX($H$109:$H$132,MATCH($K22,$C$109:$C$132,0)),IF(Dashboard!$K$5="L",INDEX($G$109:$G$132,MATCH($K22,$C$109:$C$132,0)),IF(Dashboard!$K$5="R",INDEX($H$109:$H$132,MATCH($K22,$C$109:$C$132,0)),""))))),"")))&gt;=$P22),"MET","NOT MET"))</f>
        <v>NOT MET</v>
      </c>
      <c r="T22" s="7"/>
      <c r="U22" s="68" t="str">
        <f aca="false">IF($T22&lt;&gt;"",$T22,IF($S22="MET","Y",IF($S22="NOT MET","N","")))</f>
        <v>N</v>
      </c>
      <c r="V22" s="70" t="str">
        <f aca="false">IF($U22="Y",IFERROR(IF(LEFT($K22,4)="GPS:","",INDEX($J$109:$J$132,MATCH($K22,$C$109:$C$132,0))),""),"")</f>
        <v/>
      </c>
      <c r="W22" s="70"/>
      <c r="X22" s="58"/>
      <c r="Y22" s="58"/>
      <c r="Z22" s="58"/>
      <c r="AA22" s="58"/>
    </row>
    <row r="23" customFormat="false" ht="18" hidden="false" customHeight="true" outlineLevel="0" collapsed="false">
      <c r="A23" s="64" t="n">
        <v>18</v>
      </c>
      <c r="B23" s="65"/>
      <c r="C23" s="65"/>
      <c r="D23" s="58" t="s">
        <v>138</v>
      </c>
      <c r="E23" s="58"/>
      <c r="F23" s="58"/>
      <c r="G23" s="58"/>
      <c r="H23" s="58"/>
      <c r="I23" s="58"/>
      <c r="J23" s="58"/>
      <c r="K23" s="66" t="s">
        <v>107</v>
      </c>
      <c r="L23" s="66"/>
      <c r="M23" s="66"/>
      <c r="N23" s="67"/>
      <c r="O23" s="67" t="s">
        <v>108</v>
      </c>
      <c r="P23" s="67"/>
      <c r="Q23" s="68" t="str">
        <f aca="false">IF(IF(OR($K23="",$K23="Manual"),"",IF(LEFT($K23,4)="GPS:",IFERROR(CHOOSE(MATCH($K23,Lists!$G$3:$G$8,0),GPS!$G$6,GPS!$G$7,GPS!$G$8,GPS!$G$9,GPS!$G$10,GPS!$G$11),""),IFERROR(IF($N23="LSI",INDEX($I$109:$I$132,MATCH($K23,$C$109:$C$132,0)),IF($N23="L",INDEX($G$109:$G$132,MATCH($K23,$C$109:$C$132,0)),IF($N23="R",INDEX($H$109:$H$132,MATCH($K23,$C$109:$C$132,0)),IF(Dashboard!$K$5="L",INDEX($G$109:$G$132,MATCH($K23,$C$109:$C$132,0)),IF(Dashboard!$K$5="R",INDEX($H$109:$H$132,MATCH($K23,$C$109:$C$132,0)),""))))),"")))="","",IF(OR($N23="LSI",LEFT($K23,4)="GPS:"),TEXT(IF(OR($K23="",$K23="Manual"),"",IF(LEFT($K23,4)="GPS:",IFERROR(CHOOSE(MATCH($K23,Lists!$G$3:$G$8,0),GPS!$G$6,GPS!$G$7,GPS!$G$8,GPS!$G$9,GPS!$G$10,GPS!$G$11),""),IFERROR(IF($N23="LSI",INDEX($I$109:$I$132,MATCH($K23,$C$109:$C$132,0)),IF($N23="L",INDEX($G$109:$G$132,MATCH($K23,$C$109:$C$132,0)),IF($N23="R",INDEX($H$109:$H$132,MATCH($K23,$C$109:$C$132,0)),IF(Dashboard!$K$5="L",INDEX($G$109:$G$132,MATCH($K23,$C$109:$C$132,0)),IF(Dashboard!$K$5="R",INDEX($H$109:$H$132,MATCH($K23,$C$109:$C$132,0)),""))))),""))),"0%"),TEXT(IF(OR($K23="",$K23="Manual"),"",IF(LEFT($K23,4)="GPS:",IFERROR(CHOOSE(MATCH($K23,Lists!$G$3:$G$8,0),GPS!$G$6,GPS!$G$7,GPS!$G$8,GPS!$G$9,GPS!$G$10,GPS!$G$11),""),IFERROR(IF($N23="LSI",INDEX($I$109:$I$132,MATCH($K23,$C$109:$C$132,0)),IF($N23="L",INDEX($G$109:$G$132,MATCH($K23,$C$109:$C$132,0)),IF($N23="R",INDEX($H$109:$H$132,MATCH($K23,$C$109:$C$132,0)),IF(Dashboard!$K$5="L",INDEX($G$109:$G$132,MATCH($K23,$C$109:$C$132,0)),IF(Dashboard!$K$5="R",INDEX($H$109:$H$132,MATCH($K23,$C$109:$C$132,0)),""))))),""))),"0.0")))</f>
        <v/>
      </c>
      <c r="R23" s="68"/>
      <c r="S23" s="69" t="str">
        <f aca="false">IF(OR(IF(OR($K23="",$K23="Manual"),"",IF(LEFT($K23,4)="GPS:",IFERROR(CHOOSE(MATCH($K23,Lists!$G$3:$G$8,0),GPS!$G$6,GPS!$G$7,GPS!$G$8,GPS!$G$9,GPS!$G$10,GPS!$G$11),""),IFERROR(IF($N23="LSI",INDEX($I$109:$I$132,MATCH($K23,$C$109:$C$132,0)),IF($N23="L",INDEX($G$109:$G$132,MATCH($K23,$C$109:$C$132,0)),IF($N23="R",INDEX($H$109:$H$132,MATCH($K23,$C$109:$C$132,0)),IF(Dashboard!$K$5="L",INDEX($G$109:$G$132,MATCH($K23,$C$109:$C$132,0)),IF(Dashboard!$K$5="R",INDEX($H$109:$H$132,MATCH($K23,$C$109:$C$132,0)),""))))),"")))="",$P23=""),"",IF(IF($O23="≤",IF(OR($K23="",$K23="Manual"),"",IF(LEFT($K23,4)="GPS:",IFERROR(CHOOSE(MATCH($K23,Lists!$G$3:$G$8,0),GPS!$G$6,GPS!$G$7,GPS!$G$8,GPS!$G$9,GPS!$G$10,GPS!$G$11),""),IFERROR(IF($N23="LSI",INDEX($I$109:$I$132,MATCH($K23,$C$109:$C$132,0)),IF($N23="L",INDEX($G$109:$G$132,MATCH($K23,$C$109:$C$132,0)),IF($N23="R",INDEX($H$109:$H$132,MATCH($K23,$C$109:$C$132,0)),IF(Dashboard!$K$5="L",INDEX($G$109:$G$132,MATCH($K23,$C$109:$C$132,0)),IF(Dashboard!$K$5="R",INDEX($H$109:$H$132,MATCH($K23,$C$109:$C$132,0)),""))))),"")))&lt;=$P23,IF(OR($K23="",$K23="Manual"),"",IF(LEFT($K23,4)="GPS:",IFERROR(CHOOSE(MATCH($K23,Lists!$G$3:$G$8,0),GPS!$G$6,GPS!$G$7,GPS!$G$8,GPS!$G$9,GPS!$G$10,GPS!$G$11),""),IFERROR(IF($N23="LSI",INDEX($I$109:$I$132,MATCH($K23,$C$109:$C$132,0)),IF($N23="L",INDEX($G$109:$G$132,MATCH($K23,$C$109:$C$132,0)),IF($N23="R",INDEX($H$109:$H$132,MATCH($K23,$C$109:$C$132,0)),IF(Dashboard!$K$5="L",INDEX($G$109:$G$132,MATCH($K23,$C$109:$C$132,0)),IF(Dashboard!$K$5="R",INDEX($H$109:$H$132,MATCH($K23,$C$109:$C$132,0)),""))))),"")))&gt;=$P23),"MET","NOT MET"))</f>
        <v/>
      </c>
      <c r="T23" s="7"/>
      <c r="U23" s="68" t="str">
        <f aca="false">IF($T23&lt;&gt;"",$T23,IF($S23="MET","Y",IF($S23="NOT MET","N","")))</f>
        <v/>
      </c>
      <c r="V23" s="70" t="str">
        <f aca="false">IF($U23="Y",IFERROR(IF(LEFT($K23,4)="GPS:","",INDEX($J$109:$J$132,MATCH($K23,$C$109:$C$132,0))),""),"")</f>
        <v/>
      </c>
      <c r="W23" s="70"/>
      <c r="X23" s="58"/>
      <c r="Y23" s="58"/>
      <c r="Z23" s="58"/>
      <c r="AA23" s="58"/>
    </row>
    <row r="24" customFormat="false" ht="15.75" hidden="false" customHeight="true" outlineLevel="0" collapsed="false">
      <c r="A24" s="33"/>
      <c r="B24" s="33" t="s">
        <v>94</v>
      </c>
      <c r="C24" s="33"/>
      <c r="D24" s="33" t="s">
        <v>139</v>
      </c>
      <c r="E24" s="33"/>
      <c r="F24" s="33"/>
      <c r="G24" s="33"/>
      <c r="H24" s="33"/>
      <c r="I24" s="33"/>
      <c r="J24" s="33"/>
      <c r="K24" s="33" t="s">
        <v>140</v>
      </c>
      <c r="L24" s="33"/>
      <c r="M24" s="33"/>
      <c r="N24" s="33" t="s">
        <v>141</v>
      </c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 customFormat="false" ht="15" hidden="false" customHeight="true" outlineLevel="0" collapsed="false">
      <c r="A25" s="57" t="n">
        <v>1</v>
      </c>
      <c r="B25" s="71" t="s">
        <v>105</v>
      </c>
      <c r="C25" s="71"/>
      <c r="D25" s="72" t="str">
        <f aca="false">IF(COUNTA($D$6:$D$8)=0,"No criteria defined",COUNTIFS($D$6:$D$8,"&lt;&gt;",$U$6:$U$8,"Y")&amp;" / "&amp;COUNTA($D$6:$D$8))</f>
        <v>0 / 2</v>
      </c>
      <c r="E25" s="72"/>
      <c r="F25" s="72"/>
      <c r="G25" s="72"/>
      <c r="H25" s="72"/>
      <c r="I25" s="72"/>
      <c r="J25" s="72"/>
      <c r="K25" s="68" t="str">
        <f aca="false">IF(AND(COUNTA($D$6:$D$8)&gt;0,COUNTIFS($D$6:$D$8,"&lt;&gt;",$U$6:$U$8,"Y")=COUNTA($D$6:$D$8)),"Y","N")</f>
        <v>N</v>
      </c>
      <c r="L25" s="68"/>
      <c r="M25" s="68"/>
      <c r="N25" s="73" t="str">
        <f aca="false">IF(K25="Y","—",IF(AND($D$6&lt;&gt;"",$U$6&lt;&gt;"Y"),$D$6,IF(AND($D$7&lt;&gt;"",$U$7&lt;&gt;"Y"),$D$7,IF(AND($D$8&lt;&gt;"",$U$8&lt;&gt;"Y"),$D$8,""))))</f>
        <v>Pain ≤ 2/10 with ADLs, full weight-bearing</v>
      </c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</row>
    <row r="26" customFormat="false" ht="15" hidden="false" customHeight="true" outlineLevel="0" collapsed="false">
      <c r="A26" s="57" t="n">
        <v>2</v>
      </c>
      <c r="B26" s="71" t="s">
        <v>110</v>
      </c>
      <c r="C26" s="71"/>
      <c r="D26" s="72" t="str">
        <f aca="false">IF(COUNTA($D$9:$D$11)=0,"No criteria defined",COUNTIFS($D$9:$D$11,"&lt;&gt;",$U$9:$U$11,"Y")&amp;" / "&amp;COUNTA($D$9:$D$11))</f>
        <v>2 / 3</v>
      </c>
      <c r="E26" s="72"/>
      <c r="F26" s="72"/>
      <c r="G26" s="72"/>
      <c r="H26" s="72"/>
      <c r="I26" s="72"/>
      <c r="J26" s="72"/>
      <c r="K26" s="68" t="str">
        <f aca="false">IF(AND(COUNTA($D$9:$D$11)&gt;0,COUNTIFS($D$9:$D$11,"&lt;&gt;",$U$9:$U$11,"Y")=COUNTA($D$9:$D$11)),"Y","N")</f>
        <v>N</v>
      </c>
      <c r="L26" s="68"/>
      <c r="M26" s="68"/>
      <c r="N26" s="73" t="str">
        <f aca="false">IF(K26="Y","—",IF(AND($D$9&lt;&gt;"",$U$9&lt;&gt;"Y"),$D$9,IF(AND($D$10&lt;&gt;"",$U$10&lt;&gt;"Y"),$D$10,IF(AND($D$11&lt;&gt;"",$U$11&lt;&gt;"Y"),$D$11,""))))</f>
        <v>Hip flexion ROM ≥ 90% of other side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</row>
    <row r="27" customFormat="false" ht="15" hidden="false" customHeight="true" outlineLevel="0" collapsed="false">
      <c r="A27" s="57" t="n">
        <v>3</v>
      </c>
      <c r="B27" s="71" t="s">
        <v>117</v>
      </c>
      <c r="C27" s="71"/>
      <c r="D27" s="72" t="str">
        <f aca="false">IF(COUNTA($D$12:$D$14)=0,"No criteria defined",COUNTIFS($D$12:$D$14,"&lt;&gt;",$U$12:$U$14,"Y")&amp;" / "&amp;COUNTA($D$12:$D$14))</f>
        <v>2 / 3</v>
      </c>
      <c r="E27" s="72"/>
      <c r="F27" s="72"/>
      <c r="G27" s="72"/>
      <c r="H27" s="72"/>
      <c r="I27" s="72"/>
      <c r="J27" s="72"/>
      <c r="K27" s="68" t="str">
        <f aca="false">IF(AND(COUNTA($D$12:$D$14)&gt;0,COUNTIFS($D$12:$D$14,"&lt;&gt;",$U$12:$U$14,"Y")=COUNTA($D$12:$D$14)),"Y","N")</f>
        <v>N</v>
      </c>
      <c r="L27" s="68"/>
      <c r="M27" s="68"/>
      <c r="N27" s="73" t="str">
        <f aca="false">IF(K27="Y","—",IF(AND($D$12&lt;&gt;"",$U$12&lt;&gt;"Y"),$D$12,IF(AND($D$13&lt;&gt;"",$U$13&lt;&gt;"Y"),$D$13,IF(AND($D$14&lt;&gt;"",$U$14&lt;&gt;"Y"),$D$14,""))))</f>
        <v>Pain-free linear running</v>
      </c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</row>
    <row r="28" customFormat="false" ht="15" hidden="false" customHeight="true" outlineLevel="0" collapsed="false">
      <c r="A28" s="57" t="n">
        <v>4</v>
      </c>
      <c r="B28" s="71" t="s">
        <v>122</v>
      </c>
      <c r="C28" s="71"/>
      <c r="D28" s="72" t="str">
        <f aca="false">IF(COUNTA($D$15:$D$17)=0,"No criteria defined",COUNTIFS($D$15:$D$17,"&lt;&gt;",$U$15:$U$17,"Y")&amp;" / "&amp;COUNTA($D$15:$D$17))</f>
        <v>1 / 3</v>
      </c>
      <c r="E28" s="72"/>
      <c r="F28" s="72"/>
      <c r="G28" s="72"/>
      <c r="H28" s="72"/>
      <c r="I28" s="72"/>
      <c r="J28" s="72"/>
      <c r="K28" s="68" t="str">
        <f aca="false">IF(AND(COUNTA($D$15:$D$17)&gt;0,COUNTIFS($D$15:$D$17,"&lt;&gt;",$U$15:$U$17,"Y")=COUNTA($D$15:$D$17)),"Y","N")</f>
        <v>N</v>
      </c>
      <c r="L28" s="68"/>
      <c r="M28" s="68"/>
      <c r="N28" s="73" t="str">
        <f aca="false">IF(K28="Y","—",IF(AND($D$15&lt;&gt;"",$U$15&lt;&gt;"Y"),$D$15,IF(AND($D$16&lt;&gt;"",$U$16&lt;&gt;"Y"),$D$16,IF(AND($D$17&lt;&gt;"",$U$17&lt;&gt;"Y"),$D$17,""))))</f>
        <v>SL CMJ ≥ 90% LSI</v>
      </c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</row>
    <row r="29" customFormat="false" ht="15" hidden="false" customHeight="true" outlineLevel="0" collapsed="false">
      <c r="A29" s="57" t="n">
        <v>5</v>
      </c>
      <c r="B29" s="71" t="s">
        <v>128</v>
      </c>
      <c r="C29" s="71"/>
      <c r="D29" s="72" t="str">
        <f aca="false">IF(COUNTA($D$18:$D$20)=0,"No criteria defined",COUNTIFS($D$18:$D$20,"&lt;&gt;",$U$18:$U$20,"Y")&amp;" / "&amp;COUNTA($D$18:$D$20))</f>
        <v>0 / 3</v>
      </c>
      <c r="E29" s="72"/>
      <c r="F29" s="72"/>
      <c r="G29" s="72"/>
      <c r="H29" s="72"/>
      <c r="I29" s="72"/>
      <c r="J29" s="72"/>
      <c r="K29" s="68" t="str">
        <f aca="false">IF(AND(COUNTA($D$18:$D$20)&gt;0,COUNTIFS($D$18:$D$20,"&lt;&gt;",$U$18:$U$20,"Y")=COUNTA($D$18:$D$20)),"Y","N")</f>
        <v>N</v>
      </c>
      <c r="L29" s="68"/>
      <c r="M29" s="68"/>
      <c r="N29" s="73" t="str">
        <f aca="false">IF(K29="Y","—",IF(AND($D$18&lt;&gt;"",$U$18&lt;&gt;"Y"),$D$18,IF(AND($D$19&lt;&gt;"",$U$19&lt;&gt;"Y"),$D$19,IF(AND($D$20&lt;&gt;"",$U$20&lt;&gt;"Y"),$D$20,""))))</f>
        <v>Total distance ≥ 90% of baseline</v>
      </c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</row>
    <row r="30" customFormat="false" ht="15" hidden="false" customHeight="true" outlineLevel="0" collapsed="false">
      <c r="A30" s="57" t="n">
        <v>6</v>
      </c>
      <c r="B30" s="71" t="s">
        <v>134</v>
      </c>
      <c r="C30" s="71"/>
      <c r="D30" s="72" t="str">
        <f aca="false">IF(COUNTA($D$21:$D$23)=0,"No criteria defined",COUNTIFS($D$21:$D$23,"&lt;&gt;",$U$21:$U$23,"Y")&amp;" / "&amp;COUNTA($D$21:$D$23))</f>
        <v>0 / 3</v>
      </c>
      <c r="E30" s="72"/>
      <c r="F30" s="72"/>
      <c r="G30" s="72"/>
      <c r="H30" s="72"/>
      <c r="I30" s="72"/>
      <c r="J30" s="72"/>
      <c r="K30" s="68" t="str">
        <f aca="false">IF(AND(COUNTA($D$21:$D$23)&gt;0,COUNTIFS($D$21:$D$23,"&lt;&gt;",$U$21:$U$23,"Y")=COUNTA($D$21:$D$23)),"Y","N")</f>
        <v>N</v>
      </c>
      <c r="L30" s="68"/>
      <c r="M30" s="68"/>
      <c r="N30" s="73" t="str">
        <f aca="false">IF(K30="Y","—",IF(AND($D$21&lt;&gt;"",$U$21&lt;&gt;"Y"),$D$21,IF(AND($D$22&lt;&gt;"",$U$22&lt;&gt;"Y"),$D$22,IF(AND($D$23&lt;&gt;"",$U$23&lt;&gt;"Y"),$D$23,""))))</f>
        <v>Total distance ≥ 100% of baseline</v>
      </c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</row>
    <row r="31" customFormat="false" ht="30" hidden="false" customHeight="true" outlineLevel="0" collapsed="false">
      <c r="A31" s="74" t="s">
        <v>41</v>
      </c>
      <c r="B31" s="74"/>
      <c r="C31" s="74"/>
      <c r="D31" s="74"/>
      <c r="E31" s="75" t="str">
        <f aca="false">IFERROR(INDEX($B$25:$B$30,MATCH("N",$K$25:$K$30,0)),"Rehab complete — RTP")</f>
        <v>1. Protection</v>
      </c>
      <c r="F31" s="75"/>
      <c r="G31" s="75"/>
      <c r="H31" s="75"/>
      <c r="I31" s="75"/>
      <c r="J31" s="75"/>
      <c r="K31" s="65" t="s">
        <v>142</v>
      </c>
      <c r="L31" s="65"/>
      <c r="M31" s="65"/>
      <c r="N31" s="65"/>
      <c r="O31" s="68" t="str">
        <f aca="false">COUNTIF($K$25:$K$30,"Y")&amp;" / 6"</f>
        <v>0 / 6</v>
      </c>
      <c r="P31" s="68"/>
      <c r="Q31" s="68"/>
      <c r="R31" s="69" t="str">
        <f aca="false">IF(COUNTIF($K$25:$K$30,"Y")&gt;=6,"COMPLETE",IF(COUNTIF($K$25:$K$30,"Y")=0,"NOT STARTED","IN PROGRESS"))</f>
        <v>NOT STARTED</v>
      </c>
      <c r="S31" s="76" t="s">
        <v>143</v>
      </c>
      <c r="T31" s="60" t="str">
        <f aca="false">IFERROR(_xlfn.TEXTJOIN("   ·   ",TRUE(),IF(AND(INDEX($D$6:$D$23,((MATCH("N",$K$25:$K$30,0))-1)*3+1)&lt;&gt;"",INDEX($U$6:$U$23,((MATCH("N",$K$25:$K$30,0))-1)*3+1)&lt;&gt;"Y"),INDEX($D$6:$D$23,((MATCH("N",$K$25:$K$30,0))-1)*3+1),""),IF(AND(INDEX($D$6:$D$23,((MATCH("N",$K$25:$K$30,0))-1)*3+2)&lt;&gt;"",INDEX($U$6:$U$23,((MATCH("N",$K$25:$K$30,0))-1)*3+2)&lt;&gt;"Y"),INDEX($D$6:$D$23,((MATCH("N",$K$25:$K$30,0))-1)*3+2),""),IF(AND(INDEX($D$6:$D$23,((MATCH("N",$K$25:$K$30,0))-1)*3+3)&lt;&gt;"",INDEX($U$6:$U$23,((MATCH("N",$K$25:$K$30,0))-1)*3+3)&lt;&gt;"Y"),INDEX($D$6:$D$23,((MATCH("N",$K$25:$K$30,0))-1)*3+3),"")),"")</f>
        <v>Pain ≤ 2/10 with ADLs, full weight-bearing   ·   No night pain</v>
      </c>
      <c r="U31" s="60"/>
      <c r="V31" s="60"/>
      <c r="W31" s="60"/>
      <c r="X31" s="60"/>
      <c r="Y31" s="60"/>
      <c r="Z31" s="60"/>
      <c r="AA31" s="60"/>
    </row>
    <row r="33" customFormat="false" ht="19.5" hidden="false" customHeight="true" outlineLevel="0" collapsed="false">
      <c r="A33" s="62" t="s">
        <v>144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</row>
    <row r="34" customFormat="false" ht="31.5" hidden="false" customHeight="true" outlineLevel="0" collapsed="false">
      <c r="A34" s="55" t="s">
        <v>52</v>
      </c>
      <c r="B34" s="55" t="s">
        <v>75</v>
      </c>
      <c r="C34" s="77" t="s">
        <v>112</v>
      </c>
      <c r="D34" s="77"/>
      <c r="E34" s="77"/>
      <c r="F34" s="77" t="s">
        <v>145</v>
      </c>
      <c r="G34" s="77"/>
      <c r="H34" s="77"/>
      <c r="I34" s="77" t="s">
        <v>146</v>
      </c>
      <c r="J34" s="77"/>
      <c r="K34" s="77"/>
      <c r="L34" s="77" t="s">
        <v>147</v>
      </c>
      <c r="M34" s="77"/>
      <c r="N34" s="77"/>
      <c r="O34" s="77" t="s">
        <v>148</v>
      </c>
      <c r="P34" s="77"/>
      <c r="Q34" s="77"/>
      <c r="R34" s="77" t="s">
        <v>149</v>
      </c>
      <c r="S34" s="77"/>
      <c r="T34" s="77"/>
      <c r="U34" s="78" t="s">
        <v>150</v>
      </c>
      <c r="V34" s="78"/>
      <c r="W34" s="78"/>
      <c r="X34" s="78" t="s">
        <v>150</v>
      </c>
      <c r="Y34" s="78"/>
      <c r="Z34" s="78"/>
      <c r="AA34" s="55" t="s">
        <v>84</v>
      </c>
    </row>
    <row r="35" customFormat="false" ht="15.75" hidden="false" customHeight="true" outlineLevel="0" collapsed="false">
      <c r="A35" s="55"/>
      <c r="B35" s="55"/>
      <c r="C35" s="55" t="s">
        <v>12</v>
      </c>
      <c r="D35" s="55" t="s">
        <v>49</v>
      </c>
      <c r="E35" s="55" t="s">
        <v>50</v>
      </c>
      <c r="F35" s="55" t="s">
        <v>12</v>
      </c>
      <c r="G35" s="55" t="s">
        <v>49</v>
      </c>
      <c r="H35" s="55" t="s">
        <v>50</v>
      </c>
      <c r="I35" s="55" t="s">
        <v>12</v>
      </c>
      <c r="J35" s="55" t="s">
        <v>49</v>
      </c>
      <c r="K35" s="55" t="s">
        <v>50</v>
      </c>
      <c r="L35" s="55" t="s">
        <v>12</v>
      </c>
      <c r="M35" s="55" t="s">
        <v>49</v>
      </c>
      <c r="N35" s="55" t="s">
        <v>50</v>
      </c>
      <c r="O35" s="55" t="s">
        <v>12</v>
      </c>
      <c r="P35" s="55" t="s">
        <v>49</v>
      </c>
      <c r="Q35" s="55" t="s">
        <v>50</v>
      </c>
      <c r="R35" s="55" t="s">
        <v>12</v>
      </c>
      <c r="S35" s="55" t="s">
        <v>49</v>
      </c>
      <c r="T35" s="55" t="s">
        <v>50</v>
      </c>
      <c r="U35" s="55" t="s">
        <v>12</v>
      </c>
      <c r="V35" s="55" t="s">
        <v>49</v>
      </c>
      <c r="W35" s="55" t="s">
        <v>50</v>
      </c>
      <c r="X35" s="55" t="s">
        <v>12</v>
      </c>
      <c r="Y35" s="55" t="s">
        <v>49</v>
      </c>
      <c r="Z35" s="55" t="s">
        <v>50</v>
      </c>
      <c r="AA35" s="55"/>
    </row>
    <row r="36" customFormat="false" ht="15" hidden="false" customHeight="false" outlineLevel="0" collapsed="false">
      <c r="A36" s="56"/>
      <c r="B36" s="57" t="str">
        <f aca="false">IF(A36="","",IF(Dashboard!$L$5="","",INT((A36-Dashboard!$L$5)/7)+1))</f>
        <v/>
      </c>
      <c r="C36" s="67"/>
      <c r="D36" s="67"/>
      <c r="E36" s="79" t="str">
        <f aca="false">IFERROR(IF(OR(C36="",D36=""),"",IF(Dashboard!$K$5="L",IF(D36=0,"",C36/D36),IF(Dashboard!$K$5="R",IF(C36=0,"",D36/C36),IF(MAX(C36,D36)=0,"",MIN(C36,D36)/MAX(C36,D36))))),"")</f>
        <v/>
      </c>
      <c r="F36" s="67"/>
      <c r="G36" s="67"/>
      <c r="H36" s="79" t="str">
        <f aca="false">IFERROR(IF(OR(F36="",G36=""),"",IF(Dashboard!$K$5="L",IF(G36=0,"",F36/G36),IF(Dashboard!$K$5="R",IF(F36=0,"",G36/F36),IF(MAX(F36,G36)=0,"",MIN(F36,G36)/MAX(F36,G36))))),"")</f>
        <v/>
      </c>
      <c r="I36" s="67"/>
      <c r="J36" s="67"/>
      <c r="K36" s="79" t="str">
        <f aca="false">IFERROR(IF(OR(I36="",J36=""),"",IF(Dashboard!$K$5="L",IF(J36=0,"",I36/J36),IF(Dashboard!$K$5="R",IF(I36=0,"",J36/I36),IF(MAX(I36,J36)=0,"",MIN(I36,J36)/MAX(I36,J36))))),"")</f>
        <v/>
      </c>
      <c r="L36" s="67"/>
      <c r="M36" s="67"/>
      <c r="N36" s="79" t="str">
        <f aca="false">IFERROR(IF(OR(L36="",M36=""),"",IF(Dashboard!$K$5="L",IF(M36=0,"",L36/M36),IF(Dashboard!$K$5="R",IF(L36=0,"",M36/L36),IF(MAX(L36,M36)=0,"",MIN(L36,M36)/MAX(L36,M36))))),"")</f>
        <v/>
      </c>
      <c r="O36" s="67"/>
      <c r="P36" s="67"/>
      <c r="Q36" s="79" t="str">
        <f aca="false">IFERROR(IF(OR(O36="",P36=""),"",IF(Dashboard!$K$5="L",IF(P36=0,"",O36/P36),IF(Dashboard!$K$5="R",IF(O36=0,"",P36/O36),IF(MAX(O36,P36)=0,"",MIN(O36,P36)/MAX(O36,P36))))),"")</f>
        <v/>
      </c>
      <c r="R36" s="67"/>
      <c r="S36" s="67"/>
      <c r="T36" s="79" t="str">
        <f aca="false">IFERROR(IF(OR(R36="",S36=""),"",IF(Dashboard!$K$5="L",IF(S36=0,"",R36/S36),IF(Dashboard!$K$5="R",IF(R36=0,"",S36/R36),IF(MAX(R36,S36)=0,"",MIN(R36,S36)/MAX(R36,S36))))),"")</f>
        <v/>
      </c>
      <c r="U36" s="67"/>
      <c r="V36" s="67"/>
      <c r="W36" s="79" t="str">
        <f aca="false">IFERROR(IF(OR(U36="",V36=""),"",IF(Dashboard!$K$5="L",IF(V36=0,"",U36/V36),IF(Dashboard!$K$5="R",IF(U36=0,"",V36/U36),IF(MAX(U36,V36)=0,"",MIN(U36,V36)/MAX(U36,V36))))),"")</f>
        <v/>
      </c>
      <c r="X36" s="67"/>
      <c r="Y36" s="67"/>
      <c r="Z36" s="79" t="str">
        <f aca="false">IFERROR(IF(OR(X36="",Y36=""),"",IF(Dashboard!$K$5="L",IF(Y36=0,"",X36/Y36),IF(Dashboard!$K$5="R",IF(X36=0,"",Y36/X36),IF(MAX(X36,Y36)=0,"",MIN(X36,Y36)/MAX(X36,Y36))))),"")</f>
        <v/>
      </c>
      <c r="AA36" s="58"/>
    </row>
    <row r="37" customFormat="false" ht="15" hidden="false" customHeight="false" outlineLevel="0" collapsed="false">
      <c r="A37" s="56"/>
      <c r="B37" s="57" t="str">
        <f aca="false">IF(A37="","",IF(Dashboard!$L$5="","",INT((A37-Dashboard!$L$5)/7)+1))</f>
        <v/>
      </c>
      <c r="C37" s="67"/>
      <c r="D37" s="67"/>
      <c r="E37" s="79" t="str">
        <f aca="false">IFERROR(IF(OR(C37="",D37=""),"",IF(Dashboard!$K$5="L",IF(D37=0,"",C37/D37),IF(Dashboard!$K$5="R",IF(C37=0,"",D37/C37),IF(MAX(C37,D37)=0,"",MIN(C37,D37)/MAX(C37,D37))))),"")</f>
        <v/>
      </c>
      <c r="F37" s="67"/>
      <c r="G37" s="67"/>
      <c r="H37" s="79" t="str">
        <f aca="false">IFERROR(IF(OR(F37="",G37=""),"",IF(Dashboard!$K$5="L",IF(G37=0,"",F37/G37),IF(Dashboard!$K$5="R",IF(F37=0,"",G37/F37),IF(MAX(F37,G37)=0,"",MIN(F37,G37)/MAX(F37,G37))))),"")</f>
        <v/>
      </c>
      <c r="I37" s="67"/>
      <c r="J37" s="67"/>
      <c r="K37" s="79" t="str">
        <f aca="false">IFERROR(IF(OR(I37="",J37=""),"",IF(Dashboard!$K$5="L",IF(J37=0,"",I37/J37),IF(Dashboard!$K$5="R",IF(I37=0,"",J37/I37),IF(MAX(I37,J37)=0,"",MIN(I37,J37)/MAX(I37,J37))))),"")</f>
        <v/>
      </c>
      <c r="L37" s="67"/>
      <c r="M37" s="67"/>
      <c r="N37" s="79" t="str">
        <f aca="false">IFERROR(IF(OR(L37="",M37=""),"",IF(Dashboard!$K$5="L",IF(M37=0,"",L37/M37),IF(Dashboard!$K$5="R",IF(L37=0,"",M37/L37),IF(MAX(L37,M37)=0,"",MIN(L37,M37)/MAX(L37,M37))))),"")</f>
        <v/>
      </c>
      <c r="O37" s="67"/>
      <c r="P37" s="67"/>
      <c r="Q37" s="79" t="str">
        <f aca="false">IFERROR(IF(OR(O37="",P37=""),"",IF(Dashboard!$K$5="L",IF(P37=0,"",O37/P37),IF(Dashboard!$K$5="R",IF(O37=0,"",P37/O37),IF(MAX(O37,P37)=0,"",MIN(O37,P37)/MAX(O37,P37))))),"")</f>
        <v/>
      </c>
      <c r="R37" s="67"/>
      <c r="S37" s="67"/>
      <c r="T37" s="79" t="str">
        <f aca="false">IFERROR(IF(OR(R37="",S37=""),"",IF(Dashboard!$K$5="L",IF(S37=0,"",R37/S37),IF(Dashboard!$K$5="R",IF(R37=0,"",S37/R37),IF(MAX(R37,S37)=0,"",MIN(R37,S37)/MAX(R37,S37))))),"")</f>
        <v/>
      </c>
      <c r="U37" s="67"/>
      <c r="V37" s="67"/>
      <c r="W37" s="79" t="str">
        <f aca="false">IFERROR(IF(OR(U37="",V37=""),"",IF(Dashboard!$K$5="L",IF(V37=0,"",U37/V37),IF(Dashboard!$K$5="R",IF(U37=0,"",V37/U37),IF(MAX(U37,V37)=0,"",MIN(U37,V37)/MAX(U37,V37))))),"")</f>
        <v/>
      </c>
      <c r="X37" s="67"/>
      <c r="Y37" s="67"/>
      <c r="Z37" s="79" t="str">
        <f aca="false">IFERROR(IF(OR(X37="",Y37=""),"",IF(Dashboard!$K$5="L",IF(Y37=0,"",X37/Y37),IF(Dashboard!$K$5="R",IF(X37=0,"",Y37/X37),IF(MAX(X37,Y37)=0,"",MIN(X37,Y37)/MAX(X37,Y37))))),"")</f>
        <v/>
      </c>
      <c r="AA37" s="58"/>
    </row>
    <row r="38" customFormat="false" ht="15" hidden="false" customHeight="false" outlineLevel="0" collapsed="false">
      <c r="A38" s="56"/>
      <c r="B38" s="57" t="str">
        <f aca="false">IF(A38="","",IF(Dashboard!$L$5="","",INT((A38-Dashboard!$L$5)/7)+1))</f>
        <v/>
      </c>
      <c r="C38" s="67"/>
      <c r="D38" s="67"/>
      <c r="E38" s="79" t="str">
        <f aca="false">IFERROR(IF(OR(C38="",D38=""),"",IF(Dashboard!$K$5="L",IF(D38=0,"",C38/D38),IF(Dashboard!$K$5="R",IF(C38=0,"",D38/C38),IF(MAX(C38,D38)=0,"",MIN(C38,D38)/MAX(C38,D38))))),"")</f>
        <v/>
      </c>
      <c r="F38" s="67"/>
      <c r="G38" s="67"/>
      <c r="H38" s="79" t="str">
        <f aca="false">IFERROR(IF(OR(F38="",G38=""),"",IF(Dashboard!$K$5="L",IF(G38=0,"",F38/G38),IF(Dashboard!$K$5="R",IF(F38=0,"",G38/F38),IF(MAX(F38,G38)=0,"",MIN(F38,G38)/MAX(F38,G38))))),"")</f>
        <v/>
      </c>
      <c r="I38" s="67"/>
      <c r="J38" s="67"/>
      <c r="K38" s="79" t="str">
        <f aca="false">IFERROR(IF(OR(I38="",J38=""),"",IF(Dashboard!$K$5="L",IF(J38=0,"",I38/J38),IF(Dashboard!$K$5="R",IF(I38=0,"",J38/I38),IF(MAX(I38,J38)=0,"",MIN(I38,J38)/MAX(I38,J38))))),"")</f>
        <v/>
      </c>
      <c r="L38" s="67"/>
      <c r="M38" s="67"/>
      <c r="N38" s="79" t="str">
        <f aca="false">IFERROR(IF(OR(L38="",M38=""),"",IF(Dashboard!$K$5="L",IF(M38=0,"",L38/M38),IF(Dashboard!$K$5="R",IF(L38=0,"",M38/L38),IF(MAX(L38,M38)=0,"",MIN(L38,M38)/MAX(L38,M38))))),"")</f>
        <v/>
      </c>
      <c r="O38" s="67"/>
      <c r="P38" s="67"/>
      <c r="Q38" s="79" t="str">
        <f aca="false">IFERROR(IF(OR(O38="",P38=""),"",IF(Dashboard!$K$5="L",IF(P38=0,"",O38/P38),IF(Dashboard!$K$5="R",IF(O38=0,"",P38/O38),IF(MAX(O38,P38)=0,"",MIN(O38,P38)/MAX(O38,P38))))),"")</f>
        <v/>
      </c>
      <c r="R38" s="67"/>
      <c r="S38" s="67"/>
      <c r="T38" s="79" t="str">
        <f aca="false">IFERROR(IF(OR(R38="",S38=""),"",IF(Dashboard!$K$5="L",IF(S38=0,"",R38/S38),IF(Dashboard!$K$5="R",IF(R38=0,"",S38/R38),IF(MAX(R38,S38)=0,"",MIN(R38,S38)/MAX(R38,S38))))),"")</f>
        <v/>
      </c>
      <c r="U38" s="67"/>
      <c r="V38" s="67"/>
      <c r="W38" s="79" t="str">
        <f aca="false">IFERROR(IF(OR(U38="",V38=""),"",IF(Dashboard!$K$5="L",IF(V38=0,"",U38/V38),IF(Dashboard!$K$5="R",IF(U38=0,"",V38/U38),IF(MAX(U38,V38)=0,"",MIN(U38,V38)/MAX(U38,V38))))),"")</f>
        <v/>
      </c>
      <c r="X38" s="67"/>
      <c r="Y38" s="67"/>
      <c r="Z38" s="79" t="str">
        <f aca="false">IFERROR(IF(OR(X38="",Y38=""),"",IF(Dashboard!$K$5="L",IF(Y38=0,"",X38/Y38),IF(Dashboard!$K$5="R",IF(X38=0,"",Y38/X38),IF(MAX(X38,Y38)=0,"",MIN(X38,Y38)/MAX(X38,Y38))))),"")</f>
        <v/>
      </c>
      <c r="AA38" s="58"/>
    </row>
    <row r="39" customFormat="false" ht="15" hidden="false" customHeight="false" outlineLevel="0" collapsed="false">
      <c r="A39" s="56"/>
      <c r="B39" s="57" t="str">
        <f aca="false">IF(A39="","",IF(Dashboard!$L$5="","",INT((A39-Dashboard!$L$5)/7)+1))</f>
        <v/>
      </c>
      <c r="C39" s="67"/>
      <c r="D39" s="67"/>
      <c r="E39" s="79" t="str">
        <f aca="false">IFERROR(IF(OR(C39="",D39=""),"",IF(Dashboard!$K$5="L",IF(D39=0,"",C39/D39),IF(Dashboard!$K$5="R",IF(C39=0,"",D39/C39),IF(MAX(C39,D39)=0,"",MIN(C39,D39)/MAX(C39,D39))))),"")</f>
        <v/>
      </c>
      <c r="F39" s="67"/>
      <c r="G39" s="67"/>
      <c r="H39" s="79" t="str">
        <f aca="false">IFERROR(IF(OR(F39="",G39=""),"",IF(Dashboard!$K$5="L",IF(G39=0,"",F39/G39),IF(Dashboard!$K$5="R",IF(F39=0,"",G39/F39),IF(MAX(F39,G39)=0,"",MIN(F39,G39)/MAX(F39,G39))))),"")</f>
        <v/>
      </c>
      <c r="I39" s="67"/>
      <c r="J39" s="67"/>
      <c r="K39" s="79" t="str">
        <f aca="false">IFERROR(IF(OR(I39="",J39=""),"",IF(Dashboard!$K$5="L",IF(J39=0,"",I39/J39),IF(Dashboard!$K$5="R",IF(I39=0,"",J39/I39),IF(MAX(I39,J39)=0,"",MIN(I39,J39)/MAX(I39,J39))))),"")</f>
        <v/>
      </c>
      <c r="L39" s="67"/>
      <c r="M39" s="67"/>
      <c r="N39" s="79" t="str">
        <f aca="false">IFERROR(IF(OR(L39="",M39=""),"",IF(Dashboard!$K$5="L",IF(M39=0,"",L39/M39),IF(Dashboard!$K$5="R",IF(L39=0,"",M39/L39),IF(MAX(L39,M39)=0,"",MIN(L39,M39)/MAX(L39,M39))))),"")</f>
        <v/>
      </c>
      <c r="O39" s="67"/>
      <c r="P39" s="67"/>
      <c r="Q39" s="79" t="str">
        <f aca="false">IFERROR(IF(OR(O39="",P39=""),"",IF(Dashboard!$K$5="L",IF(P39=0,"",O39/P39),IF(Dashboard!$K$5="R",IF(O39=0,"",P39/O39),IF(MAX(O39,P39)=0,"",MIN(O39,P39)/MAX(O39,P39))))),"")</f>
        <v/>
      </c>
      <c r="R39" s="67"/>
      <c r="S39" s="67"/>
      <c r="T39" s="79" t="str">
        <f aca="false">IFERROR(IF(OR(R39="",S39=""),"",IF(Dashboard!$K$5="L",IF(S39=0,"",R39/S39),IF(Dashboard!$K$5="R",IF(R39=0,"",S39/R39),IF(MAX(R39,S39)=0,"",MIN(R39,S39)/MAX(R39,S39))))),"")</f>
        <v/>
      </c>
      <c r="U39" s="67"/>
      <c r="V39" s="67"/>
      <c r="W39" s="79" t="str">
        <f aca="false">IFERROR(IF(OR(U39="",V39=""),"",IF(Dashboard!$K$5="L",IF(V39=0,"",U39/V39),IF(Dashboard!$K$5="R",IF(U39=0,"",V39/U39),IF(MAX(U39,V39)=0,"",MIN(U39,V39)/MAX(U39,V39))))),"")</f>
        <v/>
      </c>
      <c r="X39" s="67"/>
      <c r="Y39" s="67"/>
      <c r="Z39" s="79" t="str">
        <f aca="false">IFERROR(IF(OR(X39="",Y39=""),"",IF(Dashboard!$K$5="L",IF(Y39=0,"",X39/Y39),IF(Dashboard!$K$5="R",IF(X39=0,"",Y39/X39),IF(MAX(X39,Y39)=0,"",MIN(X39,Y39)/MAX(X39,Y39))))),"")</f>
        <v/>
      </c>
      <c r="AA39" s="58"/>
    </row>
    <row r="40" customFormat="false" ht="15" hidden="false" customHeight="false" outlineLevel="0" collapsed="false">
      <c r="A40" s="56"/>
      <c r="B40" s="57" t="str">
        <f aca="false">IF(A40="","",IF(Dashboard!$L$5="","",INT((A40-Dashboard!$L$5)/7)+1))</f>
        <v/>
      </c>
      <c r="C40" s="67"/>
      <c r="D40" s="67"/>
      <c r="E40" s="79" t="str">
        <f aca="false">IFERROR(IF(OR(C40="",D40=""),"",IF(Dashboard!$K$5="L",IF(D40=0,"",C40/D40),IF(Dashboard!$K$5="R",IF(C40=0,"",D40/C40),IF(MAX(C40,D40)=0,"",MIN(C40,D40)/MAX(C40,D40))))),"")</f>
        <v/>
      </c>
      <c r="F40" s="67"/>
      <c r="G40" s="67"/>
      <c r="H40" s="79" t="str">
        <f aca="false">IFERROR(IF(OR(F40="",G40=""),"",IF(Dashboard!$K$5="L",IF(G40=0,"",F40/G40),IF(Dashboard!$K$5="R",IF(F40=0,"",G40/F40),IF(MAX(F40,G40)=0,"",MIN(F40,G40)/MAX(F40,G40))))),"")</f>
        <v/>
      </c>
      <c r="I40" s="67"/>
      <c r="J40" s="67"/>
      <c r="K40" s="79" t="str">
        <f aca="false">IFERROR(IF(OR(I40="",J40=""),"",IF(Dashboard!$K$5="L",IF(J40=0,"",I40/J40),IF(Dashboard!$K$5="R",IF(I40=0,"",J40/I40),IF(MAX(I40,J40)=0,"",MIN(I40,J40)/MAX(I40,J40))))),"")</f>
        <v/>
      </c>
      <c r="L40" s="67"/>
      <c r="M40" s="67"/>
      <c r="N40" s="79" t="str">
        <f aca="false">IFERROR(IF(OR(L40="",M40=""),"",IF(Dashboard!$K$5="L",IF(M40=0,"",L40/M40),IF(Dashboard!$K$5="R",IF(L40=0,"",M40/L40),IF(MAX(L40,M40)=0,"",MIN(L40,M40)/MAX(L40,M40))))),"")</f>
        <v/>
      </c>
      <c r="O40" s="67"/>
      <c r="P40" s="67"/>
      <c r="Q40" s="79" t="str">
        <f aca="false">IFERROR(IF(OR(O40="",P40=""),"",IF(Dashboard!$K$5="L",IF(P40=0,"",O40/P40),IF(Dashboard!$K$5="R",IF(O40=0,"",P40/O40),IF(MAX(O40,P40)=0,"",MIN(O40,P40)/MAX(O40,P40))))),"")</f>
        <v/>
      </c>
      <c r="R40" s="67"/>
      <c r="S40" s="67"/>
      <c r="T40" s="79" t="str">
        <f aca="false">IFERROR(IF(OR(R40="",S40=""),"",IF(Dashboard!$K$5="L",IF(S40=0,"",R40/S40),IF(Dashboard!$K$5="R",IF(R40=0,"",S40/R40),IF(MAX(R40,S40)=0,"",MIN(R40,S40)/MAX(R40,S40))))),"")</f>
        <v/>
      </c>
      <c r="U40" s="67"/>
      <c r="V40" s="67"/>
      <c r="W40" s="79" t="str">
        <f aca="false">IFERROR(IF(OR(U40="",V40=""),"",IF(Dashboard!$K$5="L",IF(V40=0,"",U40/V40),IF(Dashboard!$K$5="R",IF(U40=0,"",V40/U40),IF(MAX(U40,V40)=0,"",MIN(U40,V40)/MAX(U40,V40))))),"")</f>
        <v/>
      </c>
      <c r="X40" s="67"/>
      <c r="Y40" s="67"/>
      <c r="Z40" s="79" t="str">
        <f aca="false">IFERROR(IF(OR(X40="",Y40=""),"",IF(Dashboard!$K$5="L",IF(Y40=0,"",X40/Y40),IF(Dashboard!$K$5="R",IF(X40=0,"",Y40/X40),IF(MAX(X40,Y40)=0,"",MIN(X40,Y40)/MAX(X40,Y40))))),"")</f>
        <v/>
      </c>
      <c r="AA40" s="58"/>
    </row>
    <row r="41" customFormat="false" ht="15" hidden="false" customHeight="false" outlineLevel="0" collapsed="false">
      <c r="A41" s="56"/>
      <c r="B41" s="57" t="str">
        <f aca="false">IF(A41="","",IF(Dashboard!$L$5="","",INT((A41-Dashboard!$L$5)/7)+1))</f>
        <v/>
      </c>
      <c r="C41" s="67"/>
      <c r="D41" s="67"/>
      <c r="E41" s="79" t="str">
        <f aca="false">IFERROR(IF(OR(C41="",D41=""),"",IF(Dashboard!$K$5="L",IF(D41=0,"",C41/D41),IF(Dashboard!$K$5="R",IF(C41=0,"",D41/C41),IF(MAX(C41,D41)=0,"",MIN(C41,D41)/MAX(C41,D41))))),"")</f>
        <v/>
      </c>
      <c r="F41" s="67"/>
      <c r="G41" s="67"/>
      <c r="H41" s="79" t="str">
        <f aca="false">IFERROR(IF(OR(F41="",G41=""),"",IF(Dashboard!$K$5="L",IF(G41=0,"",F41/G41),IF(Dashboard!$K$5="R",IF(F41=0,"",G41/F41),IF(MAX(F41,G41)=0,"",MIN(F41,G41)/MAX(F41,G41))))),"")</f>
        <v/>
      </c>
      <c r="I41" s="67"/>
      <c r="J41" s="67"/>
      <c r="K41" s="79" t="str">
        <f aca="false">IFERROR(IF(OR(I41="",J41=""),"",IF(Dashboard!$K$5="L",IF(J41=0,"",I41/J41),IF(Dashboard!$K$5="R",IF(I41=0,"",J41/I41),IF(MAX(I41,J41)=0,"",MIN(I41,J41)/MAX(I41,J41))))),"")</f>
        <v/>
      </c>
      <c r="L41" s="67"/>
      <c r="M41" s="67"/>
      <c r="N41" s="79" t="str">
        <f aca="false">IFERROR(IF(OR(L41="",M41=""),"",IF(Dashboard!$K$5="L",IF(M41=0,"",L41/M41),IF(Dashboard!$K$5="R",IF(L41=0,"",M41/L41),IF(MAX(L41,M41)=0,"",MIN(L41,M41)/MAX(L41,M41))))),"")</f>
        <v/>
      </c>
      <c r="O41" s="67"/>
      <c r="P41" s="67"/>
      <c r="Q41" s="79" t="str">
        <f aca="false">IFERROR(IF(OR(O41="",P41=""),"",IF(Dashboard!$K$5="L",IF(P41=0,"",O41/P41),IF(Dashboard!$K$5="R",IF(O41=0,"",P41/O41),IF(MAX(O41,P41)=0,"",MIN(O41,P41)/MAX(O41,P41))))),"")</f>
        <v/>
      </c>
      <c r="R41" s="67"/>
      <c r="S41" s="67"/>
      <c r="T41" s="79" t="str">
        <f aca="false">IFERROR(IF(OR(R41="",S41=""),"",IF(Dashboard!$K$5="L",IF(S41=0,"",R41/S41),IF(Dashboard!$K$5="R",IF(R41=0,"",S41/R41),IF(MAX(R41,S41)=0,"",MIN(R41,S41)/MAX(R41,S41))))),"")</f>
        <v/>
      </c>
      <c r="U41" s="67"/>
      <c r="V41" s="67"/>
      <c r="W41" s="79" t="str">
        <f aca="false">IFERROR(IF(OR(U41="",V41=""),"",IF(Dashboard!$K$5="L",IF(V41=0,"",U41/V41),IF(Dashboard!$K$5="R",IF(U41=0,"",V41/U41),IF(MAX(U41,V41)=0,"",MIN(U41,V41)/MAX(U41,V41))))),"")</f>
        <v/>
      </c>
      <c r="X41" s="67"/>
      <c r="Y41" s="67"/>
      <c r="Z41" s="79" t="str">
        <f aca="false">IFERROR(IF(OR(X41="",Y41=""),"",IF(Dashboard!$K$5="L",IF(Y41=0,"",X41/Y41),IF(Dashboard!$K$5="R",IF(X41=0,"",Y41/X41),IF(MAX(X41,Y41)=0,"",MIN(X41,Y41)/MAX(X41,Y41))))),"")</f>
        <v/>
      </c>
      <c r="AA41" s="58"/>
    </row>
    <row r="42" customFormat="false" ht="15" hidden="false" customHeight="false" outlineLevel="0" collapsed="false">
      <c r="A42" s="56"/>
      <c r="B42" s="57" t="str">
        <f aca="false">IF(A42="","",IF(Dashboard!$L$5="","",INT((A42-Dashboard!$L$5)/7)+1))</f>
        <v/>
      </c>
      <c r="C42" s="67"/>
      <c r="D42" s="67"/>
      <c r="E42" s="79" t="str">
        <f aca="false">IFERROR(IF(OR(C42="",D42=""),"",IF(Dashboard!$K$5="L",IF(D42=0,"",C42/D42),IF(Dashboard!$K$5="R",IF(C42=0,"",D42/C42),IF(MAX(C42,D42)=0,"",MIN(C42,D42)/MAX(C42,D42))))),"")</f>
        <v/>
      </c>
      <c r="F42" s="67"/>
      <c r="G42" s="67"/>
      <c r="H42" s="79" t="str">
        <f aca="false">IFERROR(IF(OR(F42="",G42=""),"",IF(Dashboard!$K$5="L",IF(G42=0,"",F42/G42),IF(Dashboard!$K$5="R",IF(F42=0,"",G42/F42),IF(MAX(F42,G42)=0,"",MIN(F42,G42)/MAX(F42,G42))))),"")</f>
        <v/>
      </c>
      <c r="I42" s="67"/>
      <c r="J42" s="67"/>
      <c r="K42" s="79" t="str">
        <f aca="false">IFERROR(IF(OR(I42="",J42=""),"",IF(Dashboard!$K$5="L",IF(J42=0,"",I42/J42),IF(Dashboard!$K$5="R",IF(I42=0,"",J42/I42),IF(MAX(I42,J42)=0,"",MIN(I42,J42)/MAX(I42,J42))))),"")</f>
        <v/>
      </c>
      <c r="L42" s="67"/>
      <c r="M42" s="67"/>
      <c r="N42" s="79" t="str">
        <f aca="false">IFERROR(IF(OR(L42="",M42=""),"",IF(Dashboard!$K$5="L",IF(M42=0,"",L42/M42),IF(Dashboard!$K$5="R",IF(L42=0,"",M42/L42),IF(MAX(L42,M42)=0,"",MIN(L42,M42)/MAX(L42,M42))))),"")</f>
        <v/>
      </c>
      <c r="O42" s="67"/>
      <c r="P42" s="67"/>
      <c r="Q42" s="79" t="str">
        <f aca="false">IFERROR(IF(OR(O42="",P42=""),"",IF(Dashboard!$K$5="L",IF(P42=0,"",O42/P42),IF(Dashboard!$K$5="R",IF(O42=0,"",P42/O42),IF(MAX(O42,P42)=0,"",MIN(O42,P42)/MAX(O42,P42))))),"")</f>
        <v/>
      </c>
      <c r="R42" s="67"/>
      <c r="S42" s="67"/>
      <c r="T42" s="79" t="str">
        <f aca="false">IFERROR(IF(OR(R42="",S42=""),"",IF(Dashboard!$K$5="L",IF(S42=0,"",R42/S42),IF(Dashboard!$K$5="R",IF(R42=0,"",S42/R42),IF(MAX(R42,S42)=0,"",MIN(R42,S42)/MAX(R42,S42))))),"")</f>
        <v/>
      </c>
      <c r="U42" s="67"/>
      <c r="V42" s="67"/>
      <c r="W42" s="79" t="str">
        <f aca="false">IFERROR(IF(OR(U42="",V42=""),"",IF(Dashboard!$K$5="L",IF(V42=0,"",U42/V42),IF(Dashboard!$K$5="R",IF(U42=0,"",V42/U42),IF(MAX(U42,V42)=0,"",MIN(U42,V42)/MAX(U42,V42))))),"")</f>
        <v/>
      </c>
      <c r="X42" s="67"/>
      <c r="Y42" s="67"/>
      <c r="Z42" s="79" t="str">
        <f aca="false">IFERROR(IF(OR(X42="",Y42=""),"",IF(Dashboard!$K$5="L",IF(Y42=0,"",X42/Y42),IF(Dashboard!$K$5="R",IF(X42=0,"",Y42/X42),IF(MAX(X42,Y42)=0,"",MIN(X42,Y42)/MAX(X42,Y42))))),"")</f>
        <v/>
      </c>
      <c r="AA42" s="58"/>
    </row>
    <row r="43" customFormat="false" ht="15" hidden="false" customHeight="false" outlineLevel="0" collapsed="false">
      <c r="A43" s="56"/>
      <c r="B43" s="57" t="str">
        <f aca="false">IF(A43="","",IF(Dashboard!$L$5="","",INT((A43-Dashboard!$L$5)/7)+1))</f>
        <v/>
      </c>
      <c r="C43" s="67"/>
      <c r="D43" s="67"/>
      <c r="E43" s="79" t="str">
        <f aca="false">IFERROR(IF(OR(C43="",D43=""),"",IF(Dashboard!$K$5="L",IF(D43=0,"",C43/D43),IF(Dashboard!$K$5="R",IF(C43=0,"",D43/C43),IF(MAX(C43,D43)=0,"",MIN(C43,D43)/MAX(C43,D43))))),"")</f>
        <v/>
      </c>
      <c r="F43" s="67"/>
      <c r="G43" s="67"/>
      <c r="H43" s="79" t="str">
        <f aca="false">IFERROR(IF(OR(F43="",G43=""),"",IF(Dashboard!$K$5="L",IF(G43=0,"",F43/G43),IF(Dashboard!$K$5="R",IF(F43=0,"",G43/F43),IF(MAX(F43,G43)=0,"",MIN(F43,G43)/MAX(F43,G43))))),"")</f>
        <v/>
      </c>
      <c r="I43" s="67"/>
      <c r="J43" s="67"/>
      <c r="K43" s="79" t="str">
        <f aca="false">IFERROR(IF(OR(I43="",J43=""),"",IF(Dashboard!$K$5="L",IF(J43=0,"",I43/J43),IF(Dashboard!$K$5="R",IF(I43=0,"",J43/I43),IF(MAX(I43,J43)=0,"",MIN(I43,J43)/MAX(I43,J43))))),"")</f>
        <v/>
      </c>
      <c r="L43" s="67"/>
      <c r="M43" s="67"/>
      <c r="N43" s="79" t="str">
        <f aca="false">IFERROR(IF(OR(L43="",M43=""),"",IF(Dashboard!$K$5="L",IF(M43=0,"",L43/M43),IF(Dashboard!$K$5="R",IF(L43=0,"",M43/L43),IF(MAX(L43,M43)=0,"",MIN(L43,M43)/MAX(L43,M43))))),"")</f>
        <v/>
      </c>
      <c r="O43" s="67"/>
      <c r="P43" s="67"/>
      <c r="Q43" s="79" t="str">
        <f aca="false">IFERROR(IF(OR(O43="",P43=""),"",IF(Dashboard!$K$5="L",IF(P43=0,"",O43/P43),IF(Dashboard!$K$5="R",IF(O43=0,"",P43/O43),IF(MAX(O43,P43)=0,"",MIN(O43,P43)/MAX(O43,P43))))),"")</f>
        <v/>
      </c>
      <c r="R43" s="67"/>
      <c r="S43" s="67"/>
      <c r="T43" s="79" t="str">
        <f aca="false">IFERROR(IF(OR(R43="",S43=""),"",IF(Dashboard!$K$5="L",IF(S43=0,"",R43/S43),IF(Dashboard!$K$5="R",IF(R43=0,"",S43/R43),IF(MAX(R43,S43)=0,"",MIN(R43,S43)/MAX(R43,S43))))),"")</f>
        <v/>
      </c>
      <c r="U43" s="67"/>
      <c r="V43" s="67"/>
      <c r="W43" s="79" t="str">
        <f aca="false">IFERROR(IF(OR(U43="",V43=""),"",IF(Dashboard!$K$5="L",IF(V43=0,"",U43/V43),IF(Dashboard!$K$5="R",IF(U43=0,"",V43/U43),IF(MAX(U43,V43)=0,"",MIN(U43,V43)/MAX(U43,V43))))),"")</f>
        <v/>
      </c>
      <c r="X43" s="67"/>
      <c r="Y43" s="67"/>
      <c r="Z43" s="79" t="str">
        <f aca="false">IFERROR(IF(OR(X43="",Y43=""),"",IF(Dashboard!$K$5="L",IF(Y43=0,"",X43/Y43),IF(Dashboard!$K$5="R",IF(X43=0,"",Y43/X43),IF(MAX(X43,Y43)=0,"",MIN(X43,Y43)/MAX(X43,Y43))))),"")</f>
        <v/>
      </c>
      <c r="AA43" s="58"/>
    </row>
    <row r="44" customFormat="false" ht="15" hidden="false" customHeight="false" outlineLevel="0" collapsed="false">
      <c r="A44" s="56"/>
      <c r="B44" s="57" t="str">
        <f aca="false">IF(A44="","",IF(Dashboard!$L$5="","",INT((A44-Dashboard!$L$5)/7)+1))</f>
        <v/>
      </c>
      <c r="C44" s="67"/>
      <c r="D44" s="67"/>
      <c r="E44" s="79" t="str">
        <f aca="false">IFERROR(IF(OR(C44="",D44=""),"",IF(Dashboard!$K$5="L",IF(D44=0,"",C44/D44),IF(Dashboard!$K$5="R",IF(C44=0,"",D44/C44),IF(MAX(C44,D44)=0,"",MIN(C44,D44)/MAX(C44,D44))))),"")</f>
        <v/>
      </c>
      <c r="F44" s="67"/>
      <c r="G44" s="67"/>
      <c r="H44" s="79" t="str">
        <f aca="false">IFERROR(IF(OR(F44="",G44=""),"",IF(Dashboard!$K$5="L",IF(G44=0,"",F44/G44),IF(Dashboard!$K$5="R",IF(F44=0,"",G44/F44),IF(MAX(F44,G44)=0,"",MIN(F44,G44)/MAX(F44,G44))))),"")</f>
        <v/>
      </c>
      <c r="I44" s="67"/>
      <c r="J44" s="67"/>
      <c r="K44" s="79" t="str">
        <f aca="false">IFERROR(IF(OR(I44="",J44=""),"",IF(Dashboard!$K$5="L",IF(J44=0,"",I44/J44),IF(Dashboard!$K$5="R",IF(I44=0,"",J44/I44),IF(MAX(I44,J44)=0,"",MIN(I44,J44)/MAX(I44,J44))))),"")</f>
        <v/>
      </c>
      <c r="L44" s="67"/>
      <c r="M44" s="67"/>
      <c r="N44" s="79" t="str">
        <f aca="false">IFERROR(IF(OR(L44="",M44=""),"",IF(Dashboard!$K$5="L",IF(M44=0,"",L44/M44),IF(Dashboard!$K$5="R",IF(L44=0,"",M44/L44),IF(MAX(L44,M44)=0,"",MIN(L44,M44)/MAX(L44,M44))))),"")</f>
        <v/>
      </c>
      <c r="O44" s="67"/>
      <c r="P44" s="67"/>
      <c r="Q44" s="79" t="str">
        <f aca="false">IFERROR(IF(OR(O44="",P44=""),"",IF(Dashboard!$K$5="L",IF(P44=0,"",O44/P44),IF(Dashboard!$K$5="R",IF(O44=0,"",P44/O44),IF(MAX(O44,P44)=0,"",MIN(O44,P44)/MAX(O44,P44))))),"")</f>
        <v/>
      </c>
      <c r="R44" s="67"/>
      <c r="S44" s="67"/>
      <c r="T44" s="79" t="str">
        <f aca="false">IFERROR(IF(OR(R44="",S44=""),"",IF(Dashboard!$K$5="L",IF(S44=0,"",R44/S44),IF(Dashboard!$K$5="R",IF(R44=0,"",S44/R44),IF(MAX(R44,S44)=0,"",MIN(R44,S44)/MAX(R44,S44))))),"")</f>
        <v/>
      </c>
      <c r="U44" s="67"/>
      <c r="V44" s="67"/>
      <c r="W44" s="79" t="str">
        <f aca="false">IFERROR(IF(OR(U44="",V44=""),"",IF(Dashboard!$K$5="L",IF(V44=0,"",U44/V44),IF(Dashboard!$K$5="R",IF(U44=0,"",V44/U44),IF(MAX(U44,V44)=0,"",MIN(U44,V44)/MAX(U44,V44))))),"")</f>
        <v/>
      </c>
      <c r="X44" s="67"/>
      <c r="Y44" s="67"/>
      <c r="Z44" s="79" t="str">
        <f aca="false">IFERROR(IF(OR(X44="",Y44=""),"",IF(Dashboard!$K$5="L",IF(Y44=0,"",X44/Y44),IF(Dashboard!$K$5="R",IF(X44=0,"",Y44/X44),IF(MAX(X44,Y44)=0,"",MIN(X44,Y44)/MAX(X44,Y44))))),"")</f>
        <v/>
      </c>
      <c r="AA44" s="58"/>
    </row>
    <row r="45" customFormat="false" ht="15" hidden="false" customHeight="false" outlineLevel="0" collapsed="false">
      <c r="A45" s="56"/>
      <c r="B45" s="57" t="str">
        <f aca="false">IF(A45="","",IF(Dashboard!$L$5="","",INT((A45-Dashboard!$L$5)/7)+1))</f>
        <v/>
      </c>
      <c r="C45" s="67"/>
      <c r="D45" s="67"/>
      <c r="E45" s="79" t="str">
        <f aca="false">IFERROR(IF(OR(C45="",D45=""),"",IF(Dashboard!$K$5="L",IF(D45=0,"",C45/D45),IF(Dashboard!$K$5="R",IF(C45=0,"",D45/C45),IF(MAX(C45,D45)=0,"",MIN(C45,D45)/MAX(C45,D45))))),"")</f>
        <v/>
      </c>
      <c r="F45" s="67"/>
      <c r="G45" s="67"/>
      <c r="H45" s="79" t="str">
        <f aca="false">IFERROR(IF(OR(F45="",G45=""),"",IF(Dashboard!$K$5="L",IF(G45=0,"",F45/G45),IF(Dashboard!$K$5="R",IF(F45=0,"",G45/F45),IF(MAX(F45,G45)=0,"",MIN(F45,G45)/MAX(F45,G45))))),"")</f>
        <v/>
      </c>
      <c r="I45" s="67"/>
      <c r="J45" s="67"/>
      <c r="K45" s="79" t="str">
        <f aca="false">IFERROR(IF(OR(I45="",J45=""),"",IF(Dashboard!$K$5="L",IF(J45=0,"",I45/J45),IF(Dashboard!$K$5="R",IF(I45=0,"",J45/I45),IF(MAX(I45,J45)=0,"",MIN(I45,J45)/MAX(I45,J45))))),"")</f>
        <v/>
      </c>
      <c r="L45" s="67"/>
      <c r="M45" s="67"/>
      <c r="N45" s="79" t="str">
        <f aca="false">IFERROR(IF(OR(L45="",M45=""),"",IF(Dashboard!$K$5="L",IF(M45=0,"",L45/M45),IF(Dashboard!$K$5="R",IF(L45=0,"",M45/L45),IF(MAX(L45,M45)=0,"",MIN(L45,M45)/MAX(L45,M45))))),"")</f>
        <v/>
      </c>
      <c r="O45" s="67"/>
      <c r="P45" s="67"/>
      <c r="Q45" s="79" t="str">
        <f aca="false">IFERROR(IF(OR(O45="",P45=""),"",IF(Dashboard!$K$5="L",IF(P45=0,"",O45/P45),IF(Dashboard!$K$5="R",IF(O45=0,"",P45/O45),IF(MAX(O45,P45)=0,"",MIN(O45,P45)/MAX(O45,P45))))),"")</f>
        <v/>
      </c>
      <c r="R45" s="67"/>
      <c r="S45" s="67"/>
      <c r="T45" s="79" t="str">
        <f aca="false">IFERROR(IF(OR(R45="",S45=""),"",IF(Dashboard!$K$5="L",IF(S45=0,"",R45/S45),IF(Dashboard!$K$5="R",IF(R45=0,"",S45/R45),IF(MAX(R45,S45)=0,"",MIN(R45,S45)/MAX(R45,S45))))),"")</f>
        <v/>
      </c>
      <c r="U45" s="67"/>
      <c r="V45" s="67"/>
      <c r="W45" s="79" t="str">
        <f aca="false">IFERROR(IF(OR(U45="",V45=""),"",IF(Dashboard!$K$5="L",IF(V45=0,"",U45/V45),IF(Dashboard!$K$5="R",IF(U45=0,"",V45/U45),IF(MAX(U45,V45)=0,"",MIN(U45,V45)/MAX(U45,V45))))),"")</f>
        <v/>
      </c>
      <c r="X45" s="67"/>
      <c r="Y45" s="67"/>
      <c r="Z45" s="79" t="str">
        <f aca="false">IFERROR(IF(OR(X45="",Y45=""),"",IF(Dashboard!$K$5="L",IF(Y45=0,"",X45/Y45),IF(Dashboard!$K$5="R",IF(X45=0,"",Y45/X45),IF(MAX(X45,Y45)=0,"",MIN(X45,Y45)/MAX(X45,Y45))))),"")</f>
        <v/>
      </c>
      <c r="AA45" s="58"/>
    </row>
    <row r="46" customFormat="false" ht="15" hidden="false" customHeight="false" outlineLevel="0" collapsed="false">
      <c r="A46" s="56"/>
      <c r="B46" s="57" t="str">
        <f aca="false">IF(A46="","",IF(Dashboard!$L$5="","",INT((A46-Dashboard!$L$5)/7)+1))</f>
        <v/>
      </c>
      <c r="C46" s="67"/>
      <c r="D46" s="67"/>
      <c r="E46" s="79" t="str">
        <f aca="false">IFERROR(IF(OR(C46="",D46=""),"",IF(Dashboard!$K$5="L",IF(D46=0,"",C46/D46),IF(Dashboard!$K$5="R",IF(C46=0,"",D46/C46),IF(MAX(C46,D46)=0,"",MIN(C46,D46)/MAX(C46,D46))))),"")</f>
        <v/>
      </c>
      <c r="F46" s="67"/>
      <c r="G46" s="67"/>
      <c r="H46" s="79" t="str">
        <f aca="false">IFERROR(IF(OR(F46="",G46=""),"",IF(Dashboard!$K$5="L",IF(G46=0,"",F46/G46),IF(Dashboard!$K$5="R",IF(F46=0,"",G46/F46),IF(MAX(F46,G46)=0,"",MIN(F46,G46)/MAX(F46,G46))))),"")</f>
        <v/>
      </c>
      <c r="I46" s="67"/>
      <c r="J46" s="67"/>
      <c r="K46" s="79" t="str">
        <f aca="false">IFERROR(IF(OR(I46="",J46=""),"",IF(Dashboard!$K$5="L",IF(J46=0,"",I46/J46),IF(Dashboard!$K$5="R",IF(I46=0,"",J46/I46),IF(MAX(I46,J46)=0,"",MIN(I46,J46)/MAX(I46,J46))))),"")</f>
        <v/>
      </c>
      <c r="L46" s="67"/>
      <c r="M46" s="67"/>
      <c r="N46" s="79" t="str">
        <f aca="false">IFERROR(IF(OR(L46="",M46=""),"",IF(Dashboard!$K$5="L",IF(M46=0,"",L46/M46),IF(Dashboard!$K$5="R",IF(L46=0,"",M46/L46),IF(MAX(L46,M46)=0,"",MIN(L46,M46)/MAX(L46,M46))))),"")</f>
        <v/>
      </c>
      <c r="O46" s="67"/>
      <c r="P46" s="67"/>
      <c r="Q46" s="79" t="str">
        <f aca="false">IFERROR(IF(OR(O46="",P46=""),"",IF(Dashboard!$K$5="L",IF(P46=0,"",O46/P46),IF(Dashboard!$K$5="R",IF(O46=0,"",P46/O46),IF(MAX(O46,P46)=0,"",MIN(O46,P46)/MAX(O46,P46))))),"")</f>
        <v/>
      </c>
      <c r="R46" s="67"/>
      <c r="S46" s="67"/>
      <c r="T46" s="79" t="str">
        <f aca="false">IFERROR(IF(OR(R46="",S46=""),"",IF(Dashboard!$K$5="L",IF(S46=0,"",R46/S46),IF(Dashboard!$K$5="R",IF(R46=0,"",S46/R46),IF(MAX(R46,S46)=0,"",MIN(R46,S46)/MAX(R46,S46))))),"")</f>
        <v/>
      </c>
      <c r="U46" s="67"/>
      <c r="V46" s="67"/>
      <c r="W46" s="79" t="str">
        <f aca="false">IFERROR(IF(OR(U46="",V46=""),"",IF(Dashboard!$K$5="L",IF(V46=0,"",U46/V46),IF(Dashboard!$K$5="R",IF(U46=0,"",V46/U46),IF(MAX(U46,V46)=0,"",MIN(U46,V46)/MAX(U46,V46))))),"")</f>
        <v/>
      </c>
      <c r="X46" s="67"/>
      <c r="Y46" s="67"/>
      <c r="Z46" s="79" t="str">
        <f aca="false">IFERROR(IF(OR(X46="",Y46=""),"",IF(Dashboard!$K$5="L",IF(Y46=0,"",X46/Y46),IF(Dashboard!$K$5="R",IF(X46=0,"",Y46/X46),IF(MAX(X46,Y46)=0,"",MIN(X46,Y46)/MAX(X46,Y46))))),"")</f>
        <v/>
      </c>
      <c r="AA46" s="58"/>
    </row>
    <row r="47" customFormat="false" ht="15" hidden="false" customHeight="false" outlineLevel="0" collapsed="false">
      <c r="A47" s="56"/>
      <c r="B47" s="57" t="str">
        <f aca="false">IF(A47="","",IF(Dashboard!$L$5="","",INT((A47-Dashboard!$L$5)/7)+1))</f>
        <v/>
      </c>
      <c r="C47" s="67"/>
      <c r="D47" s="67"/>
      <c r="E47" s="79" t="str">
        <f aca="false">IFERROR(IF(OR(C47="",D47=""),"",IF(Dashboard!$K$5="L",IF(D47=0,"",C47/D47),IF(Dashboard!$K$5="R",IF(C47=0,"",D47/C47),IF(MAX(C47,D47)=0,"",MIN(C47,D47)/MAX(C47,D47))))),"")</f>
        <v/>
      </c>
      <c r="F47" s="67"/>
      <c r="G47" s="67"/>
      <c r="H47" s="79" t="str">
        <f aca="false">IFERROR(IF(OR(F47="",G47=""),"",IF(Dashboard!$K$5="L",IF(G47=0,"",F47/G47),IF(Dashboard!$K$5="R",IF(F47=0,"",G47/F47),IF(MAX(F47,G47)=0,"",MIN(F47,G47)/MAX(F47,G47))))),"")</f>
        <v/>
      </c>
      <c r="I47" s="67"/>
      <c r="J47" s="67"/>
      <c r="K47" s="79" t="str">
        <f aca="false">IFERROR(IF(OR(I47="",J47=""),"",IF(Dashboard!$K$5="L",IF(J47=0,"",I47/J47),IF(Dashboard!$K$5="R",IF(I47=0,"",J47/I47),IF(MAX(I47,J47)=0,"",MIN(I47,J47)/MAX(I47,J47))))),"")</f>
        <v/>
      </c>
      <c r="L47" s="67"/>
      <c r="M47" s="67"/>
      <c r="N47" s="79" t="str">
        <f aca="false">IFERROR(IF(OR(L47="",M47=""),"",IF(Dashboard!$K$5="L",IF(M47=0,"",L47/M47),IF(Dashboard!$K$5="R",IF(L47=0,"",M47/L47),IF(MAX(L47,M47)=0,"",MIN(L47,M47)/MAX(L47,M47))))),"")</f>
        <v/>
      </c>
      <c r="O47" s="67"/>
      <c r="P47" s="67"/>
      <c r="Q47" s="79" t="str">
        <f aca="false">IFERROR(IF(OR(O47="",P47=""),"",IF(Dashboard!$K$5="L",IF(P47=0,"",O47/P47),IF(Dashboard!$K$5="R",IF(O47=0,"",P47/O47),IF(MAX(O47,P47)=0,"",MIN(O47,P47)/MAX(O47,P47))))),"")</f>
        <v/>
      </c>
      <c r="R47" s="67"/>
      <c r="S47" s="67"/>
      <c r="T47" s="79" t="str">
        <f aca="false">IFERROR(IF(OR(R47="",S47=""),"",IF(Dashboard!$K$5="L",IF(S47=0,"",R47/S47),IF(Dashboard!$K$5="R",IF(R47=0,"",S47/R47),IF(MAX(R47,S47)=0,"",MIN(R47,S47)/MAX(R47,S47))))),"")</f>
        <v/>
      </c>
      <c r="U47" s="67"/>
      <c r="V47" s="67"/>
      <c r="W47" s="79" t="str">
        <f aca="false">IFERROR(IF(OR(U47="",V47=""),"",IF(Dashboard!$K$5="L",IF(V47=0,"",U47/V47),IF(Dashboard!$K$5="R",IF(U47=0,"",V47/U47),IF(MAX(U47,V47)=0,"",MIN(U47,V47)/MAX(U47,V47))))),"")</f>
        <v/>
      </c>
      <c r="X47" s="67"/>
      <c r="Y47" s="67"/>
      <c r="Z47" s="79" t="str">
        <f aca="false">IFERROR(IF(OR(X47="",Y47=""),"",IF(Dashboard!$K$5="L",IF(Y47=0,"",X47/Y47),IF(Dashboard!$K$5="R",IF(X47=0,"",Y47/X47),IF(MAX(X47,Y47)=0,"",MIN(X47,Y47)/MAX(X47,Y47))))),"")</f>
        <v/>
      </c>
      <c r="AA47" s="58"/>
    </row>
    <row r="48" customFormat="false" ht="18" hidden="false" customHeight="true" outlineLevel="0" collapsed="false">
      <c r="A48" s="77" t="s">
        <v>151</v>
      </c>
      <c r="B48" s="77"/>
      <c r="C48" s="77" t="str">
        <f aca="false">IF(COUNT(C36:C47)=0,"",INDEX(C36:C47,SUMPRODUCT(MAX(ISNUMBER(C36:C47)*(($A$36:$A$47)=SUMPRODUCT(MAX(ISNUMBER(C36:C47)*($A$36:$A$47))))*(ROW(C36:C47)-ROW(C$36)+1)))))</f>
        <v/>
      </c>
      <c r="D48" s="77" t="str">
        <f aca="false">IF(COUNT(D36:D47)=0,"",INDEX(D36:D47,SUMPRODUCT(MAX(ISNUMBER(D36:D47)*(($A$36:$A$47)=SUMPRODUCT(MAX(ISNUMBER(D36:D47)*($A$36:$A$47))))*(ROW(D36:D47)-ROW(D$36)+1)))))</f>
        <v/>
      </c>
      <c r="E48" s="80" t="str">
        <f aca="false">IF(COUNT(E36:E47)=0,"",INDEX(E36:E47,SUMPRODUCT(MAX(ISNUMBER(E36:E47)*(($A$36:$A$47)=SUMPRODUCT(MAX(ISNUMBER(E36:E47)*($A$36:$A$47))))*(ROW(E36:E47)-ROW(E$36)+1)))))</f>
        <v/>
      </c>
      <c r="F48" s="77" t="str">
        <f aca="false">IF(COUNT(F36:F47)=0,"",INDEX(F36:F47,SUMPRODUCT(MAX(ISNUMBER(F36:F47)*(($A$36:$A$47)=SUMPRODUCT(MAX(ISNUMBER(F36:F47)*($A$36:$A$47))))*(ROW(F36:F47)-ROW(F$36)+1)))))</f>
        <v/>
      </c>
      <c r="G48" s="77" t="str">
        <f aca="false">IF(COUNT(G36:G47)=0,"",INDEX(G36:G47,SUMPRODUCT(MAX(ISNUMBER(G36:G47)*(($A$36:$A$47)=SUMPRODUCT(MAX(ISNUMBER(G36:G47)*($A$36:$A$47))))*(ROW(G36:G47)-ROW(G$36)+1)))))</f>
        <v/>
      </c>
      <c r="H48" s="80" t="str">
        <f aca="false">IF(COUNT(H36:H47)=0,"",INDEX(H36:H47,SUMPRODUCT(MAX(ISNUMBER(H36:H47)*(($A$36:$A$47)=SUMPRODUCT(MAX(ISNUMBER(H36:H47)*($A$36:$A$47))))*(ROW(H36:H47)-ROW(H$36)+1)))))</f>
        <v/>
      </c>
      <c r="I48" s="77" t="str">
        <f aca="false">IF(COUNT(I36:I47)=0,"",INDEX(I36:I47,SUMPRODUCT(MAX(ISNUMBER(I36:I47)*(($A$36:$A$47)=SUMPRODUCT(MAX(ISNUMBER(I36:I47)*($A$36:$A$47))))*(ROW(I36:I47)-ROW(I$36)+1)))))</f>
        <v/>
      </c>
      <c r="J48" s="77" t="str">
        <f aca="false">IF(COUNT(J36:J47)=0,"",INDEX(J36:J47,SUMPRODUCT(MAX(ISNUMBER(J36:J47)*(($A$36:$A$47)=SUMPRODUCT(MAX(ISNUMBER(J36:J47)*($A$36:$A$47))))*(ROW(J36:J47)-ROW(J$36)+1)))))</f>
        <v/>
      </c>
      <c r="K48" s="80" t="str">
        <f aca="false">IF(COUNT(K36:K47)=0,"",INDEX(K36:K47,SUMPRODUCT(MAX(ISNUMBER(K36:K47)*(($A$36:$A$47)=SUMPRODUCT(MAX(ISNUMBER(K36:K47)*($A$36:$A$47))))*(ROW(K36:K47)-ROW(K$36)+1)))))</f>
        <v/>
      </c>
      <c r="L48" s="77" t="str">
        <f aca="false">IF(COUNT(L36:L47)=0,"",INDEX(L36:L47,SUMPRODUCT(MAX(ISNUMBER(L36:L47)*(($A$36:$A$47)=SUMPRODUCT(MAX(ISNUMBER(L36:L47)*($A$36:$A$47))))*(ROW(L36:L47)-ROW(L$36)+1)))))</f>
        <v/>
      </c>
      <c r="M48" s="77" t="str">
        <f aca="false">IF(COUNT(M36:M47)=0,"",INDEX(M36:M47,SUMPRODUCT(MAX(ISNUMBER(M36:M47)*(($A$36:$A$47)=SUMPRODUCT(MAX(ISNUMBER(M36:M47)*($A$36:$A$47))))*(ROW(M36:M47)-ROW(M$36)+1)))))</f>
        <v/>
      </c>
      <c r="N48" s="80" t="str">
        <f aca="false">IF(COUNT(N36:N47)=0,"",INDEX(N36:N47,SUMPRODUCT(MAX(ISNUMBER(N36:N47)*(($A$36:$A$47)=SUMPRODUCT(MAX(ISNUMBER(N36:N47)*($A$36:$A$47))))*(ROW(N36:N47)-ROW(N$36)+1)))))</f>
        <v/>
      </c>
      <c r="O48" s="77" t="str">
        <f aca="false">IF(COUNT(O36:O47)=0,"",INDEX(O36:O47,SUMPRODUCT(MAX(ISNUMBER(O36:O47)*(($A$36:$A$47)=SUMPRODUCT(MAX(ISNUMBER(O36:O47)*($A$36:$A$47))))*(ROW(O36:O47)-ROW(O$36)+1)))))</f>
        <v/>
      </c>
      <c r="P48" s="77" t="str">
        <f aca="false">IF(COUNT(P36:P47)=0,"",INDEX(P36:P47,SUMPRODUCT(MAX(ISNUMBER(P36:P47)*(($A$36:$A$47)=SUMPRODUCT(MAX(ISNUMBER(P36:P47)*($A$36:$A$47))))*(ROW(P36:P47)-ROW(P$36)+1)))))</f>
        <v/>
      </c>
      <c r="Q48" s="80" t="str">
        <f aca="false">IF(COUNT(Q36:Q47)=0,"",INDEX(Q36:Q47,SUMPRODUCT(MAX(ISNUMBER(Q36:Q47)*(($A$36:$A$47)=SUMPRODUCT(MAX(ISNUMBER(Q36:Q47)*($A$36:$A$47))))*(ROW(Q36:Q47)-ROW(Q$36)+1)))))</f>
        <v/>
      </c>
      <c r="R48" s="77" t="str">
        <f aca="false">IF(COUNT(R36:R47)=0,"",INDEX(R36:R47,SUMPRODUCT(MAX(ISNUMBER(R36:R47)*(($A$36:$A$47)=SUMPRODUCT(MAX(ISNUMBER(R36:R47)*($A$36:$A$47))))*(ROW(R36:R47)-ROW(R$36)+1)))))</f>
        <v/>
      </c>
      <c r="S48" s="77" t="str">
        <f aca="false">IF(COUNT(S36:S47)=0,"",INDEX(S36:S47,SUMPRODUCT(MAX(ISNUMBER(S36:S47)*(($A$36:$A$47)=SUMPRODUCT(MAX(ISNUMBER(S36:S47)*($A$36:$A$47))))*(ROW(S36:S47)-ROW(S$36)+1)))))</f>
        <v/>
      </c>
      <c r="T48" s="80" t="str">
        <f aca="false">IF(COUNT(T36:T47)=0,"",INDEX(T36:T47,SUMPRODUCT(MAX(ISNUMBER(T36:T47)*(($A$36:$A$47)=SUMPRODUCT(MAX(ISNUMBER(T36:T47)*($A$36:$A$47))))*(ROW(T36:T47)-ROW(T$36)+1)))))</f>
        <v/>
      </c>
      <c r="U48" s="77" t="str">
        <f aca="false">IF(COUNT(U36:U47)=0,"",INDEX(U36:U47,SUMPRODUCT(MAX(ISNUMBER(U36:U47)*(($A$36:$A$47)=SUMPRODUCT(MAX(ISNUMBER(U36:U47)*($A$36:$A$47))))*(ROW(U36:U47)-ROW(U$36)+1)))))</f>
        <v/>
      </c>
      <c r="V48" s="77" t="str">
        <f aca="false">IF(COUNT(V36:V47)=0,"",INDEX(V36:V47,SUMPRODUCT(MAX(ISNUMBER(V36:V47)*(($A$36:$A$47)=SUMPRODUCT(MAX(ISNUMBER(V36:V47)*($A$36:$A$47))))*(ROW(V36:V47)-ROW(V$36)+1)))))</f>
        <v/>
      </c>
      <c r="W48" s="80" t="str">
        <f aca="false">IF(COUNT(W36:W47)=0,"",INDEX(W36:W47,SUMPRODUCT(MAX(ISNUMBER(W36:W47)*(($A$36:$A$47)=SUMPRODUCT(MAX(ISNUMBER(W36:W47)*($A$36:$A$47))))*(ROW(W36:W47)-ROW(W$36)+1)))))</f>
        <v/>
      </c>
      <c r="X48" s="77" t="str">
        <f aca="false">IF(COUNT(X36:X47)=0,"",INDEX(X36:X47,SUMPRODUCT(MAX(ISNUMBER(X36:X47)*(($A$36:$A$47)=SUMPRODUCT(MAX(ISNUMBER(X36:X47)*($A$36:$A$47))))*(ROW(X36:X47)-ROW(X$36)+1)))))</f>
        <v/>
      </c>
      <c r="Y48" s="77" t="str">
        <f aca="false">IF(COUNT(Y36:Y47)=0,"",INDEX(Y36:Y47,SUMPRODUCT(MAX(ISNUMBER(Y36:Y47)*(($A$36:$A$47)=SUMPRODUCT(MAX(ISNUMBER(Y36:Y47)*($A$36:$A$47))))*(ROW(Y36:Y47)-ROW(Y$36)+1)))))</f>
        <v/>
      </c>
      <c r="Z48" s="80" t="str">
        <f aca="false">IF(COUNT(Z36:Z47)=0,"",INDEX(Z36:Z47,SUMPRODUCT(MAX(ISNUMBER(Z36:Z47)*(($A$36:$A$47)=SUMPRODUCT(MAX(ISNUMBER(Z36:Z47)*($A$36:$A$47))))*(ROW(Z36:Z47)-ROW(Z$36)+1)))))</f>
        <v/>
      </c>
      <c r="AA48" s="81" t="s">
        <v>152</v>
      </c>
    </row>
    <row r="49" customFormat="false" ht="15" hidden="false" customHeight="true" outlineLevel="0" collapsed="false">
      <c r="A49" s="65" t="s">
        <v>153</v>
      </c>
      <c r="B49" s="65"/>
      <c r="C49" s="70" t="str">
        <f aca="false">IF(OR(COUNT(C36:C47)=0,SUMPRODUCT(MAX(ISNUMBER(C36:C47)*($A$36:$A$47)))=0),"",SUMPRODUCT(MAX(ISNUMBER(C36:C47)*($A$36:$A$47))))</f>
        <v/>
      </c>
      <c r="D49" s="70"/>
      <c r="E49" s="70"/>
      <c r="F49" s="70" t="str">
        <f aca="false">IF(OR(COUNT(F36:F47)=0,SUMPRODUCT(MAX(ISNUMBER(F36:F47)*($A$36:$A$47)))=0),"",SUMPRODUCT(MAX(ISNUMBER(F36:F47)*($A$36:$A$47))))</f>
        <v/>
      </c>
      <c r="G49" s="70"/>
      <c r="H49" s="70"/>
      <c r="I49" s="70" t="str">
        <f aca="false">IF(OR(COUNT(I36:I47)=0,SUMPRODUCT(MAX(ISNUMBER(I36:I47)*($A$36:$A$47)))=0),"",SUMPRODUCT(MAX(ISNUMBER(I36:I47)*($A$36:$A$47))))</f>
        <v/>
      </c>
      <c r="J49" s="70"/>
      <c r="K49" s="70"/>
      <c r="L49" s="70" t="str">
        <f aca="false">IF(OR(COUNT(L36:L47)=0,SUMPRODUCT(MAX(ISNUMBER(L36:L47)*($A$36:$A$47)))=0),"",SUMPRODUCT(MAX(ISNUMBER(L36:L47)*($A$36:$A$47))))</f>
        <v/>
      </c>
      <c r="M49" s="70"/>
      <c r="N49" s="70"/>
      <c r="O49" s="70" t="str">
        <f aca="false">IF(OR(COUNT(O36:O47)=0,SUMPRODUCT(MAX(ISNUMBER(O36:O47)*($A$36:$A$47)))=0),"",SUMPRODUCT(MAX(ISNUMBER(O36:O47)*($A$36:$A$47))))</f>
        <v/>
      </c>
      <c r="P49" s="70"/>
      <c r="Q49" s="70"/>
      <c r="R49" s="70" t="str">
        <f aca="false">IF(OR(COUNT(R36:R47)=0,SUMPRODUCT(MAX(ISNUMBER(R36:R47)*($A$36:$A$47)))=0),"",SUMPRODUCT(MAX(ISNUMBER(R36:R47)*($A$36:$A$47))))</f>
        <v/>
      </c>
      <c r="S49" s="70"/>
      <c r="T49" s="70"/>
      <c r="U49" s="70" t="str">
        <f aca="false">IF(OR(COUNT(U36:U47)=0,SUMPRODUCT(MAX(ISNUMBER(U36:U47)*($A$36:$A$47)))=0),"",SUMPRODUCT(MAX(ISNUMBER(U36:U47)*($A$36:$A$47))))</f>
        <v/>
      </c>
      <c r="V49" s="70"/>
      <c r="W49" s="70"/>
      <c r="X49" s="70" t="str">
        <f aca="false">IF(OR(COUNT(X36:X47)=0,SUMPRODUCT(MAX(ISNUMBER(X36:X47)*($A$36:$A$47)))=0),"",SUMPRODUCT(MAX(ISNUMBER(X36:X47)*($A$36:$A$47))))</f>
        <v/>
      </c>
      <c r="Y49" s="70"/>
      <c r="Z49" s="70"/>
      <c r="AA49" s="82"/>
    </row>
    <row r="51" customFormat="false" ht="19.5" hidden="false" customHeight="true" outlineLevel="0" collapsed="false">
      <c r="A51" s="62" t="s">
        <v>154</v>
      </c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</row>
    <row r="52" customFormat="false" ht="31.5" hidden="false" customHeight="true" outlineLevel="0" collapsed="false">
      <c r="A52" s="55" t="s">
        <v>52</v>
      </c>
      <c r="B52" s="55" t="s">
        <v>75</v>
      </c>
      <c r="C52" s="77" t="s">
        <v>120</v>
      </c>
      <c r="D52" s="77"/>
      <c r="E52" s="77"/>
      <c r="F52" s="77" t="s">
        <v>155</v>
      </c>
      <c r="G52" s="77"/>
      <c r="H52" s="77"/>
      <c r="I52" s="77" t="s">
        <v>156</v>
      </c>
      <c r="J52" s="77"/>
      <c r="K52" s="77"/>
      <c r="L52" s="77" t="s">
        <v>157</v>
      </c>
      <c r="M52" s="77"/>
      <c r="N52" s="77"/>
      <c r="O52" s="77" t="s">
        <v>114</v>
      </c>
      <c r="P52" s="77"/>
      <c r="Q52" s="77"/>
      <c r="R52" s="77" t="s">
        <v>116</v>
      </c>
      <c r="S52" s="77"/>
      <c r="T52" s="77"/>
      <c r="U52" s="77" t="s">
        <v>158</v>
      </c>
      <c r="V52" s="77"/>
      <c r="W52" s="77"/>
      <c r="X52" s="78" t="s">
        <v>150</v>
      </c>
      <c r="Y52" s="78"/>
      <c r="Z52" s="78"/>
      <c r="AA52" s="55" t="s">
        <v>84</v>
      </c>
    </row>
    <row r="53" customFormat="false" ht="15.75" hidden="false" customHeight="true" outlineLevel="0" collapsed="false">
      <c r="A53" s="55"/>
      <c r="B53" s="55"/>
      <c r="C53" s="55" t="s">
        <v>12</v>
      </c>
      <c r="D53" s="55" t="s">
        <v>49</v>
      </c>
      <c r="E53" s="55" t="s">
        <v>50</v>
      </c>
      <c r="F53" s="55" t="s">
        <v>12</v>
      </c>
      <c r="G53" s="55" t="s">
        <v>49</v>
      </c>
      <c r="H53" s="55" t="s">
        <v>50</v>
      </c>
      <c r="I53" s="55" t="s">
        <v>12</v>
      </c>
      <c r="J53" s="55" t="s">
        <v>49</v>
      </c>
      <c r="K53" s="55" t="s">
        <v>50</v>
      </c>
      <c r="L53" s="55" t="s">
        <v>12</v>
      </c>
      <c r="M53" s="55" t="s">
        <v>49</v>
      </c>
      <c r="N53" s="55" t="s">
        <v>50</v>
      </c>
      <c r="O53" s="55" t="s">
        <v>12</v>
      </c>
      <c r="P53" s="55" t="s">
        <v>49</v>
      </c>
      <c r="Q53" s="55" t="s">
        <v>50</v>
      </c>
      <c r="R53" s="55" t="s">
        <v>12</v>
      </c>
      <c r="S53" s="55" t="s">
        <v>49</v>
      </c>
      <c r="T53" s="55" t="s">
        <v>50</v>
      </c>
      <c r="U53" s="55" t="s">
        <v>12</v>
      </c>
      <c r="V53" s="55" t="s">
        <v>49</v>
      </c>
      <c r="W53" s="55" t="s">
        <v>50</v>
      </c>
      <c r="X53" s="55" t="s">
        <v>12</v>
      </c>
      <c r="Y53" s="55" t="s">
        <v>49</v>
      </c>
      <c r="Z53" s="55" t="s">
        <v>50</v>
      </c>
      <c r="AA53" s="55"/>
    </row>
    <row r="54" customFormat="false" ht="15" hidden="false" customHeight="false" outlineLevel="0" collapsed="false">
      <c r="A54" s="56" t="n">
        <v>46293</v>
      </c>
      <c r="B54" s="57" t="n">
        <f aca="false">IF(A54="","",IF(Dashboard!$L$5="","",INT((A54-Dashboard!$L$5)/7)+1))</f>
        <v>8</v>
      </c>
      <c r="C54" s="67" t="n">
        <v>20.1</v>
      </c>
      <c r="D54" s="67" t="n">
        <v>24</v>
      </c>
      <c r="E54" s="79" t="n">
        <f aca="false">IFERROR(IF(OR(C54="",D54=""),"",IF(Dashboard!$K$5="L",IF(D54=0,"",C54/D54),IF(Dashboard!$K$5="R",IF(C54=0,"",D54/C54),IF(MAX(C54,D54)=0,"",MIN(C54,D54)/MAX(C54,D54))))),"")</f>
        <v>0.8375</v>
      </c>
      <c r="F54" s="67" t="n">
        <v>29</v>
      </c>
      <c r="G54" s="67" t="n">
        <v>31</v>
      </c>
      <c r="H54" s="79" t="n">
        <f aca="false">IFERROR(IF(OR(F54="",G54=""),"",IF(Dashboard!$K$5="L",IF(G54=0,"",F54/G54),IF(Dashboard!$K$5="R",IF(F54=0,"",G54/F54),IF(MAX(F54,G54)=0,"",MIN(F54,G54)/MAX(F54,G54))))),"")</f>
        <v>0.935483870967742</v>
      </c>
      <c r="I54" s="67" t="n">
        <v>11.2</v>
      </c>
      <c r="J54" s="67" t="n">
        <v>12.8</v>
      </c>
      <c r="K54" s="79" t="n">
        <f aca="false">IFERROR(IF(OR(I54="",J54=""),"",IF(Dashboard!$K$5="L",IF(J54=0,"",I54/J54),IF(Dashboard!$K$5="R",IF(I54=0,"",J54/I54),IF(MAX(I54,J54)=0,"",MIN(I54,J54)/MAX(I54,J54))))),"")</f>
        <v>0.875</v>
      </c>
      <c r="L54" s="67" t="n">
        <v>13</v>
      </c>
      <c r="M54" s="67" t="n">
        <v>13.1</v>
      </c>
      <c r="N54" s="79" t="n">
        <f aca="false">IFERROR(IF(OR(L54="",M54=""),"",IF(Dashboard!$K$5="L",IF(M54=0,"",L54/M54),IF(Dashboard!$K$5="R",IF(L54=0,"",M54/L54),IF(MAX(L54,M54)=0,"",MIN(L54,M54)/MAX(L54,M54))))),"")</f>
        <v>0.99236641221374</v>
      </c>
      <c r="O54" s="67" t="n">
        <v>25.9</v>
      </c>
      <c r="P54" s="67" t="n">
        <v>30.2</v>
      </c>
      <c r="Q54" s="79" t="n">
        <f aca="false">IFERROR(IF(OR(O54="",P54=""),"",IF(Dashboard!$K$5="L",IF(P54=0,"",O54/P54),IF(Dashboard!$K$5="R",IF(O54=0,"",P54/O54),IF(MAX(O54,P54)=0,"",MIN(O54,P54)/MAX(O54,P54))))),"")</f>
        <v>0.857615894039735</v>
      </c>
      <c r="R54" s="67" t="n">
        <v>24.1</v>
      </c>
      <c r="S54" s="67" t="n">
        <v>27.5</v>
      </c>
      <c r="T54" s="79" t="n">
        <f aca="false">IFERROR(IF(OR(R54="",S54=""),"",IF(Dashboard!$K$5="L",IF(S54=0,"",R54/S54),IF(Dashboard!$K$5="R",IF(R54=0,"",S54/R54),IF(MAX(R54,S54)=0,"",MIN(R54,S54)/MAX(R54,S54))))),"")</f>
        <v>0.876363636363637</v>
      </c>
      <c r="U54" s="67" t="n">
        <v>18.7</v>
      </c>
      <c r="V54" s="67" t="n">
        <v>21.9</v>
      </c>
      <c r="W54" s="79" t="n">
        <f aca="false">IFERROR(IF(OR(U54="",V54=""),"",IF(Dashboard!$K$5="L",IF(V54=0,"",U54/V54),IF(Dashboard!$K$5="R",IF(U54=0,"",V54/U54),IF(MAX(U54,V54)=0,"",MIN(U54,V54)/MAX(U54,V54))))),"")</f>
        <v>0.853881278538813</v>
      </c>
      <c r="X54" s="67"/>
      <c r="Y54" s="67"/>
      <c r="Z54" s="79" t="str">
        <f aca="false">IFERROR(IF(OR(X54="",Y54=""),"",IF(Dashboard!$K$5="L",IF(Y54=0,"",X54/Y54),IF(Dashboard!$K$5="R",IF(X54=0,"",Y54/X54),IF(MAX(X54,Y54)=0,"",MIN(X54,Y54)/MAX(X54,Y54))))),"")</f>
        <v/>
      </c>
      <c r="AA54" s="61" t="s">
        <v>87</v>
      </c>
    </row>
    <row r="55" customFormat="false" ht="15" hidden="false" customHeight="false" outlineLevel="0" collapsed="false">
      <c r="A55" s="56" t="n">
        <v>46314</v>
      </c>
      <c r="B55" s="57" t="n">
        <f aca="false">IF(A55="","",IF(Dashboard!$L$5="","",INT((A55-Dashboard!$L$5)/7)+1))</f>
        <v>11</v>
      </c>
      <c r="C55" s="67" t="n">
        <v>22.6</v>
      </c>
      <c r="D55" s="67" t="n">
        <v>24.3</v>
      </c>
      <c r="E55" s="79" t="n">
        <f aca="false">IFERROR(IF(OR(C55="",D55=""),"",IF(Dashboard!$K$5="L",IF(D55=0,"",C55/D55),IF(Dashboard!$K$5="R",IF(C55=0,"",D55/C55),IF(MAX(C55,D55)=0,"",MIN(C55,D55)/MAX(C55,D55))))),"")</f>
        <v>0.930041152263375</v>
      </c>
      <c r="F55" s="67" t="n">
        <v>30.4</v>
      </c>
      <c r="G55" s="67" t="n">
        <v>31.2</v>
      </c>
      <c r="H55" s="79" t="n">
        <f aca="false">IFERROR(IF(OR(F55="",G55=""),"",IF(Dashboard!$K$5="L",IF(G55=0,"",F55/G55),IF(Dashboard!$K$5="R",IF(F55=0,"",G55/F55),IF(MAX(F55,G55)=0,"",MIN(F55,G55)/MAX(F55,G55))))),"")</f>
        <v>0.974358974358974</v>
      </c>
      <c r="I55" s="67" t="n">
        <v>12.1</v>
      </c>
      <c r="J55" s="67" t="n">
        <v>12.9</v>
      </c>
      <c r="K55" s="79" t="n">
        <f aca="false">IFERROR(IF(OR(I55="",J55=""),"",IF(Dashboard!$K$5="L",IF(J55=0,"",I55/J55),IF(Dashboard!$K$5="R",IF(I55=0,"",J55/I55),IF(MAX(I55,J55)=0,"",MIN(I55,J55)/MAX(I55,J55))))),"")</f>
        <v>0.937984496124031</v>
      </c>
      <c r="L55" s="67" t="n">
        <v>13.4</v>
      </c>
      <c r="M55" s="67" t="n">
        <v>13.2</v>
      </c>
      <c r="N55" s="79" t="n">
        <f aca="false">IFERROR(IF(OR(L55="",M55=""),"",IF(Dashboard!$K$5="L",IF(M55=0,"",L55/M55),IF(Dashboard!$K$5="R",IF(L55=0,"",M55/L55),IF(MAX(L55,M55)=0,"",MIN(L55,M55)/MAX(L55,M55))))),"")</f>
        <v>1.01515151515152</v>
      </c>
      <c r="O55" s="67" t="n">
        <v>28.1</v>
      </c>
      <c r="P55" s="67" t="n">
        <v>30.4</v>
      </c>
      <c r="Q55" s="79" t="n">
        <f aca="false">IFERROR(IF(OR(O55="",P55=""),"",IF(Dashboard!$K$5="L",IF(P55=0,"",O55/P55),IF(Dashboard!$K$5="R",IF(O55=0,"",P55/O55),IF(MAX(O55,P55)=0,"",MIN(O55,P55)/MAX(O55,P55))))),"")</f>
        <v>0.924342105263158</v>
      </c>
      <c r="R55" s="67" t="n">
        <v>25.8</v>
      </c>
      <c r="S55" s="67" t="n">
        <v>27.6</v>
      </c>
      <c r="T55" s="79" t="n">
        <f aca="false">IFERROR(IF(OR(R55="",S55=""),"",IF(Dashboard!$K$5="L",IF(S55=0,"",R55/S55),IF(Dashboard!$K$5="R",IF(R55=0,"",S55/R55),IF(MAX(R55,S55)=0,"",MIN(R55,S55)/MAX(R55,S55))))),"")</f>
        <v>0.934782608695652</v>
      </c>
      <c r="U55" s="67" t="n">
        <v>20.5</v>
      </c>
      <c r="V55" s="67" t="n">
        <v>22</v>
      </c>
      <c r="W55" s="79" t="n">
        <f aca="false">IFERROR(IF(OR(U55="",V55=""),"",IF(Dashboard!$K$5="L",IF(V55=0,"",U55/V55),IF(Dashboard!$K$5="R",IF(U55=0,"",V55/U55),IF(MAX(U55,V55)=0,"",MIN(U55,V55)/MAX(U55,V55))))),"")</f>
        <v>0.931818181818182</v>
      </c>
      <c r="X55" s="67"/>
      <c r="Y55" s="67"/>
      <c r="Z55" s="79" t="str">
        <f aca="false">IFERROR(IF(OR(X55="",Y55=""),"",IF(Dashboard!$K$5="L",IF(Y55=0,"",X55/Y55),IF(Dashboard!$K$5="R",IF(X55=0,"",Y55/X55),IF(MAX(X55,Y55)=0,"",MIN(X55,Y55)/MAX(X55,Y55))))),"")</f>
        <v/>
      </c>
      <c r="AA55" s="61" t="s">
        <v>87</v>
      </c>
    </row>
    <row r="56" customFormat="false" ht="15" hidden="false" customHeight="false" outlineLevel="0" collapsed="false">
      <c r="A56" s="56"/>
      <c r="B56" s="57" t="str">
        <f aca="false">IF(A56="","",IF(Dashboard!$L$5="","",INT((A56-Dashboard!$L$5)/7)+1))</f>
        <v/>
      </c>
      <c r="C56" s="67"/>
      <c r="D56" s="67"/>
      <c r="E56" s="79" t="str">
        <f aca="false">IFERROR(IF(OR(C56="",D56=""),"",IF(Dashboard!$K$5="L",IF(D56=0,"",C56/D56),IF(Dashboard!$K$5="R",IF(C56=0,"",D56/C56),IF(MAX(C56,D56)=0,"",MIN(C56,D56)/MAX(C56,D56))))),"")</f>
        <v/>
      </c>
      <c r="F56" s="67"/>
      <c r="G56" s="67"/>
      <c r="H56" s="79" t="str">
        <f aca="false">IFERROR(IF(OR(F56="",G56=""),"",IF(Dashboard!$K$5="L",IF(G56=0,"",F56/G56),IF(Dashboard!$K$5="R",IF(F56=0,"",G56/F56),IF(MAX(F56,G56)=0,"",MIN(F56,G56)/MAX(F56,G56))))),"")</f>
        <v/>
      </c>
      <c r="I56" s="67"/>
      <c r="J56" s="67"/>
      <c r="K56" s="79" t="str">
        <f aca="false">IFERROR(IF(OR(I56="",J56=""),"",IF(Dashboard!$K$5="L",IF(J56=0,"",I56/J56),IF(Dashboard!$K$5="R",IF(I56=0,"",J56/I56),IF(MAX(I56,J56)=0,"",MIN(I56,J56)/MAX(I56,J56))))),"")</f>
        <v/>
      </c>
      <c r="L56" s="67"/>
      <c r="M56" s="67"/>
      <c r="N56" s="79" t="str">
        <f aca="false">IFERROR(IF(OR(L56="",M56=""),"",IF(Dashboard!$K$5="L",IF(M56=0,"",L56/M56),IF(Dashboard!$K$5="R",IF(L56=0,"",M56/L56),IF(MAX(L56,M56)=0,"",MIN(L56,M56)/MAX(L56,M56))))),"")</f>
        <v/>
      </c>
      <c r="O56" s="67"/>
      <c r="P56" s="67"/>
      <c r="Q56" s="79" t="str">
        <f aca="false">IFERROR(IF(OR(O56="",P56=""),"",IF(Dashboard!$K$5="L",IF(P56=0,"",O56/P56),IF(Dashboard!$K$5="R",IF(O56=0,"",P56/O56),IF(MAX(O56,P56)=0,"",MIN(O56,P56)/MAX(O56,P56))))),"")</f>
        <v/>
      </c>
      <c r="R56" s="67"/>
      <c r="S56" s="67"/>
      <c r="T56" s="79" t="str">
        <f aca="false">IFERROR(IF(OR(R56="",S56=""),"",IF(Dashboard!$K$5="L",IF(S56=0,"",R56/S56),IF(Dashboard!$K$5="R",IF(R56=0,"",S56/R56),IF(MAX(R56,S56)=0,"",MIN(R56,S56)/MAX(R56,S56))))),"")</f>
        <v/>
      </c>
      <c r="U56" s="67"/>
      <c r="V56" s="67"/>
      <c r="W56" s="79" t="str">
        <f aca="false">IFERROR(IF(OR(U56="",V56=""),"",IF(Dashboard!$K$5="L",IF(V56=0,"",U56/V56),IF(Dashboard!$K$5="R",IF(U56=0,"",V56/U56),IF(MAX(U56,V56)=0,"",MIN(U56,V56)/MAX(U56,V56))))),"")</f>
        <v/>
      </c>
      <c r="X56" s="67"/>
      <c r="Y56" s="67"/>
      <c r="Z56" s="79" t="str">
        <f aca="false">IFERROR(IF(OR(X56="",Y56=""),"",IF(Dashboard!$K$5="L",IF(Y56=0,"",X56/Y56),IF(Dashboard!$K$5="R",IF(X56=0,"",Y56/X56),IF(MAX(X56,Y56)=0,"",MIN(X56,Y56)/MAX(X56,Y56))))),"")</f>
        <v/>
      </c>
      <c r="AA56" s="58"/>
    </row>
    <row r="57" customFormat="false" ht="15" hidden="false" customHeight="false" outlineLevel="0" collapsed="false">
      <c r="A57" s="56"/>
      <c r="B57" s="57" t="str">
        <f aca="false">IF(A57="","",IF(Dashboard!$L$5="","",INT((A57-Dashboard!$L$5)/7)+1))</f>
        <v/>
      </c>
      <c r="C57" s="67"/>
      <c r="D57" s="67"/>
      <c r="E57" s="79" t="str">
        <f aca="false">IFERROR(IF(OR(C57="",D57=""),"",IF(Dashboard!$K$5="L",IF(D57=0,"",C57/D57),IF(Dashboard!$K$5="R",IF(C57=0,"",D57/C57),IF(MAX(C57,D57)=0,"",MIN(C57,D57)/MAX(C57,D57))))),"")</f>
        <v/>
      </c>
      <c r="F57" s="67"/>
      <c r="G57" s="67"/>
      <c r="H57" s="79" t="str">
        <f aca="false">IFERROR(IF(OR(F57="",G57=""),"",IF(Dashboard!$K$5="L",IF(G57=0,"",F57/G57),IF(Dashboard!$K$5="R",IF(F57=0,"",G57/F57),IF(MAX(F57,G57)=0,"",MIN(F57,G57)/MAX(F57,G57))))),"")</f>
        <v/>
      </c>
      <c r="I57" s="67"/>
      <c r="J57" s="67"/>
      <c r="K57" s="79" t="str">
        <f aca="false">IFERROR(IF(OR(I57="",J57=""),"",IF(Dashboard!$K$5="L",IF(J57=0,"",I57/J57),IF(Dashboard!$K$5="R",IF(I57=0,"",J57/I57),IF(MAX(I57,J57)=0,"",MIN(I57,J57)/MAX(I57,J57))))),"")</f>
        <v/>
      </c>
      <c r="L57" s="67"/>
      <c r="M57" s="67"/>
      <c r="N57" s="79" t="str">
        <f aca="false">IFERROR(IF(OR(L57="",M57=""),"",IF(Dashboard!$K$5="L",IF(M57=0,"",L57/M57),IF(Dashboard!$K$5="R",IF(L57=0,"",M57/L57),IF(MAX(L57,M57)=0,"",MIN(L57,M57)/MAX(L57,M57))))),"")</f>
        <v/>
      </c>
      <c r="O57" s="67"/>
      <c r="P57" s="67"/>
      <c r="Q57" s="79" t="str">
        <f aca="false">IFERROR(IF(OR(O57="",P57=""),"",IF(Dashboard!$K$5="L",IF(P57=0,"",O57/P57),IF(Dashboard!$K$5="R",IF(O57=0,"",P57/O57),IF(MAX(O57,P57)=0,"",MIN(O57,P57)/MAX(O57,P57))))),"")</f>
        <v/>
      </c>
      <c r="R57" s="67"/>
      <c r="S57" s="67"/>
      <c r="T57" s="79" t="str">
        <f aca="false">IFERROR(IF(OR(R57="",S57=""),"",IF(Dashboard!$K$5="L",IF(S57=0,"",R57/S57),IF(Dashboard!$K$5="R",IF(R57=0,"",S57/R57),IF(MAX(R57,S57)=0,"",MIN(R57,S57)/MAX(R57,S57))))),"")</f>
        <v/>
      </c>
      <c r="U57" s="67"/>
      <c r="V57" s="67"/>
      <c r="W57" s="79" t="str">
        <f aca="false">IFERROR(IF(OR(U57="",V57=""),"",IF(Dashboard!$K$5="L",IF(V57=0,"",U57/V57),IF(Dashboard!$K$5="R",IF(U57=0,"",V57/U57),IF(MAX(U57,V57)=0,"",MIN(U57,V57)/MAX(U57,V57))))),"")</f>
        <v/>
      </c>
      <c r="X57" s="67"/>
      <c r="Y57" s="67"/>
      <c r="Z57" s="79" t="str">
        <f aca="false">IFERROR(IF(OR(X57="",Y57=""),"",IF(Dashboard!$K$5="L",IF(Y57=0,"",X57/Y57),IF(Dashboard!$K$5="R",IF(X57=0,"",Y57/X57),IF(MAX(X57,Y57)=0,"",MIN(X57,Y57)/MAX(X57,Y57))))),"")</f>
        <v/>
      </c>
      <c r="AA57" s="58"/>
    </row>
    <row r="58" customFormat="false" ht="15" hidden="false" customHeight="false" outlineLevel="0" collapsed="false">
      <c r="A58" s="56"/>
      <c r="B58" s="57" t="str">
        <f aca="false">IF(A58="","",IF(Dashboard!$L$5="","",INT((A58-Dashboard!$L$5)/7)+1))</f>
        <v/>
      </c>
      <c r="C58" s="67"/>
      <c r="D58" s="67"/>
      <c r="E58" s="79" t="str">
        <f aca="false">IFERROR(IF(OR(C58="",D58=""),"",IF(Dashboard!$K$5="L",IF(D58=0,"",C58/D58),IF(Dashboard!$K$5="R",IF(C58=0,"",D58/C58),IF(MAX(C58,D58)=0,"",MIN(C58,D58)/MAX(C58,D58))))),"")</f>
        <v/>
      </c>
      <c r="F58" s="67"/>
      <c r="G58" s="67"/>
      <c r="H58" s="79" t="str">
        <f aca="false">IFERROR(IF(OR(F58="",G58=""),"",IF(Dashboard!$K$5="L",IF(G58=0,"",F58/G58),IF(Dashboard!$K$5="R",IF(F58=0,"",G58/F58),IF(MAX(F58,G58)=0,"",MIN(F58,G58)/MAX(F58,G58))))),"")</f>
        <v/>
      </c>
      <c r="I58" s="67"/>
      <c r="J58" s="67"/>
      <c r="K58" s="79" t="str">
        <f aca="false">IFERROR(IF(OR(I58="",J58=""),"",IF(Dashboard!$K$5="L",IF(J58=0,"",I58/J58),IF(Dashboard!$K$5="R",IF(I58=0,"",J58/I58),IF(MAX(I58,J58)=0,"",MIN(I58,J58)/MAX(I58,J58))))),"")</f>
        <v/>
      </c>
      <c r="L58" s="67"/>
      <c r="M58" s="67"/>
      <c r="N58" s="79" t="str">
        <f aca="false">IFERROR(IF(OR(L58="",M58=""),"",IF(Dashboard!$K$5="L",IF(M58=0,"",L58/M58),IF(Dashboard!$K$5="R",IF(L58=0,"",M58/L58),IF(MAX(L58,M58)=0,"",MIN(L58,M58)/MAX(L58,M58))))),"")</f>
        <v/>
      </c>
      <c r="O58" s="67"/>
      <c r="P58" s="67"/>
      <c r="Q58" s="79" t="str">
        <f aca="false">IFERROR(IF(OR(O58="",P58=""),"",IF(Dashboard!$K$5="L",IF(P58=0,"",O58/P58),IF(Dashboard!$K$5="R",IF(O58=0,"",P58/O58),IF(MAX(O58,P58)=0,"",MIN(O58,P58)/MAX(O58,P58))))),"")</f>
        <v/>
      </c>
      <c r="R58" s="67"/>
      <c r="S58" s="67"/>
      <c r="T58" s="79" t="str">
        <f aca="false">IFERROR(IF(OR(R58="",S58=""),"",IF(Dashboard!$K$5="L",IF(S58=0,"",R58/S58),IF(Dashboard!$K$5="R",IF(R58=0,"",S58/R58),IF(MAX(R58,S58)=0,"",MIN(R58,S58)/MAX(R58,S58))))),"")</f>
        <v/>
      </c>
      <c r="U58" s="67"/>
      <c r="V58" s="67"/>
      <c r="W58" s="79" t="str">
        <f aca="false">IFERROR(IF(OR(U58="",V58=""),"",IF(Dashboard!$K$5="L",IF(V58=0,"",U58/V58),IF(Dashboard!$K$5="R",IF(U58=0,"",V58/U58),IF(MAX(U58,V58)=0,"",MIN(U58,V58)/MAX(U58,V58))))),"")</f>
        <v/>
      </c>
      <c r="X58" s="67"/>
      <c r="Y58" s="67"/>
      <c r="Z58" s="79" t="str">
        <f aca="false">IFERROR(IF(OR(X58="",Y58=""),"",IF(Dashboard!$K$5="L",IF(Y58=0,"",X58/Y58),IF(Dashboard!$K$5="R",IF(X58=0,"",Y58/X58),IF(MAX(X58,Y58)=0,"",MIN(X58,Y58)/MAX(X58,Y58))))),"")</f>
        <v/>
      </c>
      <c r="AA58" s="58"/>
    </row>
    <row r="59" customFormat="false" ht="15" hidden="false" customHeight="false" outlineLevel="0" collapsed="false">
      <c r="A59" s="56"/>
      <c r="B59" s="57" t="str">
        <f aca="false">IF(A59="","",IF(Dashboard!$L$5="","",INT((A59-Dashboard!$L$5)/7)+1))</f>
        <v/>
      </c>
      <c r="C59" s="67"/>
      <c r="D59" s="67"/>
      <c r="E59" s="79" t="str">
        <f aca="false">IFERROR(IF(OR(C59="",D59=""),"",IF(Dashboard!$K$5="L",IF(D59=0,"",C59/D59),IF(Dashboard!$K$5="R",IF(C59=0,"",D59/C59),IF(MAX(C59,D59)=0,"",MIN(C59,D59)/MAX(C59,D59))))),"")</f>
        <v/>
      </c>
      <c r="F59" s="67"/>
      <c r="G59" s="67"/>
      <c r="H59" s="79" t="str">
        <f aca="false">IFERROR(IF(OR(F59="",G59=""),"",IF(Dashboard!$K$5="L",IF(G59=0,"",F59/G59),IF(Dashboard!$K$5="R",IF(F59=0,"",G59/F59),IF(MAX(F59,G59)=0,"",MIN(F59,G59)/MAX(F59,G59))))),"")</f>
        <v/>
      </c>
      <c r="I59" s="67"/>
      <c r="J59" s="67"/>
      <c r="K59" s="79" t="str">
        <f aca="false">IFERROR(IF(OR(I59="",J59=""),"",IF(Dashboard!$K$5="L",IF(J59=0,"",I59/J59),IF(Dashboard!$K$5="R",IF(I59=0,"",J59/I59),IF(MAX(I59,J59)=0,"",MIN(I59,J59)/MAX(I59,J59))))),"")</f>
        <v/>
      </c>
      <c r="L59" s="67"/>
      <c r="M59" s="67"/>
      <c r="N59" s="79" t="str">
        <f aca="false">IFERROR(IF(OR(L59="",M59=""),"",IF(Dashboard!$K$5="L",IF(M59=0,"",L59/M59),IF(Dashboard!$K$5="R",IF(L59=0,"",M59/L59),IF(MAX(L59,M59)=0,"",MIN(L59,M59)/MAX(L59,M59))))),"")</f>
        <v/>
      </c>
      <c r="O59" s="67"/>
      <c r="P59" s="67"/>
      <c r="Q59" s="79" t="str">
        <f aca="false">IFERROR(IF(OR(O59="",P59=""),"",IF(Dashboard!$K$5="L",IF(P59=0,"",O59/P59),IF(Dashboard!$K$5="R",IF(O59=0,"",P59/O59),IF(MAX(O59,P59)=0,"",MIN(O59,P59)/MAX(O59,P59))))),"")</f>
        <v/>
      </c>
      <c r="R59" s="67"/>
      <c r="S59" s="67"/>
      <c r="T59" s="79" t="str">
        <f aca="false">IFERROR(IF(OR(R59="",S59=""),"",IF(Dashboard!$K$5="L",IF(S59=0,"",R59/S59),IF(Dashboard!$K$5="R",IF(R59=0,"",S59/R59),IF(MAX(R59,S59)=0,"",MIN(R59,S59)/MAX(R59,S59))))),"")</f>
        <v/>
      </c>
      <c r="U59" s="67"/>
      <c r="V59" s="67"/>
      <c r="W59" s="79" t="str">
        <f aca="false">IFERROR(IF(OR(U59="",V59=""),"",IF(Dashboard!$K$5="L",IF(V59=0,"",U59/V59),IF(Dashboard!$K$5="R",IF(U59=0,"",V59/U59),IF(MAX(U59,V59)=0,"",MIN(U59,V59)/MAX(U59,V59))))),"")</f>
        <v/>
      </c>
      <c r="X59" s="67"/>
      <c r="Y59" s="67"/>
      <c r="Z59" s="79" t="str">
        <f aca="false">IFERROR(IF(OR(X59="",Y59=""),"",IF(Dashboard!$K$5="L",IF(Y59=0,"",X59/Y59),IF(Dashboard!$K$5="R",IF(X59=0,"",Y59/X59),IF(MAX(X59,Y59)=0,"",MIN(X59,Y59)/MAX(X59,Y59))))),"")</f>
        <v/>
      </c>
      <c r="AA59" s="58"/>
    </row>
    <row r="60" customFormat="false" ht="15" hidden="false" customHeight="false" outlineLevel="0" collapsed="false">
      <c r="A60" s="56"/>
      <c r="B60" s="57" t="str">
        <f aca="false">IF(A60="","",IF(Dashboard!$L$5="","",INT((A60-Dashboard!$L$5)/7)+1))</f>
        <v/>
      </c>
      <c r="C60" s="67"/>
      <c r="D60" s="67"/>
      <c r="E60" s="79" t="str">
        <f aca="false">IFERROR(IF(OR(C60="",D60=""),"",IF(Dashboard!$K$5="L",IF(D60=0,"",C60/D60),IF(Dashboard!$K$5="R",IF(C60=0,"",D60/C60),IF(MAX(C60,D60)=0,"",MIN(C60,D60)/MAX(C60,D60))))),"")</f>
        <v/>
      </c>
      <c r="F60" s="67"/>
      <c r="G60" s="67"/>
      <c r="H60" s="79" t="str">
        <f aca="false">IFERROR(IF(OR(F60="",G60=""),"",IF(Dashboard!$K$5="L",IF(G60=0,"",F60/G60),IF(Dashboard!$K$5="R",IF(F60=0,"",G60/F60),IF(MAX(F60,G60)=0,"",MIN(F60,G60)/MAX(F60,G60))))),"")</f>
        <v/>
      </c>
      <c r="I60" s="67"/>
      <c r="J60" s="67"/>
      <c r="K60" s="79" t="str">
        <f aca="false">IFERROR(IF(OR(I60="",J60=""),"",IF(Dashboard!$K$5="L",IF(J60=0,"",I60/J60),IF(Dashboard!$K$5="R",IF(I60=0,"",J60/I60),IF(MAX(I60,J60)=0,"",MIN(I60,J60)/MAX(I60,J60))))),"")</f>
        <v/>
      </c>
      <c r="L60" s="67"/>
      <c r="M60" s="67"/>
      <c r="N60" s="79" t="str">
        <f aca="false">IFERROR(IF(OR(L60="",M60=""),"",IF(Dashboard!$K$5="L",IF(M60=0,"",L60/M60),IF(Dashboard!$K$5="R",IF(L60=0,"",M60/L60),IF(MAX(L60,M60)=0,"",MIN(L60,M60)/MAX(L60,M60))))),"")</f>
        <v/>
      </c>
      <c r="O60" s="67"/>
      <c r="P60" s="67"/>
      <c r="Q60" s="79" t="str">
        <f aca="false">IFERROR(IF(OR(O60="",P60=""),"",IF(Dashboard!$K$5="L",IF(P60=0,"",O60/P60),IF(Dashboard!$K$5="R",IF(O60=0,"",P60/O60),IF(MAX(O60,P60)=0,"",MIN(O60,P60)/MAX(O60,P60))))),"")</f>
        <v/>
      </c>
      <c r="R60" s="67"/>
      <c r="S60" s="67"/>
      <c r="T60" s="79" t="str">
        <f aca="false">IFERROR(IF(OR(R60="",S60=""),"",IF(Dashboard!$K$5="L",IF(S60=0,"",R60/S60),IF(Dashboard!$K$5="R",IF(R60=0,"",S60/R60),IF(MAX(R60,S60)=0,"",MIN(R60,S60)/MAX(R60,S60))))),"")</f>
        <v/>
      </c>
      <c r="U60" s="67"/>
      <c r="V60" s="67"/>
      <c r="W60" s="79" t="str">
        <f aca="false">IFERROR(IF(OR(U60="",V60=""),"",IF(Dashboard!$K$5="L",IF(V60=0,"",U60/V60),IF(Dashboard!$K$5="R",IF(U60=0,"",V60/U60),IF(MAX(U60,V60)=0,"",MIN(U60,V60)/MAX(U60,V60))))),"")</f>
        <v/>
      </c>
      <c r="X60" s="67"/>
      <c r="Y60" s="67"/>
      <c r="Z60" s="79" t="str">
        <f aca="false">IFERROR(IF(OR(X60="",Y60=""),"",IF(Dashboard!$K$5="L",IF(Y60=0,"",X60/Y60),IF(Dashboard!$K$5="R",IF(X60=0,"",Y60/X60),IF(MAX(X60,Y60)=0,"",MIN(X60,Y60)/MAX(X60,Y60))))),"")</f>
        <v/>
      </c>
      <c r="AA60" s="58"/>
    </row>
    <row r="61" customFormat="false" ht="15" hidden="false" customHeight="false" outlineLevel="0" collapsed="false">
      <c r="A61" s="56"/>
      <c r="B61" s="57" t="str">
        <f aca="false">IF(A61="","",IF(Dashboard!$L$5="","",INT((A61-Dashboard!$L$5)/7)+1))</f>
        <v/>
      </c>
      <c r="C61" s="67"/>
      <c r="D61" s="67"/>
      <c r="E61" s="79" t="str">
        <f aca="false">IFERROR(IF(OR(C61="",D61=""),"",IF(Dashboard!$K$5="L",IF(D61=0,"",C61/D61),IF(Dashboard!$K$5="R",IF(C61=0,"",D61/C61),IF(MAX(C61,D61)=0,"",MIN(C61,D61)/MAX(C61,D61))))),"")</f>
        <v/>
      </c>
      <c r="F61" s="67"/>
      <c r="G61" s="67"/>
      <c r="H61" s="79" t="str">
        <f aca="false">IFERROR(IF(OR(F61="",G61=""),"",IF(Dashboard!$K$5="L",IF(G61=0,"",F61/G61),IF(Dashboard!$K$5="R",IF(F61=0,"",G61/F61),IF(MAX(F61,G61)=0,"",MIN(F61,G61)/MAX(F61,G61))))),"")</f>
        <v/>
      </c>
      <c r="I61" s="67"/>
      <c r="J61" s="67"/>
      <c r="K61" s="79" t="str">
        <f aca="false">IFERROR(IF(OR(I61="",J61=""),"",IF(Dashboard!$K$5="L",IF(J61=0,"",I61/J61),IF(Dashboard!$K$5="R",IF(I61=0,"",J61/I61),IF(MAX(I61,J61)=0,"",MIN(I61,J61)/MAX(I61,J61))))),"")</f>
        <v/>
      </c>
      <c r="L61" s="67"/>
      <c r="M61" s="67"/>
      <c r="N61" s="79" t="str">
        <f aca="false">IFERROR(IF(OR(L61="",M61=""),"",IF(Dashboard!$K$5="L",IF(M61=0,"",L61/M61),IF(Dashboard!$K$5="R",IF(L61=0,"",M61/L61),IF(MAX(L61,M61)=0,"",MIN(L61,M61)/MAX(L61,M61))))),"")</f>
        <v/>
      </c>
      <c r="O61" s="67"/>
      <c r="P61" s="67"/>
      <c r="Q61" s="79" t="str">
        <f aca="false">IFERROR(IF(OR(O61="",P61=""),"",IF(Dashboard!$K$5="L",IF(P61=0,"",O61/P61),IF(Dashboard!$K$5="R",IF(O61=0,"",P61/O61),IF(MAX(O61,P61)=0,"",MIN(O61,P61)/MAX(O61,P61))))),"")</f>
        <v/>
      </c>
      <c r="R61" s="67"/>
      <c r="S61" s="67"/>
      <c r="T61" s="79" t="str">
        <f aca="false">IFERROR(IF(OR(R61="",S61=""),"",IF(Dashboard!$K$5="L",IF(S61=0,"",R61/S61),IF(Dashboard!$K$5="R",IF(R61=0,"",S61/R61),IF(MAX(R61,S61)=0,"",MIN(R61,S61)/MAX(R61,S61))))),"")</f>
        <v/>
      </c>
      <c r="U61" s="67"/>
      <c r="V61" s="67"/>
      <c r="W61" s="79" t="str">
        <f aca="false">IFERROR(IF(OR(U61="",V61=""),"",IF(Dashboard!$K$5="L",IF(V61=0,"",U61/V61),IF(Dashboard!$K$5="R",IF(U61=0,"",V61/U61),IF(MAX(U61,V61)=0,"",MIN(U61,V61)/MAX(U61,V61))))),"")</f>
        <v/>
      </c>
      <c r="X61" s="67"/>
      <c r="Y61" s="67"/>
      <c r="Z61" s="79" t="str">
        <f aca="false">IFERROR(IF(OR(X61="",Y61=""),"",IF(Dashboard!$K$5="L",IF(Y61=0,"",X61/Y61),IF(Dashboard!$K$5="R",IF(X61=0,"",Y61/X61),IF(MAX(X61,Y61)=0,"",MIN(X61,Y61)/MAX(X61,Y61))))),"")</f>
        <v/>
      </c>
      <c r="AA61" s="58"/>
    </row>
    <row r="62" customFormat="false" ht="15" hidden="false" customHeight="false" outlineLevel="0" collapsed="false">
      <c r="A62" s="56"/>
      <c r="B62" s="57" t="str">
        <f aca="false">IF(A62="","",IF(Dashboard!$L$5="","",INT((A62-Dashboard!$L$5)/7)+1))</f>
        <v/>
      </c>
      <c r="C62" s="67"/>
      <c r="D62" s="67"/>
      <c r="E62" s="79" t="str">
        <f aca="false">IFERROR(IF(OR(C62="",D62=""),"",IF(Dashboard!$K$5="L",IF(D62=0,"",C62/D62),IF(Dashboard!$K$5="R",IF(C62=0,"",D62/C62),IF(MAX(C62,D62)=0,"",MIN(C62,D62)/MAX(C62,D62))))),"")</f>
        <v/>
      </c>
      <c r="F62" s="67"/>
      <c r="G62" s="67"/>
      <c r="H62" s="79" t="str">
        <f aca="false">IFERROR(IF(OR(F62="",G62=""),"",IF(Dashboard!$K$5="L",IF(G62=0,"",F62/G62),IF(Dashboard!$K$5="R",IF(F62=0,"",G62/F62),IF(MAX(F62,G62)=0,"",MIN(F62,G62)/MAX(F62,G62))))),"")</f>
        <v/>
      </c>
      <c r="I62" s="67"/>
      <c r="J62" s="67"/>
      <c r="K62" s="79" t="str">
        <f aca="false">IFERROR(IF(OR(I62="",J62=""),"",IF(Dashboard!$K$5="L",IF(J62=0,"",I62/J62),IF(Dashboard!$K$5="R",IF(I62=0,"",J62/I62),IF(MAX(I62,J62)=0,"",MIN(I62,J62)/MAX(I62,J62))))),"")</f>
        <v/>
      </c>
      <c r="L62" s="67"/>
      <c r="M62" s="67"/>
      <c r="N62" s="79" t="str">
        <f aca="false">IFERROR(IF(OR(L62="",M62=""),"",IF(Dashboard!$K$5="L",IF(M62=0,"",L62/M62),IF(Dashboard!$K$5="R",IF(L62=0,"",M62/L62),IF(MAX(L62,M62)=0,"",MIN(L62,M62)/MAX(L62,M62))))),"")</f>
        <v/>
      </c>
      <c r="O62" s="67"/>
      <c r="P62" s="67"/>
      <c r="Q62" s="79" t="str">
        <f aca="false">IFERROR(IF(OR(O62="",P62=""),"",IF(Dashboard!$K$5="L",IF(P62=0,"",O62/P62),IF(Dashboard!$K$5="R",IF(O62=0,"",P62/O62),IF(MAX(O62,P62)=0,"",MIN(O62,P62)/MAX(O62,P62))))),"")</f>
        <v/>
      </c>
      <c r="R62" s="67"/>
      <c r="S62" s="67"/>
      <c r="T62" s="79" t="str">
        <f aca="false">IFERROR(IF(OR(R62="",S62=""),"",IF(Dashboard!$K$5="L",IF(S62=0,"",R62/S62),IF(Dashboard!$K$5="R",IF(R62=0,"",S62/R62),IF(MAX(R62,S62)=0,"",MIN(R62,S62)/MAX(R62,S62))))),"")</f>
        <v/>
      </c>
      <c r="U62" s="67"/>
      <c r="V62" s="67"/>
      <c r="W62" s="79" t="str">
        <f aca="false">IFERROR(IF(OR(U62="",V62=""),"",IF(Dashboard!$K$5="L",IF(V62=0,"",U62/V62),IF(Dashboard!$K$5="R",IF(U62=0,"",V62/U62),IF(MAX(U62,V62)=0,"",MIN(U62,V62)/MAX(U62,V62))))),"")</f>
        <v/>
      </c>
      <c r="X62" s="67"/>
      <c r="Y62" s="67"/>
      <c r="Z62" s="79" t="str">
        <f aca="false">IFERROR(IF(OR(X62="",Y62=""),"",IF(Dashboard!$K$5="L",IF(Y62=0,"",X62/Y62),IF(Dashboard!$K$5="R",IF(X62=0,"",Y62/X62),IF(MAX(X62,Y62)=0,"",MIN(X62,Y62)/MAX(X62,Y62))))),"")</f>
        <v/>
      </c>
      <c r="AA62" s="58"/>
    </row>
    <row r="63" customFormat="false" ht="15" hidden="false" customHeight="false" outlineLevel="0" collapsed="false">
      <c r="A63" s="56"/>
      <c r="B63" s="57" t="str">
        <f aca="false">IF(A63="","",IF(Dashboard!$L$5="","",INT((A63-Dashboard!$L$5)/7)+1))</f>
        <v/>
      </c>
      <c r="C63" s="67"/>
      <c r="D63" s="67"/>
      <c r="E63" s="79" t="str">
        <f aca="false">IFERROR(IF(OR(C63="",D63=""),"",IF(Dashboard!$K$5="L",IF(D63=0,"",C63/D63),IF(Dashboard!$K$5="R",IF(C63=0,"",D63/C63),IF(MAX(C63,D63)=0,"",MIN(C63,D63)/MAX(C63,D63))))),"")</f>
        <v/>
      </c>
      <c r="F63" s="67"/>
      <c r="G63" s="67"/>
      <c r="H63" s="79" t="str">
        <f aca="false">IFERROR(IF(OR(F63="",G63=""),"",IF(Dashboard!$K$5="L",IF(G63=0,"",F63/G63),IF(Dashboard!$K$5="R",IF(F63=0,"",G63/F63),IF(MAX(F63,G63)=0,"",MIN(F63,G63)/MAX(F63,G63))))),"")</f>
        <v/>
      </c>
      <c r="I63" s="67"/>
      <c r="J63" s="67"/>
      <c r="K63" s="79" t="str">
        <f aca="false">IFERROR(IF(OR(I63="",J63=""),"",IF(Dashboard!$K$5="L",IF(J63=0,"",I63/J63),IF(Dashboard!$K$5="R",IF(I63=0,"",J63/I63),IF(MAX(I63,J63)=0,"",MIN(I63,J63)/MAX(I63,J63))))),"")</f>
        <v/>
      </c>
      <c r="L63" s="67"/>
      <c r="M63" s="67"/>
      <c r="N63" s="79" t="str">
        <f aca="false">IFERROR(IF(OR(L63="",M63=""),"",IF(Dashboard!$K$5="L",IF(M63=0,"",L63/M63),IF(Dashboard!$K$5="R",IF(L63=0,"",M63/L63),IF(MAX(L63,M63)=0,"",MIN(L63,M63)/MAX(L63,M63))))),"")</f>
        <v/>
      </c>
      <c r="O63" s="67"/>
      <c r="P63" s="67"/>
      <c r="Q63" s="79" t="str">
        <f aca="false">IFERROR(IF(OR(O63="",P63=""),"",IF(Dashboard!$K$5="L",IF(P63=0,"",O63/P63),IF(Dashboard!$K$5="R",IF(O63=0,"",P63/O63),IF(MAX(O63,P63)=0,"",MIN(O63,P63)/MAX(O63,P63))))),"")</f>
        <v/>
      </c>
      <c r="R63" s="67"/>
      <c r="S63" s="67"/>
      <c r="T63" s="79" t="str">
        <f aca="false">IFERROR(IF(OR(R63="",S63=""),"",IF(Dashboard!$K$5="L",IF(S63=0,"",R63/S63),IF(Dashboard!$K$5="R",IF(R63=0,"",S63/R63),IF(MAX(R63,S63)=0,"",MIN(R63,S63)/MAX(R63,S63))))),"")</f>
        <v/>
      </c>
      <c r="U63" s="67"/>
      <c r="V63" s="67"/>
      <c r="W63" s="79" t="str">
        <f aca="false">IFERROR(IF(OR(U63="",V63=""),"",IF(Dashboard!$K$5="L",IF(V63=0,"",U63/V63),IF(Dashboard!$K$5="R",IF(U63=0,"",V63/U63),IF(MAX(U63,V63)=0,"",MIN(U63,V63)/MAX(U63,V63))))),"")</f>
        <v/>
      </c>
      <c r="X63" s="67"/>
      <c r="Y63" s="67"/>
      <c r="Z63" s="79" t="str">
        <f aca="false">IFERROR(IF(OR(X63="",Y63=""),"",IF(Dashboard!$K$5="L",IF(Y63=0,"",X63/Y63),IF(Dashboard!$K$5="R",IF(X63=0,"",Y63/X63),IF(MAX(X63,Y63)=0,"",MIN(X63,Y63)/MAX(X63,Y63))))),"")</f>
        <v/>
      </c>
      <c r="AA63" s="58"/>
    </row>
    <row r="64" customFormat="false" ht="15" hidden="false" customHeight="false" outlineLevel="0" collapsed="false">
      <c r="A64" s="56"/>
      <c r="B64" s="57" t="str">
        <f aca="false">IF(A64="","",IF(Dashboard!$L$5="","",INT((A64-Dashboard!$L$5)/7)+1))</f>
        <v/>
      </c>
      <c r="C64" s="67"/>
      <c r="D64" s="67"/>
      <c r="E64" s="79" t="str">
        <f aca="false">IFERROR(IF(OR(C64="",D64=""),"",IF(Dashboard!$K$5="L",IF(D64=0,"",C64/D64),IF(Dashboard!$K$5="R",IF(C64=0,"",D64/C64),IF(MAX(C64,D64)=0,"",MIN(C64,D64)/MAX(C64,D64))))),"")</f>
        <v/>
      </c>
      <c r="F64" s="67"/>
      <c r="G64" s="67"/>
      <c r="H64" s="79" t="str">
        <f aca="false">IFERROR(IF(OR(F64="",G64=""),"",IF(Dashboard!$K$5="L",IF(G64=0,"",F64/G64),IF(Dashboard!$K$5="R",IF(F64=0,"",G64/F64),IF(MAX(F64,G64)=0,"",MIN(F64,G64)/MAX(F64,G64))))),"")</f>
        <v/>
      </c>
      <c r="I64" s="67"/>
      <c r="J64" s="67"/>
      <c r="K64" s="79" t="str">
        <f aca="false">IFERROR(IF(OR(I64="",J64=""),"",IF(Dashboard!$K$5="L",IF(J64=0,"",I64/J64),IF(Dashboard!$K$5="R",IF(I64=0,"",J64/I64),IF(MAX(I64,J64)=0,"",MIN(I64,J64)/MAX(I64,J64))))),"")</f>
        <v/>
      </c>
      <c r="L64" s="67"/>
      <c r="M64" s="67"/>
      <c r="N64" s="79" t="str">
        <f aca="false">IFERROR(IF(OR(L64="",M64=""),"",IF(Dashboard!$K$5="L",IF(M64=0,"",L64/M64),IF(Dashboard!$K$5="R",IF(L64=0,"",M64/L64),IF(MAX(L64,M64)=0,"",MIN(L64,M64)/MAX(L64,M64))))),"")</f>
        <v/>
      </c>
      <c r="O64" s="67"/>
      <c r="P64" s="67"/>
      <c r="Q64" s="79" t="str">
        <f aca="false">IFERROR(IF(OR(O64="",P64=""),"",IF(Dashboard!$K$5="L",IF(P64=0,"",O64/P64),IF(Dashboard!$K$5="R",IF(O64=0,"",P64/O64),IF(MAX(O64,P64)=0,"",MIN(O64,P64)/MAX(O64,P64))))),"")</f>
        <v/>
      </c>
      <c r="R64" s="67"/>
      <c r="S64" s="67"/>
      <c r="T64" s="79" t="str">
        <f aca="false">IFERROR(IF(OR(R64="",S64=""),"",IF(Dashboard!$K$5="L",IF(S64=0,"",R64/S64),IF(Dashboard!$K$5="R",IF(R64=0,"",S64/R64),IF(MAX(R64,S64)=0,"",MIN(R64,S64)/MAX(R64,S64))))),"")</f>
        <v/>
      </c>
      <c r="U64" s="67"/>
      <c r="V64" s="67"/>
      <c r="W64" s="79" t="str">
        <f aca="false">IFERROR(IF(OR(U64="",V64=""),"",IF(Dashboard!$K$5="L",IF(V64=0,"",U64/V64),IF(Dashboard!$K$5="R",IF(U64=0,"",V64/U64),IF(MAX(U64,V64)=0,"",MIN(U64,V64)/MAX(U64,V64))))),"")</f>
        <v/>
      </c>
      <c r="X64" s="67"/>
      <c r="Y64" s="67"/>
      <c r="Z64" s="79" t="str">
        <f aca="false">IFERROR(IF(OR(X64="",Y64=""),"",IF(Dashboard!$K$5="L",IF(Y64=0,"",X64/Y64),IF(Dashboard!$K$5="R",IF(X64=0,"",Y64/X64),IF(MAX(X64,Y64)=0,"",MIN(X64,Y64)/MAX(X64,Y64))))),"")</f>
        <v/>
      </c>
      <c r="AA64" s="58"/>
    </row>
    <row r="65" customFormat="false" ht="15" hidden="false" customHeight="false" outlineLevel="0" collapsed="false">
      <c r="A65" s="56"/>
      <c r="B65" s="57" t="str">
        <f aca="false">IF(A65="","",IF(Dashboard!$L$5="","",INT((A65-Dashboard!$L$5)/7)+1))</f>
        <v/>
      </c>
      <c r="C65" s="67"/>
      <c r="D65" s="67"/>
      <c r="E65" s="79" t="str">
        <f aca="false">IFERROR(IF(OR(C65="",D65=""),"",IF(Dashboard!$K$5="L",IF(D65=0,"",C65/D65),IF(Dashboard!$K$5="R",IF(C65=0,"",D65/C65),IF(MAX(C65,D65)=0,"",MIN(C65,D65)/MAX(C65,D65))))),"")</f>
        <v/>
      </c>
      <c r="F65" s="67"/>
      <c r="G65" s="67"/>
      <c r="H65" s="79" t="str">
        <f aca="false">IFERROR(IF(OR(F65="",G65=""),"",IF(Dashboard!$K$5="L",IF(G65=0,"",F65/G65),IF(Dashboard!$K$5="R",IF(F65=0,"",G65/F65),IF(MAX(F65,G65)=0,"",MIN(F65,G65)/MAX(F65,G65))))),"")</f>
        <v/>
      </c>
      <c r="I65" s="67"/>
      <c r="J65" s="67"/>
      <c r="K65" s="79" t="str">
        <f aca="false">IFERROR(IF(OR(I65="",J65=""),"",IF(Dashboard!$K$5="L",IF(J65=0,"",I65/J65),IF(Dashboard!$K$5="R",IF(I65=0,"",J65/I65),IF(MAX(I65,J65)=0,"",MIN(I65,J65)/MAX(I65,J65))))),"")</f>
        <v/>
      </c>
      <c r="L65" s="67"/>
      <c r="M65" s="67"/>
      <c r="N65" s="79" t="str">
        <f aca="false">IFERROR(IF(OR(L65="",M65=""),"",IF(Dashboard!$K$5="L",IF(M65=0,"",L65/M65),IF(Dashboard!$K$5="R",IF(L65=0,"",M65/L65),IF(MAX(L65,M65)=0,"",MIN(L65,M65)/MAX(L65,M65))))),"")</f>
        <v/>
      </c>
      <c r="O65" s="67"/>
      <c r="P65" s="67"/>
      <c r="Q65" s="79" t="str">
        <f aca="false">IFERROR(IF(OR(O65="",P65=""),"",IF(Dashboard!$K$5="L",IF(P65=0,"",O65/P65),IF(Dashboard!$K$5="R",IF(O65=0,"",P65/O65),IF(MAX(O65,P65)=0,"",MIN(O65,P65)/MAX(O65,P65))))),"")</f>
        <v/>
      </c>
      <c r="R65" s="67"/>
      <c r="S65" s="67"/>
      <c r="T65" s="79" t="str">
        <f aca="false">IFERROR(IF(OR(R65="",S65=""),"",IF(Dashboard!$K$5="L",IF(S65=0,"",R65/S65),IF(Dashboard!$K$5="R",IF(R65=0,"",S65/R65),IF(MAX(R65,S65)=0,"",MIN(R65,S65)/MAX(R65,S65))))),"")</f>
        <v/>
      </c>
      <c r="U65" s="67"/>
      <c r="V65" s="67"/>
      <c r="W65" s="79" t="str">
        <f aca="false">IFERROR(IF(OR(U65="",V65=""),"",IF(Dashboard!$K$5="L",IF(V65=0,"",U65/V65),IF(Dashboard!$K$5="R",IF(U65=0,"",V65/U65),IF(MAX(U65,V65)=0,"",MIN(U65,V65)/MAX(U65,V65))))),"")</f>
        <v/>
      </c>
      <c r="X65" s="67"/>
      <c r="Y65" s="67"/>
      <c r="Z65" s="79" t="str">
        <f aca="false">IFERROR(IF(OR(X65="",Y65=""),"",IF(Dashboard!$K$5="L",IF(Y65=0,"",X65/Y65),IF(Dashboard!$K$5="R",IF(X65=0,"",Y65/X65),IF(MAX(X65,Y65)=0,"",MIN(X65,Y65)/MAX(X65,Y65))))),"")</f>
        <v/>
      </c>
      <c r="AA65" s="58"/>
    </row>
    <row r="66" customFormat="false" ht="18" hidden="false" customHeight="true" outlineLevel="0" collapsed="false">
      <c r="A66" s="77" t="s">
        <v>151</v>
      </c>
      <c r="B66" s="77"/>
      <c r="C66" s="77" t="n">
        <f aca="false">IF(COUNT(C54:C65)=0,"",INDEX(C54:C65,SUMPRODUCT(MAX(ISNUMBER(C54:C65)*(($A$54:$A$65)=SUMPRODUCT(MAX(ISNUMBER(C54:C65)*($A$54:$A$65))))*(ROW(C54:C65)-ROW(C$54)+1)))))</f>
        <v>22.6</v>
      </c>
      <c r="D66" s="77" t="n">
        <f aca="false">IF(COUNT(D54:D65)=0,"",INDEX(D54:D65,SUMPRODUCT(MAX(ISNUMBER(D54:D65)*(($A$54:$A$65)=SUMPRODUCT(MAX(ISNUMBER(D54:D65)*($A$54:$A$65))))*(ROW(D54:D65)-ROW(D$54)+1)))))</f>
        <v>24.3</v>
      </c>
      <c r="E66" s="80" t="n">
        <f aca="false">IF(COUNT(E54:E65)=0,"",INDEX(E54:E65,SUMPRODUCT(MAX(ISNUMBER(E54:E65)*(($A$54:$A$65)=SUMPRODUCT(MAX(ISNUMBER(E54:E65)*($A$54:$A$65))))*(ROW(E54:E65)-ROW(E$54)+1)))))</f>
        <v>0.930041152263375</v>
      </c>
      <c r="F66" s="77" t="n">
        <f aca="false">IF(COUNT(F54:F65)=0,"",INDEX(F54:F65,SUMPRODUCT(MAX(ISNUMBER(F54:F65)*(($A$54:$A$65)=SUMPRODUCT(MAX(ISNUMBER(F54:F65)*($A$54:$A$65))))*(ROW(F54:F65)-ROW(F$54)+1)))))</f>
        <v>30.4</v>
      </c>
      <c r="G66" s="77" t="n">
        <f aca="false">IF(COUNT(G54:G65)=0,"",INDEX(G54:G65,SUMPRODUCT(MAX(ISNUMBER(G54:G65)*(($A$54:$A$65)=SUMPRODUCT(MAX(ISNUMBER(G54:G65)*($A$54:$A$65))))*(ROW(G54:G65)-ROW(G$54)+1)))))</f>
        <v>31.2</v>
      </c>
      <c r="H66" s="80" t="n">
        <f aca="false">IF(COUNT(H54:H65)=0,"",INDEX(H54:H65,SUMPRODUCT(MAX(ISNUMBER(H54:H65)*(($A$54:$A$65)=SUMPRODUCT(MAX(ISNUMBER(H54:H65)*($A$54:$A$65))))*(ROW(H54:H65)-ROW(H$54)+1)))))</f>
        <v>0.974358974358974</v>
      </c>
      <c r="I66" s="77" t="n">
        <f aca="false">IF(COUNT(I54:I65)=0,"",INDEX(I54:I65,SUMPRODUCT(MAX(ISNUMBER(I54:I65)*(($A$54:$A$65)=SUMPRODUCT(MAX(ISNUMBER(I54:I65)*($A$54:$A$65))))*(ROW(I54:I65)-ROW(I$54)+1)))))</f>
        <v>12.1</v>
      </c>
      <c r="J66" s="77" t="n">
        <f aca="false">IF(COUNT(J54:J65)=0,"",INDEX(J54:J65,SUMPRODUCT(MAX(ISNUMBER(J54:J65)*(($A$54:$A$65)=SUMPRODUCT(MAX(ISNUMBER(J54:J65)*($A$54:$A$65))))*(ROW(J54:J65)-ROW(J$54)+1)))))</f>
        <v>12.9</v>
      </c>
      <c r="K66" s="80" t="n">
        <f aca="false">IF(COUNT(K54:K65)=0,"",INDEX(K54:K65,SUMPRODUCT(MAX(ISNUMBER(K54:K65)*(($A$54:$A$65)=SUMPRODUCT(MAX(ISNUMBER(K54:K65)*($A$54:$A$65))))*(ROW(K54:K65)-ROW(K$54)+1)))))</f>
        <v>0.937984496124031</v>
      </c>
      <c r="L66" s="77" t="n">
        <f aca="false">IF(COUNT(L54:L65)=0,"",INDEX(L54:L65,SUMPRODUCT(MAX(ISNUMBER(L54:L65)*(($A$54:$A$65)=SUMPRODUCT(MAX(ISNUMBER(L54:L65)*($A$54:$A$65))))*(ROW(L54:L65)-ROW(L$54)+1)))))</f>
        <v>13.4</v>
      </c>
      <c r="M66" s="77" t="n">
        <f aca="false">IF(COUNT(M54:M65)=0,"",INDEX(M54:M65,SUMPRODUCT(MAX(ISNUMBER(M54:M65)*(($A$54:$A$65)=SUMPRODUCT(MAX(ISNUMBER(M54:M65)*($A$54:$A$65))))*(ROW(M54:M65)-ROW(M$54)+1)))))</f>
        <v>13.2</v>
      </c>
      <c r="N66" s="80" t="n">
        <f aca="false">IF(COUNT(N54:N65)=0,"",INDEX(N54:N65,SUMPRODUCT(MAX(ISNUMBER(N54:N65)*(($A$54:$A$65)=SUMPRODUCT(MAX(ISNUMBER(N54:N65)*($A$54:$A$65))))*(ROW(N54:N65)-ROW(N$54)+1)))))</f>
        <v>1.01515151515152</v>
      </c>
      <c r="O66" s="77" t="n">
        <f aca="false">IF(COUNT(O54:O65)=0,"",INDEX(O54:O65,SUMPRODUCT(MAX(ISNUMBER(O54:O65)*(($A$54:$A$65)=SUMPRODUCT(MAX(ISNUMBER(O54:O65)*($A$54:$A$65))))*(ROW(O54:O65)-ROW(O$54)+1)))))</f>
        <v>28.1</v>
      </c>
      <c r="P66" s="77" t="n">
        <f aca="false">IF(COUNT(P54:P65)=0,"",INDEX(P54:P65,SUMPRODUCT(MAX(ISNUMBER(P54:P65)*(($A$54:$A$65)=SUMPRODUCT(MAX(ISNUMBER(P54:P65)*($A$54:$A$65))))*(ROW(P54:P65)-ROW(P$54)+1)))))</f>
        <v>30.4</v>
      </c>
      <c r="Q66" s="80" t="n">
        <f aca="false">IF(COUNT(Q54:Q65)=0,"",INDEX(Q54:Q65,SUMPRODUCT(MAX(ISNUMBER(Q54:Q65)*(($A$54:$A$65)=SUMPRODUCT(MAX(ISNUMBER(Q54:Q65)*($A$54:$A$65))))*(ROW(Q54:Q65)-ROW(Q$54)+1)))))</f>
        <v>0.924342105263158</v>
      </c>
      <c r="R66" s="77" t="n">
        <f aca="false">IF(COUNT(R54:R65)=0,"",INDEX(R54:R65,SUMPRODUCT(MAX(ISNUMBER(R54:R65)*(($A$54:$A$65)=SUMPRODUCT(MAX(ISNUMBER(R54:R65)*($A$54:$A$65))))*(ROW(R54:R65)-ROW(R$54)+1)))))</f>
        <v>25.8</v>
      </c>
      <c r="S66" s="77" t="n">
        <f aca="false">IF(COUNT(S54:S65)=0,"",INDEX(S54:S65,SUMPRODUCT(MAX(ISNUMBER(S54:S65)*(($A$54:$A$65)=SUMPRODUCT(MAX(ISNUMBER(S54:S65)*($A$54:$A$65))))*(ROW(S54:S65)-ROW(S$54)+1)))))</f>
        <v>27.6</v>
      </c>
      <c r="T66" s="80" t="n">
        <f aca="false">IF(COUNT(T54:T65)=0,"",INDEX(T54:T65,SUMPRODUCT(MAX(ISNUMBER(T54:T65)*(($A$54:$A$65)=SUMPRODUCT(MAX(ISNUMBER(T54:T65)*($A$54:$A$65))))*(ROW(T54:T65)-ROW(T$54)+1)))))</f>
        <v>0.934782608695652</v>
      </c>
      <c r="U66" s="77" t="n">
        <f aca="false">IF(COUNT(U54:U65)=0,"",INDEX(U54:U65,SUMPRODUCT(MAX(ISNUMBER(U54:U65)*(($A$54:$A$65)=SUMPRODUCT(MAX(ISNUMBER(U54:U65)*($A$54:$A$65))))*(ROW(U54:U65)-ROW(U$54)+1)))))</f>
        <v>20.5</v>
      </c>
      <c r="V66" s="77" t="n">
        <f aca="false">IF(COUNT(V54:V65)=0,"",INDEX(V54:V65,SUMPRODUCT(MAX(ISNUMBER(V54:V65)*(($A$54:$A$65)=SUMPRODUCT(MAX(ISNUMBER(V54:V65)*($A$54:$A$65))))*(ROW(V54:V65)-ROW(V$54)+1)))))</f>
        <v>22</v>
      </c>
      <c r="W66" s="80" t="n">
        <f aca="false">IF(COUNT(W54:W65)=0,"",INDEX(W54:W65,SUMPRODUCT(MAX(ISNUMBER(W54:W65)*(($A$54:$A$65)=SUMPRODUCT(MAX(ISNUMBER(W54:W65)*($A$54:$A$65))))*(ROW(W54:W65)-ROW(W$54)+1)))))</f>
        <v>0.931818181818182</v>
      </c>
      <c r="X66" s="77" t="str">
        <f aca="false">IF(COUNT(X54:X65)=0,"",INDEX(X54:X65,SUMPRODUCT(MAX(ISNUMBER(X54:X65)*(($A$54:$A$65)=SUMPRODUCT(MAX(ISNUMBER(X54:X65)*($A$54:$A$65))))*(ROW(X54:X65)-ROW(X$54)+1)))))</f>
        <v/>
      </c>
      <c r="Y66" s="77" t="str">
        <f aca="false">IF(COUNT(Y54:Y65)=0,"",INDEX(Y54:Y65,SUMPRODUCT(MAX(ISNUMBER(Y54:Y65)*(($A$54:$A$65)=SUMPRODUCT(MAX(ISNUMBER(Y54:Y65)*($A$54:$A$65))))*(ROW(Y54:Y65)-ROW(Y$54)+1)))))</f>
        <v/>
      </c>
      <c r="Z66" s="80" t="str">
        <f aca="false">IF(COUNT(Z54:Z65)=0,"",INDEX(Z54:Z65,SUMPRODUCT(MAX(ISNUMBER(Z54:Z65)*(($A$54:$A$65)=SUMPRODUCT(MAX(ISNUMBER(Z54:Z65)*($A$54:$A$65))))*(ROW(Z54:Z65)-ROW(Z$54)+1)))))</f>
        <v/>
      </c>
      <c r="AA66" s="81" t="s">
        <v>152</v>
      </c>
    </row>
    <row r="67" customFormat="false" ht="15" hidden="false" customHeight="true" outlineLevel="0" collapsed="false">
      <c r="A67" s="65" t="s">
        <v>153</v>
      </c>
      <c r="B67" s="65"/>
      <c r="C67" s="70" t="n">
        <f aca="false">IF(OR(COUNT(C54:C65)=0,SUMPRODUCT(MAX(ISNUMBER(C54:C65)*($A$54:$A$65)))=0),"",SUMPRODUCT(MAX(ISNUMBER(C54:C65)*($A$54:$A$65))))</f>
        <v>46314</v>
      </c>
      <c r="D67" s="70"/>
      <c r="E67" s="70"/>
      <c r="F67" s="70" t="n">
        <f aca="false">IF(OR(COUNT(F54:F65)=0,SUMPRODUCT(MAX(ISNUMBER(F54:F65)*($A$54:$A$65)))=0),"",SUMPRODUCT(MAX(ISNUMBER(F54:F65)*($A$54:$A$65))))</f>
        <v>46314</v>
      </c>
      <c r="G67" s="70"/>
      <c r="H67" s="70"/>
      <c r="I67" s="70" t="n">
        <f aca="false">IF(OR(COUNT(I54:I65)=0,SUMPRODUCT(MAX(ISNUMBER(I54:I65)*($A$54:$A$65)))=0),"",SUMPRODUCT(MAX(ISNUMBER(I54:I65)*($A$54:$A$65))))</f>
        <v>46314</v>
      </c>
      <c r="J67" s="70"/>
      <c r="K67" s="70"/>
      <c r="L67" s="70" t="n">
        <f aca="false">IF(OR(COUNT(L54:L65)=0,SUMPRODUCT(MAX(ISNUMBER(L54:L65)*($A$54:$A$65)))=0),"",SUMPRODUCT(MAX(ISNUMBER(L54:L65)*($A$54:$A$65))))</f>
        <v>46314</v>
      </c>
      <c r="M67" s="70"/>
      <c r="N67" s="70"/>
      <c r="O67" s="70" t="n">
        <f aca="false">IF(OR(COUNT(O54:O65)=0,SUMPRODUCT(MAX(ISNUMBER(O54:O65)*($A$54:$A$65)))=0),"",SUMPRODUCT(MAX(ISNUMBER(O54:O65)*($A$54:$A$65))))</f>
        <v>46314</v>
      </c>
      <c r="P67" s="70"/>
      <c r="Q67" s="70"/>
      <c r="R67" s="70" t="n">
        <f aca="false">IF(OR(COUNT(R54:R65)=0,SUMPRODUCT(MAX(ISNUMBER(R54:R65)*($A$54:$A$65)))=0),"",SUMPRODUCT(MAX(ISNUMBER(R54:R65)*($A$54:$A$65))))</f>
        <v>46314</v>
      </c>
      <c r="S67" s="70"/>
      <c r="T67" s="70"/>
      <c r="U67" s="70" t="n">
        <f aca="false">IF(OR(COUNT(U54:U65)=0,SUMPRODUCT(MAX(ISNUMBER(U54:U65)*($A$54:$A$65)))=0),"",SUMPRODUCT(MAX(ISNUMBER(U54:U65)*($A$54:$A$65))))</f>
        <v>46314</v>
      </c>
      <c r="V67" s="70"/>
      <c r="W67" s="70"/>
      <c r="X67" s="70" t="str">
        <f aca="false">IF(OR(COUNT(X54:X65)=0,SUMPRODUCT(MAX(ISNUMBER(X54:X65)*($A$54:$A$65)))=0),"",SUMPRODUCT(MAX(ISNUMBER(X54:X65)*($A$54:$A$65))))</f>
        <v/>
      </c>
      <c r="Y67" s="70"/>
      <c r="Z67" s="70"/>
      <c r="AA67" s="82"/>
    </row>
    <row r="69" customFormat="false" ht="19.5" hidden="false" customHeight="true" outlineLevel="0" collapsed="false">
      <c r="A69" s="62" t="s">
        <v>159</v>
      </c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</row>
    <row r="70" customFormat="false" ht="31.5" hidden="false" customHeight="true" outlineLevel="0" collapsed="false">
      <c r="A70" s="55" t="s">
        <v>52</v>
      </c>
      <c r="B70" s="55" t="s">
        <v>75</v>
      </c>
      <c r="C70" s="77" t="s">
        <v>160</v>
      </c>
      <c r="D70" s="77"/>
      <c r="E70" s="77"/>
      <c r="F70" s="77" t="s">
        <v>125</v>
      </c>
      <c r="G70" s="77"/>
      <c r="H70" s="77"/>
      <c r="I70" s="77" t="s">
        <v>127</v>
      </c>
      <c r="J70" s="77"/>
      <c r="K70" s="77"/>
      <c r="L70" s="77" t="s">
        <v>161</v>
      </c>
      <c r="M70" s="77"/>
      <c r="N70" s="77"/>
      <c r="O70" s="77" t="s">
        <v>162</v>
      </c>
      <c r="P70" s="77"/>
      <c r="Q70" s="77"/>
      <c r="R70" s="77" t="s">
        <v>163</v>
      </c>
      <c r="S70" s="77"/>
      <c r="T70" s="77"/>
      <c r="U70" s="77" t="s">
        <v>164</v>
      </c>
      <c r="V70" s="77"/>
      <c r="W70" s="77"/>
      <c r="X70" s="77" t="s">
        <v>165</v>
      </c>
      <c r="Y70" s="77"/>
      <c r="Z70" s="77"/>
      <c r="AA70" s="55" t="s">
        <v>84</v>
      </c>
    </row>
    <row r="71" customFormat="false" ht="15.75" hidden="false" customHeight="true" outlineLevel="0" collapsed="false">
      <c r="A71" s="55"/>
      <c r="B71" s="55"/>
      <c r="C71" s="55" t="s">
        <v>166</v>
      </c>
      <c r="D71" s="55" t="s">
        <v>167</v>
      </c>
      <c r="E71" s="55" t="s">
        <v>167</v>
      </c>
      <c r="F71" s="55" t="s">
        <v>12</v>
      </c>
      <c r="G71" s="55" t="s">
        <v>49</v>
      </c>
      <c r="H71" s="55" t="s">
        <v>50</v>
      </c>
      <c r="I71" s="55" t="s">
        <v>12</v>
      </c>
      <c r="J71" s="55" t="s">
        <v>49</v>
      </c>
      <c r="K71" s="55" t="s">
        <v>50</v>
      </c>
      <c r="L71" s="55" t="s">
        <v>12</v>
      </c>
      <c r="M71" s="55" t="s">
        <v>49</v>
      </c>
      <c r="N71" s="55" t="s">
        <v>50</v>
      </c>
      <c r="O71" s="55" t="s">
        <v>12</v>
      </c>
      <c r="P71" s="55" t="s">
        <v>49</v>
      </c>
      <c r="Q71" s="55" t="s">
        <v>50</v>
      </c>
      <c r="R71" s="55" t="s">
        <v>166</v>
      </c>
      <c r="S71" s="55" t="s">
        <v>167</v>
      </c>
      <c r="T71" s="55" t="s">
        <v>167</v>
      </c>
      <c r="U71" s="55" t="s">
        <v>12</v>
      </c>
      <c r="V71" s="55" t="s">
        <v>49</v>
      </c>
      <c r="W71" s="55" t="s">
        <v>50</v>
      </c>
      <c r="X71" s="55" t="s">
        <v>166</v>
      </c>
      <c r="Y71" s="55" t="s">
        <v>167</v>
      </c>
      <c r="Z71" s="55" t="s">
        <v>167</v>
      </c>
      <c r="AA71" s="55"/>
    </row>
    <row r="72" customFormat="false" ht="15" hidden="false" customHeight="false" outlineLevel="0" collapsed="false">
      <c r="A72" s="56"/>
      <c r="B72" s="57" t="str">
        <f aca="false">IF(A72="","",IF(Dashboard!$L$5="","",INT((A72-Dashboard!$L$5)/7)+1))</f>
        <v/>
      </c>
      <c r="C72" s="67"/>
      <c r="D72" s="83"/>
      <c r="E72" s="84" t="str">
        <f aca="false">IFERROR(IF(OR(C72="",D72=""),"",IF(Dashboard!$K$5="L",IF(D72=0,"",C72/D72),IF(Dashboard!$K$5="R",IF(C72=0,"",D72/C72),IF(MAX(C72,D72)=0,"",MIN(C72,D72)/MAX(C72,D72))))),"")</f>
        <v/>
      </c>
      <c r="F72" s="67"/>
      <c r="G72" s="67"/>
      <c r="H72" s="79" t="str">
        <f aca="false">IFERROR(IF(OR(F72="",G72=""),"",IF(Dashboard!$K$5="L",IF(G72=0,"",F72/G72),IF(Dashboard!$K$5="R",IF(F72=0,"",G72/F72),IF(MAX(F72,G72)=0,"",MIN(F72,G72)/MAX(F72,G72))))),"")</f>
        <v/>
      </c>
      <c r="I72" s="67"/>
      <c r="J72" s="67"/>
      <c r="K72" s="79" t="str">
        <f aca="false">IFERROR(IF(OR(I72="",J72=""),"",IF(Dashboard!$K$5="L",IF(J72=0,"",I72/J72),IF(Dashboard!$K$5="R",IF(I72=0,"",J72/I72),IF(MAX(I72,J72)=0,"",MIN(I72,J72)/MAX(I72,J72))))),"")</f>
        <v/>
      </c>
      <c r="L72" s="67"/>
      <c r="M72" s="67"/>
      <c r="N72" s="79" t="str">
        <f aca="false">IFERROR(IF(OR(L72="",M72=""),"",IF(Dashboard!$K$5="L",IF(M72=0,"",L72/M72),IF(Dashboard!$K$5="R",IF(L72=0,"",M72/L72),IF(MAX(L72,M72)=0,"",MIN(L72,M72)/MAX(L72,M72))))),"")</f>
        <v/>
      </c>
      <c r="O72" s="67"/>
      <c r="P72" s="67"/>
      <c r="Q72" s="79" t="str">
        <f aca="false">IFERROR(IF(OR(O72="",P72=""),"",IF(Dashboard!$K$5="L",IF(P72=0,"",O72/P72),IF(Dashboard!$K$5="R",IF(O72=0,"",P72/O72),IF(MAX(O72,P72)=0,"",MIN(O72,P72)/MAX(O72,P72))))),"")</f>
        <v/>
      </c>
      <c r="R72" s="67"/>
      <c r="S72" s="83"/>
      <c r="T72" s="84" t="str">
        <f aca="false">IFERROR(IF(OR(R72="",S72=""),"",IF(Dashboard!$K$5="L",IF(S72=0,"",R72/S72),IF(Dashboard!$K$5="R",IF(R72=0,"",S72/R72),IF(MAX(R72,S72)=0,"",MIN(R72,S72)/MAX(R72,S72))))),"")</f>
        <v/>
      </c>
      <c r="U72" s="67"/>
      <c r="V72" s="67"/>
      <c r="W72" s="79" t="str">
        <f aca="false">IFERROR(IF(OR(U72="",V72=""),"",IF(Dashboard!$K$5="L",IF(V72=0,"",U72/V72),IF(Dashboard!$K$5="R",IF(U72=0,"",V72/U72),IF(MAX(U72,V72)=0,"",MIN(U72,V72)/MAX(U72,V72))))),"")</f>
        <v/>
      </c>
      <c r="X72" s="67"/>
      <c r="Y72" s="83"/>
      <c r="Z72" s="84" t="str">
        <f aca="false">IFERROR(IF(OR(X72="",Y72=""),"",IF(Dashboard!$K$5="L",IF(Y72=0,"",X72/Y72),IF(Dashboard!$K$5="R",IF(X72=0,"",Y72/X72),IF(MAX(X72,Y72)=0,"",MIN(X72,Y72)/MAX(X72,Y72))))),"")</f>
        <v/>
      </c>
      <c r="AA72" s="58"/>
    </row>
    <row r="73" customFormat="false" ht="15" hidden="false" customHeight="false" outlineLevel="0" collapsed="false">
      <c r="A73" s="56"/>
      <c r="B73" s="57" t="str">
        <f aca="false">IF(A73="","",IF(Dashboard!$L$5="","",INT((A73-Dashboard!$L$5)/7)+1))</f>
        <v/>
      </c>
      <c r="C73" s="67"/>
      <c r="D73" s="83"/>
      <c r="E73" s="84" t="str">
        <f aca="false">IFERROR(IF(OR(C73="",D73=""),"",IF(Dashboard!$K$5="L",IF(D73=0,"",C73/D73),IF(Dashboard!$K$5="R",IF(C73=0,"",D73/C73),IF(MAX(C73,D73)=0,"",MIN(C73,D73)/MAX(C73,D73))))),"")</f>
        <v/>
      </c>
      <c r="F73" s="67"/>
      <c r="G73" s="67"/>
      <c r="H73" s="79" t="str">
        <f aca="false">IFERROR(IF(OR(F73="",G73=""),"",IF(Dashboard!$K$5="L",IF(G73=0,"",F73/G73),IF(Dashboard!$K$5="R",IF(F73=0,"",G73/F73),IF(MAX(F73,G73)=0,"",MIN(F73,G73)/MAX(F73,G73))))),"")</f>
        <v/>
      </c>
      <c r="I73" s="67"/>
      <c r="J73" s="67"/>
      <c r="K73" s="79" t="str">
        <f aca="false">IFERROR(IF(OR(I73="",J73=""),"",IF(Dashboard!$K$5="L",IF(J73=0,"",I73/J73),IF(Dashboard!$K$5="R",IF(I73=0,"",J73/I73),IF(MAX(I73,J73)=0,"",MIN(I73,J73)/MAX(I73,J73))))),"")</f>
        <v/>
      </c>
      <c r="L73" s="67"/>
      <c r="M73" s="67"/>
      <c r="N73" s="79" t="str">
        <f aca="false">IFERROR(IF(OR(L73="",M73=""),"",IF(Dashboard!$K$5="L",IF(M73=0,"",L73/M73),IF(Dashboard!$K$5="R",IF(L73=0,"",M73/L73),IF(MAX(L73,M73)=0,"",MIN(L73,M73)/MAX(L73,M73))))),"")</f>
        <v/>
      </c>
      <c r="O73" s="67"/>
      <c r="P73" s="67"/>
      <c r="Q73" s="79" t="str">
        <f aca="false">IFERROR(IF(OR(O73="",P73=""),"",IF(Dashboard!$K$5="L",IF(P73=0,"",O73/P73),IF(Dashboard!$K$5="R",IF(O73=0,"",P73/O73),IF(MAX(O73,P73)=0,"",MIN(O73,P73)/MAX(O73,P73))))),"")</f>
        <v/>
      </c>
      <c r="R73" s="67"/>
      <c r="S73" s="83"/>
      <c r="T73" s="84" t="str">
        <f aca="false">IFERROR(IF(OR(R73="",S73=""),"",IF(Dashboard!$K$5="L",IF(S73=0,"",R73/S73),IF(Dashboard!$K$5="R",IF(R73=0,"",S73/R73),IF(MAX(R73,S73)=0,"",MIN(R73,S73)/MAX(R73,S73))))),"")</f>
        <v/>
      </c>
      <c r="U73" s="67"/>
      <c r="V73" s="67"/>
      <c r="W73" s="79" t="str">
        <f aca="false">IFERROR(IF(OR(U73="",V73=""),"",IF(Dashboard!$K$5="L",IF(V73=0,"",U73/V73),IF(Dashboard!$K$5="R",IF(U73=0,"",V73/U73),IF(MAX(U73,V73)=0,"",MIN(U73,V73)/MAX(U73,V73))))),"")</f>
        <v/>
      </c>
      <c r="X73" s="67"/>
      <c r="Y73" s="83"/>
      <c r="Z73" s="84" t="str">
        <f aca="false">IFERROR(IF(OR(X73="",Y73=""),"",IF(Dashboard!$K$5="L",IF(Y73=0,"",X73/Y73),IF(Dashboard!$K$5="R",IF(X73=0,"",Y73/X73),IF(MAX(X73,Y73)=0,"",MIN(X73,Y73)/MAX(X73,Y73))))),"")</f>
        <v/>
      </c>
      <c r="AA73" s="58"/>
    </row>
    <row r="74" customFormat="false" ht="15" hidden="false" customHeight="false" outlineLevel="0" collapsed="false">
      <c r="A74" s="56"/>
      <c r="B74" s="57" t="str">
        <f aca="false">IF(A74="","",IF(Dashboard!$L$5="","",INT((A74-Dashboard!$L$5)/7)+1))</f>
        <v/>
      </c>
      <c r="C74" s="67"/>
      <c r="D74" s="83"/>
      <c r="E74" s="84" t="str">
        <f aca="false">IFERROR(IF(OR(C74="",D74=""),"",IF(Dashboard!$K$5="L",IF(D74=0,"",C74/D74),IF(Dashboard!$K$5="R",IF(C74=0,"",D74/C74),IF(MAX(C74,D74)=0,"",MIN(C74,D74)/MAX(C74,D74))))),"")</f>
        <v/>
      </c>
      <c r="F74" s="67"/>
      <c r="G74" s="67"/>
      <c r="H74" s="79" t="str">
        <f aca="false">IFERROR(IF(OR(F74="",G74=""),"",IF(Dashboard!$K$5="L",IF(G74=0,"",F74/G74),IF(Dashboard!$K$5="R",IF(F74=0,"",G74/F74),IF(MAX(F74,G74)=0,"",MIN(F74,G74)/MAX(F74,G74))))),"")</f>
        <v/>
      </c>
      <c r="I74" s="67"/>
      <c r="J74" s="67"/>
      <c r="K74" s="79" t="str">
        <f aca="false">IFERROR(IF(OR(I74="",J74=""),"",IF(Dashboard!$K$5="L",IF(J74=0,"",I74/J74),IF(Dashboard!$K$5="R",IF(I74=0,"",J74/I74),IF(MAX(I74,J74)=0,"",MIN(I74,J74)/MAX(I74,J74))))),"")</f>
        <v/>
      </c>
      <c r="L74" s="67"/>
      <c r="M74" s="67"/>
      <c r="N74" s="79" t="str">
        <f aca="false">IFERROR(IF(OR(L74="",M74=""),"",IF(Dashboard!$K$5="L",IF(M74=0,"",L74/M74),IF(Dashboard!$K$5="R",IF(L74=0,"",M74/L74),IF(MAX(L74,M74)=0,"",MIN(L74,M74)/MAX(L74,M74))))),"")</f>
        <v/>
      </c>
      <c r="O74" s="67"/>
      <c r="P74" s="67"/>
      <c r="Q74" s="79" t="str">
        <f aca="false">IFERROR(IF(OR(O74="",P74=""),"",IF(Dashboard!$K$5="L",IF(P74=0,"",O74/P74),IF(Dashboard!$K$5="R",IF(O74=0,"",P74/O74),IF(MAX(O74,P74)=0,"",MIN(O74,P74)/MAX(O74,P74))))),"")</f>
        <v/>
      </c>
      <c r="R74" s="67"/>
      <c r="S74" s="83"/>
      <c r="T74" s="84" t="str">
        <f aca="false">IFERROR(IF(OR(R74="",S74=""),"",IF(Dashboard!$K$5="L",IF(S74=0,"",R74/S74),IF(Dashboard!$K$5="R",IF(R74=0,"",S74/R74),IF(MAX(R74,S74)=0,"",MIN(R74,S74)/MAX(R74,S74))))),"")</f>
        <v/>
      </c>
      <c r="U74" s="67"/>
      <c r="V74" s="67"/>
      <c r="W74" s="79" t="str">
        <f aca="false">IFERROR(IF(OR(U74="",V74=""),"",IF(Dashboard!$K$5="L",IF(V74=0,"",U74/V74),IF(Dashboard!$K$5="R",IF(U74=0,"",V74/U74),IF(MAX(U74,V74)=0,"",MIN(U74,V74)/MAX(U74,V74))))),"")</f>
        <v/>
      </c>
      <c r="X74" s="67"/>
      <c r="Y74" s="83"/>
      <c r="Z74" s="84" t="str">
        <f aca="false">IFERROR(IF(OR(X74="",Y74=""),"",IF(Dashboard!$K$5="L",IF(Y74=0,"",X74/Y74),IF(Dashboard!$K$5="R",IF(X74=0,"",Y74/X74),IF(MAX(X74,Y74)=0,"",MIN(X74,Y74)/MAX(X74,Y74))))),"")</f>
        <v/>
      </c>
      <c r="AA74" s="58"/>
    </row>
    <row r="75" customFormat="false" ht="15" hidden="false" customHeight="false" outlineLevel="0" collapsed="false">
      <c r="A75" s="56"/>
      <c r="B75" s="57" t="str">
        <f aca="false">IF(A75="","",IF(Dashboard!$L$5="","",INT((A75-Dashboard!$L$5)/7)+1))</f>
        <v/>
      </c>
      <c r="C75" s="67"/>
      <c r="D75" s="83"/>
      <c r="E75" s="84" t="str">
        <f aca="false">IFERROR(IF(OR(C75="",D75=""),"",IF(Dashboard!$K$5="L",IF(D75=0,"",C75/D75),IF(Dashboard!$K$5="R",IF(C75=0,"",D75/C75),IF(MAX(C75,D75)=0,"",MIN(C75,D75)/MAX(C75,D75))))),"")</f>
        <v/>
      </c>
      <c r="F75" s="67"/>
      <c r="G75" s="67"/>
      <c r="H75" s="79" t="str">
        <f aca="false">IFERROR(IF(OR(F75="",G75=""),"",IF(Dashboard!$K$5="L",IF(G75=0,"",F75/G75),IF(Dashboard!$K$5="R",IF(F75=0,"",G75/F75),IF(MAX(F75,G75)=0,"",MIN(F75,G75)/MAX(F75,G75))))),"")</f>
        <v/>
      </c>
      <c r="I75" s="67"/>
      <c r="J75" s="67"/>
      <c r="K75" s="79" t="str">
        <f aca="false">IFERROR(IF(OR(I75="",J75=""),"",IF(Dashboard!$K$5="L",IF(J75=0,"",I75/J75),IF(Dashboard!$K$5="R",IF(I75=0,"",J75/I75),IF(MAX(I75,J75)=0,"",MIN(I75,J75)/MAX(I75,J75))))),"")</f>
        <v/>
      </c>
      <c r="L75" s="67"/>
      <c r="M75" s="67"/>
      <c r="N75" s="79" t="str">
        <f aca="false">IFERROR(IF(OR(L75="",M75=""),"",IF(Dashboard!$K$5="L",IF(M75=0,"",L75/M75),IF(Dashboard!$K$5="R",IF(L75=0,"",M75/L75),IF(MAX(L75,M75)=0,"",MIN(L75,M75)/MAX(L75,M75))))),"")</f>
        <v/>
      </c>
      <c r="O75" s="67"/>
      <c r="P75" s="67"/>
      <c r="Q75" s="79" t="str">
        <f aca="false">IFERROR(IF(OR(O75="",P75=""),"",IF(Dashboard!$K$5="L",IF(P75=0,"",O75/P75),IF(Dashboard!$K$5="R",IF(O75=0,"",P75/O75),IF(MAX(O75,P75)=0,"",MIN(O75,P75)/MAX(O75,P75))))),"")</f>
        <v/>
      </c>
      <c r="R75" s="67"/>
      <c r="S75" s="83"/>
      <c r="T75" s="84" t="str">
        <f aca="false">IFERROR(IF(OR(R75="",S75=""),"",IF(Dashboard!$K$5="L",IF(S75=0,"",R75/S75),IF(Dashboard!$K$5="R",IF(R75=0,"",S75/R75),IF(MAX(R75,S75)=0,"",MIN(R75,S75)/MAX(R75,S75))))),"")</f>
        <v/>
      </c>
      <c r="U75" s="67"/>
      <c r="V75" s="67"/>
      <c r="W75" s="79" t="str">
        <f aca="false">IFERROR(IF(OR(U75="",V75=""),"",IF(Dashboard!$K$5="L",IF(V75=0,"",U75/V75),IF(Dashboard!$K$5="R",IF(U75=0,"",V75/U75),IF(MAX(U75,V75)=0,"",MIN(U75,V75)/MAX(U75,V75))))),"")</f>
        <v/>
      </c>
      <c r="X75" s="67"/>
      <c r="Y75" s="83"/>
      <c r="Z75" s="84" t="str">
        <f aca="false">IFERROR(IF(OR(X75="",Y75=""),"",IF(Dashboard!$K$5="L",IF(Y75=0,"",X75/Y75),IF(Dashboard!$K$5="R",IF(X75=0,"",Y75/X75),IF(MAX(X75,Y75)=0,"",MIN(X75,Y75)/MAX(X75,Y75))))),"")</f>
        <v/>
      </c>
      <c r="AA75" s="58"/>
    </row>
    <row r="76" customFormat="false" ht="15" hidden="false" customHeight="false" outlineLevel="0" collapsed="false">
      <c r="A76" s="56"/>
      <c r="B76" s="57" t="str">
        <f aca="false">IF(A76="","",IF(Dashboard!$L$5="","",INT((A76-Dashboard!$L$5)/7)+1))</f>
        <v/>
      </c>
      <c r="C76" s="67"/>
      <c r="D76" s="83"/>
      <c r="E76" s="84" t="str">
        <f aca="false">IFERROR(IF(OR(C76="",D76=""),"",IF(Dashboard!$K$5="L",IF(D76=0,"",C76/D76),IF(Dashboard!$K$5="R",IF(C76=0,"",D76/C76),IF(MAX(C76,D76)=0,"",MIN(C76,D76)/MAX(C76,D76))))),"")</f>
        <v/>
      </c>
      <c r="F76" s="67"/>
      <c r="G76" s="67"/>
      <c r="H76" s="79" t="str">
        <f aca="false">IFERROR(IF(OR(F76="",G76=""),"",IF(Dashboard!$K$5="L",IF(G76=0,"",F76/G76),IF(Dashboard!$K$5="R",IF(F76=0,"",G76/F76),IF(MAX(F76,G76)=0,"",MIN(F76,G76)/MAX(F76,G76))))),"")</f>
        <v/>
      </c>
      <c r="I76" s="67"/>
      <c r="J76" s="67"/>
      <c r="K76" s="79" t="str">
        <f aca="false">IFERROR(IF(OR(I76="",J76=""),"",IF(Dashboard!$K$5="L",IF(J76=0,"",I76/J76),IF(Dashboard!$K$5="R",IF(I76=0,"",J76/I76),IF(MAX(I76,J76)=0,"",MIN(I76,J76)/MAX(I76,J76))))),"")</f>
        <v/>
      </c>
      <c r="L76" s="67"/>
      <c r="M76" s="67"/>
      <c r="N76" s="79" t="str">
        <f aca="false">IFERROR(IF(OR(L76="",M76=""),"",IF(Dashboard!$K$5="L",IF(M76=0,"",L76/M76),IF(Dashboard!$K$5="R",IF(L76=0,"",M76/L76),IF(MAX(L76,M76)=0,"",MIN(L76,M76)/MAX(L76,M76))))),"")</f>
        <v/>
      </c>
      <c r="O76" s="67"/>
      <c r="P76" s="67"/>
      <c r="Q76" s="79" t="str">
        <f aca="false">IFERROR(IF(OR(O76="",P76=""),"",IF(Dashboard!$K$5="L",IF(P76=0,"",O76/P76),IF(Dashboard!$K$5="R",IF(O76=0,"",P76/O76),IF(MAX(O76,P76)=0,"",MIN(O76,P76)/MAX(O76,P76))))),"")</f>
        <v/>
      </c>
      <c r="R76" s="67"/>
      <c r="S76" s="83"/>
      <c r="T76" s="84" t="str">
        <f aca="false">IFERROR(IF(OR(R76="",S76=""),"",IF(Dashboard!$K$5="L",IF(S76=0,"",R76/S76),IF(Dashboard!$K$5="R",IF(R76=0,"",S76/R76),IF(MAX(R76,S76)=0,"",MIN(R76,S76)/MAX(R76,S76))))),"")</f>
        <v/>
      </c>
      <c r="U76" s="67"/>
      <c r="V76" s="67"/>
      <c r="W76" s="79" t="str">
        <f aca="false">IFERROR(IF(OR(U76="",V76=""),"",IF(Dashboard!$K$5="L",IF(V76=0,"",U76/V76),IF(Dashboard!$K$5="R",IF(U76=0,"",V76/U76),IF(MAX(U76,V76)=0,"",MIN(U76,V76)/MAX(U76,V76))))),"")</f>
        <v/>
      </c>
      <c r="X76" s="67"/>
      <c r="Y76" s="83"/>
      <c r="Z76" s="84" t="str">
        <f aca="false">IFERROR(IF(OR(X76="",Y76=""),"",IF(Dashboard!$K$5="L",IF(Y76=0,"",X76/Y76),IF(Dashboard!$K$5="R",IF(X76=0,"",Y76/X76),IF(MAX(X76,Y76)=0,"",MIN(X76,Y76)/MAX(X76,Y76))))),"")</f>
        <v/>
      </c>
      <c r="AA76" s="58"/>
    </row>
    <row r="77" customFormat="false" ht="15" hidden="false" customHeight="false" outlineLevel="0" collapsed="false">
      <c r="A77" s="56"/>
      <c r="B77" s="57" t="str">
        <f aca="false">IF(A77="","",IF(Dashboard!$L$5="","",INT((A77-Dashboard!$L$5)/7)+1))</f>
        <v/>
      </c>
      <c r="C77" s="67"/>
      <c r="D77" s="83"/>
      <c r="E77" s="84" t="str">
        <f aca="false">IFERROR(IF(OR(C77="",D77=""),"",IF(Dashboard!$K$5="L",IF(D77=0,"",C77/D77),IF(Dashboard!$K$5="R",IF(C77=0,"",D77/C77),IF(MAX(C77,D77)=0,"",MIN(C77,D77)/MAX(C77,D77))))),"")</f>
        <v/>
      </c>
      <c r="F77" s="67"/>
      <c r="G77" s="67"/>
      <c r="H77" s="79" t="str">
        <f aca="false">IFERROR(IF(OR(F77="",G77=""),"",IF(Dashboard!$K$5="L",IF(G77=0,"",F77/G77),IF(Dashboard!$K$5="R",IF(F77=0,"",G77/F77),IF(MAX(F77,G77)=0,"",MIN(F77,G77)/MAX(F77,G77))))),"")</f>
        <v/>
      </c>
      <c r="I77" s="67"/>
      <c r="J77" s="67"/>
      <c r="K77" s="79" t="str">
        <f aca="false">IFERROR(IF(OR(I77="",J77=""),"",IF(Dashboard!$K$5="L",IF(J77=0,"",I77/J77),IF(Dashboard!$K$5="R",IF(I77=0,"",J77/I77),IF(MAX(I77,J77)=0,"",MIN(I77,J77)/MAX(I77,J77))))),"")</f>
        <v/>
      </c>
      <c r="L77" s="67"/>
      <c r="M77" s="67"/>
      <c r="N77" s="79" t="str">
        <f aca="false">IFERROR(IF(OR(L77="",M77=""),"",IF(Dashboard!$K$5="L",IF(M77=0,"",L77/M77),IF(Dashboard!$K$5="R",IF(L77=0,"",M77/L77),IF(MAX(L77,M77)=0,"",MIN(L77,M77)/MAX(L77,M77))))),"")</f>
        <v/>
      </c>
      <c r="O77" s="67"/>
      <c r="P77" s="67"/>
      <c r="Q77" s="79" t="str">
        <f aca="false">IFERROR(IF(OR(O77="",P77=""),"",IF(Dashboard!$K$5="L",IF(P77=0,"",O77/P77),IF(Dashboard!$K$5="R",IF(O77=0,"",P77/O77),IF(MAX(O77,P77)=0,"",MIN(O77,P77)/MAX(O77,P77))))),"")</f>
        <v/>
      </c>
      <c r="R77" s="67"/>
      <c r="S77" s="83"/>
      <c r="T77" s="84" t="str">
        <f aca="false">IFERROR(IF(OR(R77="",S77=""),"",IF(Dashboard!$K$5="L",IF(S77=0,"",R77/S77),IF(Dashboard!$K$5="R",IF(R77=0,"",S77/R77),IF(MAX(R77,S77)=0,"",MIN(R77,S77)/MAX(R77,S77))))),"")</f>
        <v/>
      </c>
      <c r="U77" s="67"/>
      <c r="V77" s="67"/>
      <c r="W77" s="79" t="str">
        <f aca="false">IFERROR(IF(OR(U77="",V77=""),"",IF(Dashboard!$K$5="L",IF(V77=0,"",U77/V77),IF(Dashboard!$K$5="R",IF(U77=0,"",V77/U77),IF(MAX(U77,V77)=0,"",MIN(U77,V77)/MAX(U77,V77))))),"")</f>
        <v/>
      </c>
      <c r="X77" s="67"/>
      <c r="Y77" s="83"/>
      <c r="Z77" s="84" t="str">
        <f aca="false">IFERROR(IF(OR(X77="",Y77=""),"",IF(Dashboard!$K$5="L",IF(Y77=0,"",X77/Y77),IF(Dashboard!$K$5="R",IF(X77=0,"",Y77/X77),IF(MAX(X77,Y77)=0,"",MIN(X77,Y77)/MAX(X77,Y77))))),"")</f>
        <v/>
      </c>
      <c r="AA77" s="58"/>
    </row>
    <row r="78" customFormat="false" ht="15" hidden="false" customHeight="false" outlineLevel="0" collapsed="false">
      <c r="A78" s="56"/>
      <c r="B78" s="57" t="str">
        <f aca="false">IF(A78="","",IF(Dashboard!$L$5="","",INT((A78-Dashboard!$L$5)/7)+1))</f>
        <v/>
      </c>
      <c r="C78" s="67"/>
      <c r="D78" s="83"/>
      <c r="E78" s="84" t="str">
        <f aca="false">IFERROR(IF(OR(C78="",D78=""),"",IF(Dashboard!$K$5="L",IF(D78=0,"",C78/D78),IF(Dashboard!$K$5="R",IF(C78=0,"",D78/C78),IF(MAX(C78,D78)=0,"",MIN(C78,D78)/MAX(C78,D78))))),"")</f>
        <v/>
      </c>
      <c r="F78" s="67"/>
      <c r="G78" s="67"/>
      <c r="H78" s="79" t="str">
        <f aca="false">IFERROR(IF(OR(F78="",G78=""),"",IF(Dashboard!$K$5="L",IF(G78=0,"",F78/G78),IF(Dashboard!$K$5="R",IF(F78=0,"",G78/F78),IF(MAX(F78,G78)=0,"",MIN(F78,G78)/MAX(F78,G78))))),"")</f>
        <v/>
      </c>
      <c r="I78" s="67"/>
      <c r="J78" s="67"/>
      <c r="K78" s="79" t="str">
        <f aca="false">IFERROR(IF(OR(I78="",J78=""),"",IF(Dashboard!$K$5="L",IF(J78=0,"",I78/J78),IF(Dashboard!$K$5="R",IF(I78=0,"",J78/I78),IF(MAX(I78,J78)=0,"",MIN(I78,J78)/MAX(I78,J78))))),"")</f>
        <v/>
      </c>
      <c r="L78" s="67"/>
      <c r="M78" s="67"/>
      <c r="N78" s="79" t="str">
        <f aca="false">IFERROR(IF(OR(L78="",M78=""),"",IF(Dashboard!$K$5="L",IF(M78=0,"",L78/M78),IF(Dashboard!$K$5="R",IF(L78=0,"",M78/L78),IF(MAX(L78,M78)=0,"",MIN(L78,M78)/MAX(L78,M78))))),"")</f>
        <v/>
      </c>
      <c r="O78" s="67"/>
      <c r="P78" s="67"/>
      <c r="Q78" s="79" t="str">
        <f aca="false">IFERROR(IF(OR(O78="",P78=""),"",IF(Dashboard!$K$5="L",IF(P78=0,"",O78/P78),IF(Dashboard!$K$5="R",IF(O78=0,"",P78/O78),IF(MAX(O78,P78)=0,"",MIN(O78,P78)/MAX(O78,P78))))),"")</f>
        <v/>
      </c>
      <c r="R78" s="67"/>
      <c r="S78" s="83"/>
      <c r="T78" s="84" t="str">
        <f aca="false">IFERROR(IF(OR(R78="",S78=""),"",IF(Dashboard!$K$5="L",IF(S78=0,"",R78/S78),IF(Dashboard!$K$5="R",IF(R78=0,"",S78/R78),IF(MAX(R78,S78)=0,"",MIN(R78,S78)/MAX(R78,S78))))),"")</f>
        <v/>
      </c>
      <c r="U78" s="67"/>
      <c r="V78" s="67"/>
      <c r="W78" s="79" t="str">
        <f aca="false">IFERROR(IF(OR(U78="",V78=""),"",IF(Dashboard!$K$5="L",IF(V78=0,"",U78/V78),IF(Dashboard!$K$5="R",IF(U78=0,"",V78/U78),IF(MAX(U78,V78)=0,"",MIN(U78,V78)/MAX(U78,V78))))),"")</f>
        <v/>
      </c>
      <c r="X78" s="67"/>
      <c r="Y78" s="83"/>
      <c r="Z78" s="84" t="str">
        <f aca="false">IFERROR(IF(OR(X78="",Y78=""),"",IF(Dashboard!$K$5="L",IF(Y78=0,"",X78/Y78),IF(Dashboard!$K$5="R",IF(X78=0,"",Y78/X78),IF(MAX(X78,Y78)=0,"",MIN(X78,Y78)/MAX(X78,Y78))))),"")</f>
        <v/>
      </c>
      <c r="AA78" s="58"/>
    </row>
    <row r="79" customFormat="false" ht="15" hidden="false" customHeight="false" outlineLevel="0" collapsed="false">
      <c r="A79" s="56"/>
      <c r="B79" s="57" t="str">
        <f aca="false">IF(A79="","",IF(Dashboard!$L$5="","",INT((A79-Dashboard!$L$5)/7)+1))</f>
        <v/>
      </c>
      <c r="C79" s="67"/>
      <c r="D79" s="83"/>
      <c r="E79" s="84" t="str">
        <f aca="false">IFERROR(IF(OR(C79="",D79=""),"",IF(Dashboard!$K$5="L",IF(D79=0,"",C79/D79),IF(Dashboard!$K$5="R",IF(C79=0,"",D79/C79),IF(MAX(C79,D79)=0,"",MIN(C79,D79)/MAX(C79,D79))))),"")</f>
        <v/>
      </c>
      <c r="F79" s="67"/>
      <c r="G79" s="67"/>
      <c r="H79" s="79" t="str">
        <f aca="false">IFERROR(IF(OR(F79="",G79=""),"",IF(Dashboard!$K$5="L",IF(G79=0,"",F79/G79),IF(Dashboard!$K$5="R",IF(F79=0,"",G79/F79),IF(MAX(F79,G79)=0,"",MIN(F79,G79)/MAX(F79,G79))))),"")</f>
        <v/>
      </c>
      <c r="I79" s="67"/>
      <c r="J79" s="67"/>
      <c r="K79" s="79" t="str">
        <f aca="false">IFERROR(IF(OR(I79="",J79=""),"",IF(Dashboard!$K$5="L",IF(J79=0,"",I79/J79),IF(Dashboard!$K$5="R",IF(I79=0,"",J79/I79),IF(MAX(I79,J79)=0,"",MIN(I79,J79)/MAX(I79,J79))))),"")</f>
        <v/>
      </c>
      <c r="L79" s="67"/>
      <c r="M79" s="67"/>
      <c r="N79" s="79" t="str">
        <f aca="false">IFERROR(IF(OR(L79="",M79=""),"",IF(Dashboard!$K$5="L",IF(M79=0,"",L79/M79),IF(Dashboard!$K$5="R",IF(L79=0,"",M79/L79),IF(MAX(L79,M79)=0,"",MIN(L79,M79)/MAX(L79,M79))))),"")</f>
        <v/>
      </c>
      <c r="O79" s="67"/>
      <c r="P79" s="67"/>
      <c r="Q79" s="79" t="str">
        <f aca="false">IFERROR(IF(OR(O79="",P79=""),"",IF(Dashboard!$K$5="L",IF(P79=0,"",O79/P79),IF(Dashboard!$K$5="R",IF(O79=0,"",P79/O79),IF(MAX(O79,P79)=0,"",MIN(O79,P79)/MAX(O79,P79))))),"")</f>
        <v/>
      </c>
      <c r="R79" s="67"/>
      <c r="S79" s="83"/>
      <c r="T79" s="84" t="str">
        <f aca="false">IFERROR(IF(OR(R79="",S79=""),"",IF(Dashboard!$K$5="L",IF(S79=0,"",R79/S79),IF(Dashboard!$K$5="R",IF(R79=0,"",S79/R79),IF(MAX(R79,S79)=0,"",MIN(R79,S79)/MAX(R79,S79))))),"")</f>
        <v/>
      </c>
      <c r="U79" s="67"/>
      <c r="V79" s="67"/>
      <c r="W79" s="79" t="str">
        <f aca="false">IFERROR(IF(OR(U79="",V79=""),"",IF(Dashboard!$K$5="L",IF(V79=0,"",U79/V79),IF(Dashboard!$K$5="R",IF(U79=0,"",V79/U79),IF(MAX(U79,V79)=0,"",MIN(U79,V79)/MAX(U79,V79))))),"")</f>
        <v/>
      </c>
      <c r="X79" s="67"/>
      <c r="Y79" s="83"/>
      <c r="Z79" s="84" t="str">
        <f aca="false">IFERROR(IF(OR(X79="",Y79=""),"",IF(Dashboard!$K$5="L",IF(Y79=0,"",X79/Y79),IF(Dashboard!$K$5="R",IF(X79=0,"",Y79/X79),IF(MAX(X79,Y79)=0,"",MIN(X79,Y79)/MAX(X79,Y79))))),"")</f>
        <v/>
      </c>
      <c r="AA79" s="58"/>
    </row>
    <row r="80" customFormat="false" ht="15" hidden="false" customHeight="false" outlineLevel="0" collapsed="false">
      <c r="A80" s="56"/>
      <c r="B80" s="57" t="str">
        <f aca="false">IF(A80="","",IF(Dashboard!$L$5="","",INT((A80-Dashboard!$L$5)/7)+1))</f>
        <v/>
      </c>
      <c r="C80" s="67"/>
      <c r="D80" s="83"/>
      <c r="E80" s="84" t="str">
        <f aca="false">IFERROR(IF(OR(C80="",D80=""),"",IF(Dashboard!$K$5="L",IF(D80=0,"",C80/D80),IF(Dashboard!$K$5="R",IF(C80=0,"",D80/C80),IF(MAX(C80,D80)=0,"",MIN(C80,D80)/MAX(C80,D80))))),"")</f>
        <v/>
      </c>
      <c r="F80" s="67"/>
      <c r="G80" s="67"/>
      <c r="H80" s="79" t="str">
        <f aca="false">IFERROR(IF(OR(F80="",G80=""),"",IF(Dashboard!$K$5="L",IF(G80=0,"",F80/G80),IF(Dashboard!$K$5="R",IF(F80=0,"",G80/F80),IF(MAX(F80,G80)=0,"",MIN(F80,G80)/MAX(F80,G80))))),"")</f>
        <v/>
      </c>
      <c r="I80" s="67"/>
      <c r="J80" s="67"/>
      <c r="K80" s="79" t="str">
        <f aca="false">IFERROR(IF(OR(I80="",J80=""),"",IF(Dashboard!$K$5="L",IF(J80=0,"",I80/J80),IF(Dashboard!$K$5="R",IF(I80=0,"",J80/I80),IF(MAX(I80,J80)=0,"",MIN(I80,J80)/MAX(I80,J80))))),"")</f>
        <v/>
      </c>
      <c r="L80" s="67"/>
      <c r="M80" s="67"/>
      <c r="N80" s="79" t="str">
        <f aca="false">IFERROR(IF(OR(L80="",M80=""),"",IF(Dashboard!$K$5="L",IF(M80=0,"",L80/M80),IF(Dashboard!$K$5="R",IF(L80=0,"",M80/L80),IF(MAX(L80,M80)=0,"",MIN(L80,M80)/MAX(L80,M80))))),"")</f>
        <v/>
      </c>
      <c r="O80" s="67"/>
      <c r="P80" s="67"/>
      <c r="Q80" s="79" t="str">
        <f aca="false">IFERROR(IF(OR(O80="",P80=""),"",IF(Dashboard!$K$5="L",IF(P80=0,"",O80/P80),IF(Dashboard!$K$5="R",IF(O80=0,"",P80/O80),IF(MAX(O80,P80)=0,"",MIN(O80,P80)/MAX(O80,P80))))),"")</f>
        <v/>
      </c>
      <c r="R80" s="67"/>
      <c r="S80" s="83"/>
      <c r="T80" s="84" t="str">
        <f aca="false">IFERROR(IF(OR(R80="",S80=""),"",IF(Dashboard!$K$5="L",IF(S80=0,"",R80/S80),IF(Dashboard!$K$5="R",IF(R80=0,"",S80/R80),IF(MAX(R80,S80)=0,"",MIN(R80,S80)/MAX(R80,S80))))),"")</f>
        <v/>
      </c>
      <c r="U80" s="67"/>
      <c r="V80" s="67"/>
      <c r="W80" s="79" t="str">
        <f aca="false">IFERROR(IF(OR(U80="",V80=""),"",IF(Dashboard!$K$5="L",IF(V80=0,"",U80/V80),IF(Dashboard!$K$5="R",IF(U80=0,"",V80/U80),IF(MAX(U80,V80)=0,"",MIN(U80,V80)/MAX(U80,V80))))),"")</f>
        <v/>
      </c>
      <c r="X80" s="67"/>
      <c r="Y80" s="83"/>
      <c r="Z80" s="84" t="str">
        <f aca="false">IFERROR(IF(OR(X80="",Y80=""),"",IF(Dashboard!$K$5="L",IF(Y80=0,"",X80/Y80),IF(Dashboard!$K$5="R",IF(X80=0,"",Y80/X80),IF(MAX(X80,Y80)=0,"",MIN(X80,Y80)/MAX(X80,Y80))))),"")</f>
        <v/>
      </c>
      <c r="AA80" s="58"/>
    </row>
    <row r="81" customFormat="false" ht="15" hidden="false" customHeight="false" outlineLevel="0" collapsed="false">
      <c r="A81" s="56"/>
      <c r="B81" s="57" t="str">
        <f aca="false">IF(A81="","",IF(Dashboard!$L$5="","",INT((A81-Dashboard!$L$5)/7)+1))</f>
        <v/>
      </c>
      <c r="C81" s="67"/>
      <c r="D81" s="83"/>
      <c r="E81" s="84" t="str">
        <f aca="false">IFERROR(IF(OR(C81="",D81=""),"",IF(Dashboard!$K$5="L",IF(D81=0,"",C81/D81),IF(Dashboard!$K$5="R",IF(C81=0,"",D81/C81),IF(MAX(C81,D81)=0,"",MIN(C81,D81)/MAX(C81,D81))))),"")</f>
        <v/>
      </c>
      <c r="F81" s="67"/>
      <c r="G81" s="67"/>
      <c r="H81" s="79" t="str">
        <f aca="false">IFERROR(IF(OR(F81="",G81=""),"",IF(Dashboard!$K$5="L",IF(G81=0,"",F81/G81),IF(Dashboard!$K$5="R",IF(F81=0,"",G81/F81),IF(MAX(F81,G81)=0,"",MIN(F81,G81)/MAX(F81,G81))))),"")</f>
        <v/>
      </c>
      <c r="I81" s="67"/>
      <c r="J81" s="67"/>
      <c r="K81" s="79" t="str">
        <f aca="false">IFERROR(IF(OR(I81="",J81=""),"",IF(Dashboard!$K$5="L",IF(J81=0,"",I81/J81),IF(Dashboard!$K$5="R",IF(I81=0,"",J81/I81),IF(MAX(I81,J81)=0,"",MIN(I81,J81)/MAX(I81,J81))))),"")</f>
        <v/>
      </c>
      <c r="L81" s="67"/>
      <c r="M81" s="67"/>
      <c r="N81" s="79" t="str">
        <f aca="false">IFERROR(IF(OR(L81="",M81=""),"",IF(Dashboard!$K$5="L",IF(M81=0,"",L81/M81),IF(Dashboard!$K$5="R",IF(L81=0,"",M81/L81),IF(MAX(L81,M81)=0,"",MIN(L81,M81)/MAX(L81,M81))))),"")</f>
        <v/>
      </c>
      <c r="O81" s="67"/>
      <c r="P81" s="67"/>
      <c r="Q81" s="79" t="str">
        <f aca="false">IFERROR(IF(OR(O81="",P81=""),"",IF(Dashboard!$K$5="L",IF(P81=0,"",O81/P81),IF(Dashboard!$K$5="R",IF(O81=0,"",P81/O81),IF(MAX(O81,P81)=0,"",MIN(O81,P81)/MAX(O81,P81))))),"")</f>
        <v/>
      </c>
      <c r="R81" s="67"/>
      <c r="S81" s="83"/>
      <c r="T81" s="84" t="str">
        <f aca="false">IFERROR(IF(OR(R81="",S81=""),"",IF(Dashboard!$K$5="L",IF(S81=0,"",R81/S81),IF(Dashboard!$K$5="R",IF(R81=0,"",S81/R81),IF(MAX(R81,S81)=0,"",MIN(R81,S81)/MAX(R81,S81))))),"")</f>
        <v/>
      </c>
      <c r="U81" s="67"/>
      <c r="V81" s="67"/>
      <c r="W81" s="79" t="str">
        <f aca="false">IFERROR(IF(OR(U81="",V81=""),"",IF(Dashboard!$K$5="L",IF(V81=0,"",U81/V81),IF(Dashboard!$K$5="R",IF(U81=0,"",V81/U81),IF(MAX(U81,V81)=0,"",MIN(U81,V81)/MAX(U81,V81))))),"")</f>
        <v/>
      </c>
      <c r="X81" s="67"/>
      <c r="Y81" s="83"/>
      <c r="Z81" s="84" t="str">
        <f aca="false">IFERROR(IF(OR(X81="",Y81=""),"",IF(Dashboard!$K$5="L",IF(Y81=0,"",X81/Y81),IF(Dashboard!$K$5="R",IF(X81=0,"",Y81/X81),IF(MAX(X81,Y81)=0,"",MIN(X81,Y81)/MAX(X81,Y81))))),"")</f>
        <v/>
      </c>
      <c r="AA81" s="58"/>
    </row>
    <row r="82" customFormat="false" ht="15" hidden="false" customHeight="false" outlineLevel="0" collapsed="false">
      <c r="A82" s="56"/>
      <c r="B82" s="57" t="str">
        <f aca="false">IF(A82="","",IF(Dashboard!$L$5="","",INT((A82-Dashboard!$L$5)/7)+1))</f>
        <v/>
      </c>
      <c r="C82" s="67"/>
      <c r="D82" s="83"/>
      <c r="E82" s="84" t="str">
        <f aca="false">IFERROR(IF(OR(C82="",D82=""),"",IF(Dashboard!$K$5="L",IF(D82=0,"",C82/D82),IF(Dashboard!$K$5="R",IF(C82=0,"",D82/C82),IF(MAX(C82,D82)=0,"",MIN(C82,D82)/MAX(C82,D82))))),"")</f>
        <v/>
      </c>
      <c r="F82" s="67"/>
      <c r="G82" s="67"/>
      <c r="H82" s="79" t="str">
        <f aca="false">IFERROR(IF(OR(F82="",G82=""),"",IF(Dashboard!$K$5="L",IF(G82=0,"",F82/G82),IF(Dashboard!$K$5="R",IF(F82=0,"",G82/F82),IF(MAX(F82,G82)=0,"",MIN(F82,G82)/MAX(F82,G82))))),"")</f>
        <v/>
      </c>
      <c r="I82" s="67"/>
      <c r="J82" s="67"/>
      <c r="K82" s="79" t="str">
        <f aca="false">IFERROR(IF(OR(I82="",J82=""),"",IF(Dashboard!$K$5="L",IF(J82=0,"",I82/J82),IF(Dashboard!$K$5="R",IF(I82=0,"",J82/I82),IF(MAX(I82,J82)=0,"",MIN(I82,J82)/MAX(I82,J82))))),"")</f>
        <v/>
      </c>
      <c r="L82" s="67"/>
      <c r="M82" s="67"/>
      <c r="N82" s="79" t="str">
        <f aca="false">IFERROR(IF(OR(L82="",M82=""),"",IF(Dashboard!$K$5="L",IF(M82=0,"",L82/M82),IF(Dashboard!$K$5="R",IF(L82=0,"",M82/L82),IF(MAX(L82,M82)=0,"",MIN(L82,M82)/MAX(L82,M82))))),"")</f>
        <v/>
      </c>
      <c r="O82" s="67"/>
      <c r="P82" s="67"/>
      <c r="Q82" s="79" t="str">
        <f aca="false">IFERROR(IF(OR(O82="",P82=""),"",IF(Dashboard!$K$5="L",IF(P82=0,"",O82/P82),IF(Dashboard!$K$5="R",IF(O82=0,"",P82/O82),IF(MAX(O82,P82)=0,"",MIN(O82,P82)/MAX(O82,P82))))),"")</f>
        <v/>
      </c>
      <c r="R82" s="67"/>
      <c r="S82" s="83"/>
      <c r="T82" s="84" t="str">
        <f aca="false">IFERROR(IF(OR(R82="",S82=""),"",IF(Dashboard!$K$5="L",IF(S82=0,"",R82/S82),IF(Dashboard!$K$5="R",IF(R82=0,"",S82/R82),IF(MAX(R82,S82)=0,"",MIN(R82,S82)/MAX(R82,S82))))),"")</f>
        <v/>
      </c>
      <c r="U82" s="67"/>
      <c r="V82" s="67"/>
      <c r="W82" s="79" t="str">
        <f aca="false">IFERROR(IF(OR(U82="",V82=""),"",IF(Dashboard!$K$5="L",IF(V82=0,"",U82/V82),IF(Dashboard!$K$5="R",IF(U82=0,"",V82/U82),IF(MAX(U82,V82)=0,"",MIN(U82,V82)/MAX(U82,V82))))),"")</f>
        <v/>
      </c>
      <c r="X82" s="67"/>
      <c r="Y82" s="83"/>
      <c r="Z82" s="84" t="str">
        <f aca="false">IFERROR(IF(OR(X82="",Y82=""),"",IF(Dashboard!$K$5="L",IF(Y82=0,"",X82/Y82),IF(Dashboard!$K$5="R",IF(X82=0,"",Y82/X82),IF(MAX(X82,Y82)=0,"",MIN(X82,Y82)/MAX(X82,Y82))))),"")</f>
        <v/>
      </c>
      <c r="AA82" s="58"/>
    </row>
    <row r="83" customFormat="false" ht="15" hidden="false" customHeight="false" outlineLevel="0" collapsed="false">
      <c r="A83" s="56"/>
      <c r="B83" s="57" t="str">
        <f aca="false">IF(A83="","",IF(Dashboard!$L$5="","",INT((A83-Dashboard!$L$5)/7)+1))</f>
        <v/>
      </c>
      <c r="C83" s="67"/>
      <c r="D83" s="83"/>
      <c r="E83" s="84" t="str">
        <f aca="false">IFERROR(IF(OR(C83="",D83=""),"",IF(Dashboard!$K$5="L",IF(D83=0,"",C83/D83),IF(Dashboard!$K$5="R",IF(C83=0,"",D83/C83),IF(MAX(C83,D83)=0,"",MIN(C83,D83)/MAX(C83,D83))))),"")</f>
        <v/>
      </c>
      <c r="F83" s="67"/>
      <c r="G83" s="67"/>
      <c r="H83" s="79" t="str">
        <f aca="false">IFERROR(IF(OR(F83="",G83=""),"",IF(Dashboard!$K$5="L",IF(G83=0,"",F83/G83),IF(Dashboard!$K$5="R",IF(F83=0,"",G83/F83),IF(MAX(F83,G83)=0,"",MIN(F83,G83)/MAX(F83,G83))))),"")</f>
        <v/>
      </c>
      <c r="I83" s="67"/>
      <c r="J83" s="67"/>
      <c r="K83" s="79" t="str">
        <f aca="false">IFERROR(IF(OR(I83="",J83=""),"",IF(Dashboard!$K$5="L",IF(J83=0,"",I83/J83),IF(Dashboard!$K$5="R",IF(I83=0,"",J83/I83),IF(MAX(I83,J83)=0,"",MIN(I83,J83)/MAX(I83,J83))))),"")</f>
        <v/>
      </c>
      <c r="L83" s="67"/>
      <c r="M83" s="67"/>
      <c r="N83" s="79" t="str">
        <f aca="false">IFERROR(IF(OR(L83="",M83=""),"",IF(Dashboard!$K$5="L",IF(M83=0,"",L83/M83),IF(Dashboard!$K$5="R",IF(L83=0,"",M83/L83),IF(MAX(L83,M83)=0,"",MIN(L83,M83)/MAX(L83,M83))))),"")</f>
        <v/>
      </c>
      <c r="O83" s="67"/>
      <c r="P83" s="67"/>
      <c r="Q83" s="79" t="str">
        <f aca="false">IFERROR(IF(OR(O83="",P83=""),"",IF(Dashboard!$K$5="L",IF(P83=0,"",O83/P83),IF(Dashboard!$K$5="R",IF(O83=0,"",P83/O83),IF(MAX(O83,P83)=0,"",MIN(O83,P83)/MAX(O83,P83))))),"")</f>
        <v/>
      </c>
      <c r="R83" s="67"/>
      <c r="S83" s="83"/>
      <c r="T83" s="84" t="str">
        <f aca="false">IFERROR(IF(OR(R83="",S83=""),"",IF(Dashboard!$K$5="L",IF(S83=0,"",R83/S83),IF(Dashboard!$K$5="R",IF(R83=0,"",S83/R83),IF(MAX(R83,S83)=0,"",MIN(R83,S83)/MAX(R83,S83))))),"")</f>
        <v/>
      </c>
      <c r="U83" s="67"/>
      <c r="V83" s="67"/>
      <c r="W83" s="79" t="str">
        <f aca="false">IFERROR(IF(OR(U83="",V83=""),"",IF(Dashboard!$K$5="L",IF(V83=0,"",U83/V83),IF(Dashboard!$K$5="R",IF(U83=0,"",V83/U83),IF(MAX(U83,V83)=0,"",MIN(U83,V83)/MAX(U83,V83))))),"")</f>
        <v/>
      </c>
      <c r="X83" s="67"/>
      <c r="Y83" s="83"/>
      <c r="Z83" s="84" t="str">
        <f aca="false">IFERROR(IF(OR(X83="",Y83=""),"",IF(Dashboard!$K$5="L",IF(Y83=0,"",X83/Y83),IF(Dashboard!$K$5="R",IF(X83=0,"",Y83/X83),IF(MAX(X83,Y83)=0,"",MIN(X83,Y83)/MAX(X83,Y83))))),"")</f>
        <v/>
      </c>
      <c r="AA83" s="58"/>
    </row>
    <row r="84" customFormat="false" ht="18" hidden="false" customHeight="true" outlineLevel="0" collapsed="false">
      <c r="A84" s="77" t="s">
        <v>151</v>
      </c>
      <c r="B84" s="77"/>
      <c r="C84" s="77" t="str">
        <f aca="false">IF(COUNT(C72:C83)=0,"",INDEX(C72:C83,SUMPRODUCT(MAX(ISNUMBER(C72:C83)*(($A$72:$A$83)=SUMPRODUCT(MAX(ISNUMBER(C72:C83)*($A$72:$A$83))))*(ROW(C72:C83)-ROW(C$72)+1)))))</f>
        <v/>
      </c>
      <c r="D84" s="77" t="str">
        <f aca="false">IF(COUNT(D72:D83)=0,"",INDEX(D72:D83,SUMPRODUCT(MAX(ISNUMBER(D72:D83)*(($A$72:$A$83)=SUMPRODUCT(MAX(ISNUMBER(D72:D83)*($A$72:$A$83))))*(ROW(D72:D83)-ROW(D$72)+1)))))</f>
        <v/>
      </c>
      <c r="E84" s="80" t="str">
        <f aca="false">IF(COUNT(E72:E83)=0,"",INDEX(E72:E83,SUMPRODUCT(MAX(ISNUMBER(E72:E83)*(($A$72:$A$83)=SUMPRODUCT(MAX(ISNUMBER(E72:E83)*($A$72:$A$83))))*(ROW(E72:E83)-ROW(E$72)+1)))))</f>
        <v/>
      </c>
      <c r="F84" s="77" t="str">
        <f aca="false">IF(COUNT(F72:F83)=0,"",INDEX(F72:F83,SUMPRODUCT(MAX(ISNUMBER(F72:F83)*(($A$72:$A$83)=SUMPRODUCT(MAX(ISNUMBER(F72:F83)*($A$72:$A$83))))*(ROW(F72:F83)-ROW(F$72)+1)))))</f>
        <v/>
      </c>
      <c r="G84" s="77" t="str">
        <f aca="false">IF(COUNT(G72:G83)=0,"",INDEX(G72:G83,SUMPRODUCT(MAX(ISNUMBER(G72:G83)*(($A$72:$A$83)=SUMPRODUCT(MAX(ISNUMBER(G72:G83)*($A$72:$A$83))))*(ROW(G72:G83)-ROW(G$72)+1)))))</f>
        <v/>
      </c>
      <c r="H84" s="80" t="str">
        <f aca="false">IF(COUNT(H72:H83)=0,"",INDEX(H72:H83,SUMPRODUCT(MAX(ISNUMBER(H72:H83)*(($A$72:$A$83)=SUMPRODUCT(MAX(ISNUMBER(H72:H83)*($A$72:$A$83))))*(ROW(H72:H83)-ROW(H$72)+1)))))</f>
        <v/>
      </c>
      <c r="I84" s="77" t="str">
        <f aca="false">IF(COUNT(I72:I83)=0,"",INDEX(I72:I83,SUMPRODUCT(MAX(ISNUMBER(I72:I83)*(($A$72:$A$83)=SUMPRODUCT(MAX(ISNUMBER(I72:I83)*($A$72:$A$83))))*(ROW(I72:I83)-ROW(I$72)+1)))))</f>
        <v/>
      </c>
      <c r="J84" s="77" t="str">
        <f aca="false">IF(COUNT(J72:J83)=0,"",INDEX(J72:J83,SUMPRODUCT(MAX(ISNUMBER(J72:J83)*(($A$72:$A$83)=SUMPRODUCT(MAX(ISNUMBER(J72:J83)*($A$72:$A$83))))*(ROW(J72:J83)-ROW(J$72)+1)))))</f>
        <v/>
      </c>
      <c r="K84" s="80" t="str">
        <f aca="false">IF(COUNT(K72:K83)=0,"",INDEX(K72:K83,SUMPRODUCT(MAX(ISNUMBER(K72:K83)*(($A$72:$A$83)=SUMPRODUCT(MAX(ISNUMBER(K72:K83)*($A$72:$A$83))))*(ROW(K72:K83)-ROW(K$72)+1)))))</f>
        <v/>
      </c>
      <c r="L84" s="77" t="str">
        <f aca="false">IF(COUNT(L72:L83)=0,"",INDEX(L72:L83,SUMPRODUCT(MAX(ISNUMBER(L72:L83)*(($A$72:$A$83)=SUMPRODUCT(MAX(ISNUMBER(L72:L83)*($A$72:$A$83))))*(ROW(L72:L83)-ROW(L$72)+1)))))</f>
        <v/>
      </c>
      <c r="M84" s="77" t="str">
        <f aca="false">IF(COUNT(M72:M83)=0,"",INDEX(M72:M83,SUMPRODUCT(MAX(ISNUMBER(M72:M83)*(($A$72:$A$83)=SUMPRODUCT(MAX(ISNUMBER(M72:M83)*($A$72:$A$83))))*(ROW(M72:M83)-ROW(M$72)+1)))))</f>
        <v/>
      </c>
      <c r="N84" s="80" t="str">
        <f aca="false">IF(COUNT(N72:N83)=0,"",INDEX(N72:N83,SUMPRODUCT(MAX(ISNUMBER(N72:N83)*(($A$72:$A$83)=SUMPRODUCT(MAX(ISNUMBER(N72:N83)*($A$72:$A$83))))*(ROW(N72:N83)-ROW(N$72)+1)))))</f>
        <v/>
      </c>
      <c r="O84" s="77" t="str">
        <f aca="false">IF(COUNT(O72:O83)=0,"",INDEX(O72:O83,SUMPRODUCT(MAX(ISNUMBER(O72:O83)*(($A$72:$A$83)=SUMPRODUCT(MAX(ISNUMBER(O72:O83)*($A$72:$A$83))))*(ROW(O72:O83)-ROW(O$72)+1)))))</f>
        <v/>
      </c>
      <c r="P84" s="77" t="str">
        <f aca="false">IF(COUNT(P72:P83)=0,"",INDEX(P72:P83,SUMPRODUCT(MAX(ISNUMBER(P72:P83)*(($A$72:$A$83)=SUMPRODUCT(MAX(ISNUMBER(P72:P83)*($A$72:$A$83))))*(ROW(P72:P83)-ROW(P$72)+1)))))</f>
        <v/>
      </c>
      <c r="Q84" s="80" t="str">
        <f aca="false">IF(COUNT(Q72:Q83)=0,"",INDEX(Q72:Q83,SUMPRODUCT(MAX(ISNUMBER(Q72:Q83)*(($A$72:$A$83)=SUMPRODUCT(MAX(ISNUMBER(Q72:Q83)*($A$72:$A$83))))*(ROW(Q72:Q83)-ROW(Q$72)+1)))))</f>
        <v/>
      </c>
      <c r="R84" s="77" t="str">
        <f aca="false">IF(COUNT(R72:R83)=0,"",INDEX(R72:R83,SUMPRODUCT(MAX(ISNUMBER(R72:R83)*(($A$72:$A$83)=SUMPRODUCT(MAX(ISNUMBER(R72:R83)*($A$72:$A$83))))*(ROW(R72:R83)-ROW(R$72)+1)))))</f>
        <v/>
      </c>
      <c r="S84" s="77" t="str">
        <f aca="false">IF(COUNT(S72:S83)=0,"",INDEX(S72:S83,SUMPRODUCT(MAX(ISNUMBER(S72:S83)*(($A$72:$A$83)=SUMPRODUCT(MAX(ISNUMBER(S72:S83)*($A$72:$A$83))))*(ROW(S72:S83)-ROW(S$72)+1)))))</f>
        <v/>
      </c>
      <c r="T84" s="80" t="str">
        <f aca="false">IF(COUNT(T72:T83)=0,"",INDEX(T72:T83,SUMPRODUCT(MAX(ISNUMBER(T72:T83)*(($A$72:$A$83)=SUMPRODUCT(MAX(ISNUMBER(T72:T83)*($A$72:$A$83))))*(ROW(T72:T83)-ROW(T$72)+1)))))</f>
        <v/>
      </c>
      <c r="U84" s="77" t="str">
        <f aca="false">IF(COUNT(U72:U83)=0,"",INDEX(U72:U83,SUMPRODUCT(MAX(ISNUMBER(U72:U83)*(($A$72:$A$83)=SUMPRODUCT(MAX(ISNUMBER(U72:U83)*($A$72:$A$83))))*(ROW(U72:U83)-ROW(U$72)+1)))))</f>
        <v/>
      </c>
      <c r="V84" s="77" t="str">
        <f aca="false">IF(COUNT(V72:V83)=0,"",INDEX(V72:V83,SUMPRODUCT(MAX(ISNUMBER(V72:V83)*(($A$72:$A$83)=SUMPRODUCT(MAX(ISNUMBER(V72:V83)*($A$72:$A$83))))*(ROW(V72:V83)-ROW(V$72)+1)))))</f>
        <v/>
      </c>
      <c r="W84" s="80" t="str">
        <f aca="false">IF(COUNT(W72:W83)=0,"",INDEX(W72:W83,SUMPRODUCT(MAX(ISNUMBER(W72:W83)*(($A$72:$A$83)=SUMPRODUCT(MAX(ISNUMBER(W72:W83)*($A$72:$A$83))))*(ROW(W72:W83)-ROW(W$72)+1)))))</f>
        <v/>
      </c>
      <c r="X84" s="77" t="str">
        <f aca="false">IF(COUNT(X72:X83)=0,"",INDEX(X72:X83,SUMPRODUCT(MAX(ISNUMBER(X72:X83)*(($A$72:$A$83)=SUMPRODUCT(MAX(ISNUMBER(X72:X83)*($A$72:$A$83))))*(ROW(X72:X83)-ROW(X$72)+1)))))</f>
        <v/>
      </c>
      <c r="Y84" s="77" t="str">
        <f aca="false">IF(COUNT(Y72:Y83)=0,"",INDEX(Y72:Y83,SUMPRODUCT(MAX(ISNUMBER(Y72:Y83)*(($A$72:$A$83)=SUMPRODUCT(MAX(ISNUMBER(Y72:Y83)*($A$72:$A$83))))*(ROW(Y72:Y83)-ROW(Y$72)+1)))))</f>
        <v/>
      </c>
      <c r="Z84" s="80" t="str">
        <f aca="false">IF(COUNT(Z72:Z83)=0,"",INDEX(Z72:Z83,SUMPRODUCT(MAX(ISNUMBER(Z72:Z83)*(($A$72:$A$83)=SUMPRODUCT(MAX(ISNUMBER(Z72:Z83)*($A$72:$A$83))))*(ROW(Z72:Z83)-ROW(Z$72)+1)))))</f>
        <v/>
      </c>
      <c r="AA84" s="81" t="s">
        <v>152</v>
      </c>
    </row>
    <row r="85" customFormat="false" ht="15" hidden="false" customHeight="true" outlineLevel="0" collapsed="false">
      <c r="A85" s="65" t="s">
        <v>153</v>
      </c>
      <c r="B85" s="65"/>
      <c r="C85" s="70" t="str">
        <f aca="false">IF(OR(COUNT(C72:C83)=0,SUMPRODUCT(MAX(ISNUMBER(C72:C83)*($A$72:$A$83)))=0),"",SUMPRODUCT(MAX(ISNUMBER(C72:C83)*($A$72:$A$83))))</f>
        <v/>
      </c>
      <c r="D85" s="70"/>
      <c r="E85" s="70"/>
      <c r="F85" s="70" t="str">
        <f aca="false">IF(OR(COUNT(F72:F83)=0,SUMPRODUCT(MAX(ISNUMBER(F72:F83)*($A$72:$A$83)))=0),"",SUMPRODUCT(MAX(ISNUMBER(F72:F83)*($A$72:$A$83))))</f>
        <v/>
      </c>
      <c r="G85" s="70"/>
      <c r="H85" s="70"/>
      <c r="I85" s="70" t="str">
        <f aca="false">IF(OR(COUNT(I72:I83)=0,SUMPRODUCT(MAX(ISNUMBER(I72:I83)*($A$72:$A$83)))=0),"",SUMPRODUCT(MAX(ISNUMBER(I72:I83)*($A$72:$A$83))))</f>
        <v/>
      </c>
      <c r="J85" s="70"/>
      <c r="K85" s="70"/>
      <c r="L85" s="70" t="str">
        <f aca="false">IF(OR(COUNT(L72:L83)=0,SUMPRODUCT(MAX(ISNUMBER(L72:L83)*($A$72:$A$83)))=0),"",SUMPRODUCT(MAX(ISNUMBER(L72:L83)*($A$72:$A$83))))</f>
        <v/>
      </c>
      <c r="M85" s="70"/>
      <c r="N85" s="70"/>
      <c r="O85" s="70" t="str">
        <f aca="false">IF(OR(COUNT(O72:O83)=0,SUMPRODUCT(MAX(ISNUMBER(O72:O83)*($A$72:$A$83)))=0),"",SUMPRODUCT(MAX(ISNUMBER(O72:O83)*($A$72:$A$83))))</f>
        <v/>
      </c>
      <c r="P85" s="70"/>
      <c r="Q85" s="70"/>
      <c r="R85" s="70" t="str">
        <f aca="false">IF(OR(COUNT(R72:R83)=0,SUMPRODUCT(MAX(ISNUMBER(R72:R83)*($A$72:$A$83)))=0),"",SUMPRODUCT(MAX(ISNUMBER(R72:R83)*($A$72:$A$83))))</f>
        <v/>
      </c>
      <c r="S85" s="70"/>
      <c r="T85" s="70"/>
      <c r="U85" s="70" t="str">
        <f aca="false">IF(OR(COUNT(U72:U83)=0,SUMPRODUCT(MAX(ISNUMBER(U72:U83)*($A$72:$A$83)))=0),"",SUMPRODUCT(MAX(ISNUMBER(U72:U83)*($A$72:$A$83))))</f>
        <v/>
      </c>
      <c r="V85" s="70"/>
      <c r="W85" s="70"/>
      <c r="X85" s="70" t="str">
        <f aca="false">IF(OR(COUNT(X72:X83)=0,SUMPRODUCT(MAX(ISNUMBER(X72:X83)*($A$72:$A$83)))=0),"",SUMPRODUCT(MAX(ISNUMBER(X72:X83)*($A$72:$A$83))))</f>
        <v/>
      </c>
      <c r="Y85" s="70"/>
      <c r="Z85" s="70"/>
      <c r="AA85" s="82"/>
    </row>
    <row r="87" customFormat="false" ht="15" hidden="false" customHeight="true" outlineLevel="0" collapsed="false">
      <c r="A87" s="54" t="s">
        <v>168</v>
      </c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</row>
    <row r="107" customFormat="false" ht="19.5" hidden="false" customHeight="true" outlineLevel="0" collapsed="false">
      <c r="A107" s="62" t="s">
        <v>169</v>
      </c>
      <c r="B107" s="62"/>
      <c r="C107" s="62"/>
      <c r="D107" s="62"/>
      <c r="E107" s="62"/>
      <c r="F107" s="62"/>
      <c r="G107" s="62"/>
      <c r="H107" s="62"/>
      <c r="I107" s="62"/>
      <c r="J107" s="62"/>
    </row>
    <row r="108" customFormat="false" ht="18" hidden="false" customHeight="true" outlineLevel="0" collapsed="false">
      <c r="A108" s="33" t="s">
        <v>170</v>
      </c>
      <c r="B108" s="33" t="s">
        <v>46</v>
      </c>
      <c r="C108" s="33" t="s">
        <v>47</v>
      </c>
      <c r="D108" s="33"/>
      <c r="E108" s="33" t="s">
        <v>171</v>
      </c>
      <c r="F108" s="33" t="s">
        <v>172</v>
      </c>
      <c r="G108" s="33" t="s">
        <v>173</v>
      </c>
      <c r="H108" s="33" t="s">
        <v>174</v>
      </c>
      <c r="I108" s="33" t="s">
        <v>175</v>
      </c>
      <c r="J108" s="33" t="s">
        <v>52</v>
      </c>
      <c r="K108" s="33" t="s">
        <v>176</v>
      </c>
      <c r="L108" s="33" t="s">
        <v>177</v>
      </c>
    </row>
    <row r="109" customFormat="false" ht="13.5" hidden="false" customHeight="true" outlineLevel="0" collapsed="false">
      <c r="A109" s="57" t="n">
        <v>1</v>
      </c>
      <c r="B109" s="73" t="s">
        <v>178</v>
      </c>
      <c r="C109" s="73" t="str">
        <f aca="false">C34</f>
        <v>Hip Flexion (°)</v>
      </c>
      <c r="D109" s="73"/>
      <c r="E109" s="85" t="b">
        <f aca="false">AND(C109&lt;&gt;"",LEFT(C109,1)&lt;&gt;"(")</f>
        <v>1</v>
      </c>
      <c r="F109" s="57" t="n">
        <f aca="false">IF(E109,COUNTIF($E$109:E109,TRUE()),"")</f>
        <v>1</v>
      </c>
      <c r="G109" s="57" t="str">
        <f aca="false">C48</f>
        <v/>
      </c>
      <c r="H109" s="57" t="str">
        <f aca="false">D48</f>
        <v/>
      </c>
      <c r="I109" s="86" t="str">
        <f aca="false">E48</f>
        <v/>
      </c>
      <c r="J109" s="87" t="str">
        <f aca="false">C49</f>
        <v/>
      </c>
      <c r="K109" s="57" t="str">
        <f aca="false">IFERROR(IF(COUNT($E$36:$E$47)&lt;2,"",TEXT((E48-INDEX($E$36:$E$47,SUMPRODUCT(MAX(ISNUMBER($E$36:$E$47)*(($A$36:$A$47)=SUMPRODUCT(LARGE(ISNUMBER($E$36:$E$47)*($A$36:$A$47),2)))*(ROW($E$36:$E$47)-ROW($E$36)+1)))))*100,"+0;-0;0")&amp;" pts"),"")</f>
        <v/>
      </c>
      <c r="L109" s="73" t="s">
        <v>107</v>
      </c>
    </row>
    <row r="110" customFormat="false" ht="13.5" hidden="false" customHeight="true" outlineLevel="0" collapsed="false">
      <c r="A110" s="57" t="n">
        <v>2</v>
      </c>
      <c r="B110" s="73" t="s">
        <v>178</v>
      </c>
      <c r="C110" s="73" t="str">
        <f aca="false">F34</f>
        <v>Hip Extension (°)</v>
      </c>
      <c r="D110" s="73"/>
      <c r="E110" s="85" t="b">
        <f aca="false">AND(C110&lt;&gt;"",LEFT(C110,1)&lt;&gt;"(")</f>
        <v>1</v>
      </c>
      <c r="F110" s="57" t="n">
        <f aca="false">IF(E110,COUNTIF($E$109:E110,TRUE()),"")</f>
        <v>2</v>
      </c>
      <c r="G110" s="57" t="str">
        <f aca="false">F48</f>
        <v/>
      </c>
      <c r="H110" s="57" t="str">
        <f aca="false">G48</f>
        <v/>
      </c>
      <c r="I110" s="86" t="str">
        <f aca="false">H48</f>
        <v/>
      </c>
      <c r="J110" s="87" t="str">
        <f aca="false">F49</f>
        <v/>
      </c>
      <c r="K110" s="57" t="str">
        <f aca="false">IFERROR(IF(COUNT($H$36:$H$47)&lt;2,"",TEXT((H48-INDEX($H$36:$H$47,SUMPRODUCT(MAX(ISNUMBER($H$36:$H$47)*(($A$36:$A$47)=SUMPRODUCT(LARGE(ISNUMBER($H$36:$H$47)*($A$36:$A$47),2)))*(ROW($H$36:$H$47)-ROW($H$36)+1)))))*100,"+0;-0;0")&amp;" pts"),"")</f>
        <v/>
      </c>
      <c r="L110" s="73" t="s">
        <v>130</v>
      </c>
    </row>
    <row r="111" customFormat="false" ht="13.5" hidden="false" customHeight="true" outlineLevel="0" collapsed="false">
      <c r="A111" s="57" t="n">
        <v>3</v>
      </c>
      <c r="B111" s="73" t="s">
        <v>178</v>
      </c>
      <c r="C111" s="73" t="str">
        <f aca="false">I34</f>
        <v>Hip IR @ 90° (°)</v>
      </c>
      <c r="D111" s="73"/>
      <c r="E111" s="85" t="b">
        <f aca="false">AND(C111&lt;&gt;"",LEFT(C111,1)&lt;&gt;"(")</f>
        <v>1</v>
      </c>
      <c r="F111" s="57" t="n">
        <f aca="false">IF(E111,COUNTIF($E$109:E111,TRUE()),"")</f>
        <v>3</v>
      </c>
      <c r="G111" s="57" t="str">
        <f aca="false">I48</f>
        <v/>
      </c>
      <c r="H111" s="57" t="str">
        <f aca="false">J48</f>
        <v/>
      </c>
      <c r="I111" s="86" t="str">
        <f aca="false">K48</f>
        <v/>
      </c>
      <c r="J111" s="87" t="str">
        <f aca="false">I49</f>
        <v/>
      </c>
      <c r="K111" s="57" t="str">
        <f aca="false">IFERROR(IF(COUNT($K$36:$K$47)&lt;2,"",TEXT((K48-INDEX($K$36:$K$47,SUMPRODUCT(MAX(ISNUMBER($K$36:$K$47)*(($A$36:$A$47)=SUMPRODUCT(LARGE(ISNUMBER($K$36:$K$47)*($A$36:$A$47),2)))*(ROW($K$36:$K$47)-ROW($K$36)+1)))))*100,"+0;-0;0")&amp;" pts"),"")</f>
        <v/>
      </c>
      <c r="L111" s="73" t="s">
        <v>132</v>
      </c>
    </row>
    <row r="112" customFormat="false" ht="13.5" hidden="false" customHeight="true" outlineLevel="0" collapsed="false">
      <c r="A112" s="57" t="n">
        <v>4</v>
      </c>
      <c r="B112" s="73" t="s">
        <v>178</v>
      </c>
      <c r="C112" s="73" t="str">
        <f aca="false">L34</f>
        <v>Hip ER @ 90° (°)</v>
      </c>
      <c r="D112" s="73"/>
      <c r="E112" s="85" t="b">
        <f aca="false">AND(C112&lt;&gt;"",LEFT(C112,1)&lt;&gt;"(")</f>
        <v>1</v>
      </c>
      <c r="F112" s="57" t="n">
        <f aca="false">IF(E112,COUNTIF($E$109:E112,TRUE()),"")</f>
        <v>4</v>
      </c>
      <c r="G112" s="57" t="str">
        <f aca="false">L48</f>
        <v/>
      </c>
      <c r="H112" s="57" t="str">
        <f aca="false">M48</f>
        <v/>
      </c>
      <c r="I112" s="86" t="str">
        <f aca="false">N48</f>
        <v/>
      </c>
      <c r="J112" s="87" t="str">
        <f aca="false">L49</f>
        <v/>
      </c>
      <c r="K112" s="57" t="str">
        <f aca="false">IFERROR(IF(COUNT($N$36:$N$47)&lt;2,"",TEXT((N48-INDEX($N$36:$N$47,SUMPRODUCT(MAX(ISNUMBER($N$36:$N$47)*(($A$36:$A$47)=SUMPRODUCT(LARGE(ISNUMBER($N$36:$N$47)*($A$36:$A$47),2)))*(ROW($N$36:$N$47)-ROW($N$36)+1)))))*100,"+0;-0;0")&amp;" pts"),"")</f>
        <v/>
      </c>
      <c r="L112" s="73" t="s">
        <v>137</v>
      </c>
    </row>
    <row r="113" customFormat="false" ht="13.5" hidden="false" customHeight="true" outlineLevel="0" collapsed="false">
      <c r="A113" s="57" t="n">
        <v>5</v>
      </c>
      <c r="B113" s="73" t="s">
        <v>178</v>
      </c>
      <c r="C113" s="73" t="str">
        <f aca="false">O34</f>
        <v>Active Abduction (°)</v>
      </c>
      <c r="D113" s="73"/>
      <c r="E113" s="85" t="b">
        <f aca="false">AND(C113&lt;&gt;"",LEFT(C113,1)&lt;&gt;"(")</f>
        <v>1</v>
      </c>
      <c r="F113" s="57" t="n">
        <f aca="false">IF(E113,COUNTIF($E$109:E113,TRUE()),"")</f>
        <v>5</v>
      </c>
      <c r="G113" s="57" t="str">
        <f aca="false">O48</f>
        <v/>
      </c>
      <c r="H113" s="57" t="str">
        <f aca="false">P48</f>
        <v/>
      </c>
      <c r="I113" s="86" t="str">
        <f aca="false">Q48</f>
        <v/>
      </c>
      <c r="J113" s="87" t="str">
        <f aca="false">O49</f>
        <v/>
      </c>
      <c r="K113" s="57" t="str">
        <f aca="false">IFERROR(IF(COUNT($Q$36:$Q$47)&lt;2,"",TEXT((Q48-INDEX($Q$36:$Q$47,SUMPRODUCT(MAX(ISNUMBER($Q$36:$Q$47)*(($A$36:$A$47)=SUMPRODUCT(LARGE(ISNUMBER($Q$36:$Q$47)*($A$36:$A$47),2)))*(ROW($Q$36:$Q$47)-ROW($Q$36)+1)))))*100,"+0;-0;0")&amp;" pts"),"")</f>
        <v/>
      </c>
      <c r="L113" s="73" t="s">
        <v>179</v>
      </c>
    </row>
    <row r="114" customFormat="false" ht="13.5" hidden="false" customHeight="true" outlineLevel="0" collapsed="false">
      <c r="A114" s="57" t="n">
        <v>6</v>
      </c>
      <c r="B114" s="73" t="s">
        <v>178</v>
      </c>
      <c r="C114" s="73" t="str">
        <f aca="false">R34</f>
        <v>Passive Abduction (°)</v>
      </c>
      <c r="D114" s="73"/>
      <c r="E114" s="85" t="b">
        <f aca="false">AND(C114&lt;&gt;"",LEFT(C114,1)&lt;&gt;"(")</f>
        <v>1</v>
      </c>
      <c r="F114" s="57" t="n">
        <f aca="false">IF(E114,COUNTIF($E$109:E114,TRUE()),"")</f>
        <v>6</v>
      </c>
      <c r="G114" s="57" t="str">
        <f aca="false">R48</f>
        <v/>
      </c>
      <c r="H114" s="57" t="str">
        <f aca="false">S48</f>
        <v/>
      </c>
      <c r="I114" s="86" t="str">
        <f aca="false">T48</f>
        <v/>
      </c>
      <c r="J114" s="87" t="str">
        <f aca="false">R49</f>
        <v/>
      </c>
      <c r="K114" s="57" t="str">
        <f aca="false">IFERROR(IF(COUNT($T$36:$T$47)&lt;2,"",TEXT((T48-INDEX($T$36:$T$47,SUMPRODUCT(MAX(ISNUMBER($T$36:$T$47)*(($A$36:$A$47)=SUMPRODUCT(LARGE(ISNUMBER($T$36:$T$47)*($A$36:$A$47),2)))*(ROW($T$36:$T$47)-ROW($T$36)+1)))))*100,"+0;-0;0")&amp;" pts"),"")</f>
        <v/>
      </c>
      <c r="L114" s="73" t="s">
        <v>180</v>
      </c>
    </row>
    <row r="115" customFormat="false" ht="13.5" hidden="false" customHeight="true" outlineLevel="0" collapsed="false">
      <c r="A115" s="57" t="n">
        <v>7</v>
      </c>
      <c r="B115" s="73" t="s">
        <v>178</v>
      </c>
      <c r="C115" s="73" t="str">
        <f aca="false">U34</f>
        <v>(spare slot — rename)</v>
      </c>
      <c r="D115" s="73"/>
      <c r="E115" s="85" t="b">
        <f aca="false">AND(C115&lt;&gt;"",LEFT(C115,1)&lt;&gt;"(")</f>
        <v>0</v>
      </c>
      <c r="F115" s="57" t="str">
        <f aca="false">IF(E115,COUNTIF($E$109:E115,TRUE()),"")</f>
        <v/>
      </c>
      <c r="G115" s="57" t="str">
        <f aca="false">U48</f>
        <v/>
      </c>
      <c r="H115" s="57" t="str">
        <f aca="false">V48</f>
        <v/>
      </c>
      <c r="I115" s="86" t="str">
        <f aca="false">W48</f>
        <v/>
      </c>
      <c r="J115" s="87" t="str">
        <f aca="false">U49</f>
        <v/>
      </c>
      <c r="K115" s="57" t="str">
        <f aca="false">IFERROR(IF(COUNT($W$36:$W$47)&lt;2,"",TEXT((W48-INDEX($W$36:$W$47,SUMPRODUCT(MAX(ISNUMBER($W$36:$W$47)*(($A$36:$A$47)=SUMPRODUCT(LARGE(ISNUMBER($W$36:$W$47)*($A$36:$A$47),2)))*(ROW($W$36:$W$47)-ROW($W$36)+1)))))*100,"+0;-0;0")&amp;" pts"),"")</f>
        <v/>
      </c>
      <c r="L115" s="73" t="s">
        <v>181</v>
      </c>
    </row>
    <row r="116" customFormat="false" ht="13.5" hidden="false" customHeight="true" outlineLevel="0" collapsed="false">
      <c r="A116" s="57" t="n">
        <v>8</v>
      </c>
      <c r="B116" s="73" t="s">
        <v>178</v>
      </c>
      <c r="C116" s="73" t="str">
        <f aca="false">X34</f>
        <v>(spare slot — rename)</v>
      </c>
      <c r="D116" s="73"/>
      <c r="E116" s="85" t="b">
        <f aca="false">AND(C116&lt;&gt;"",LEFT(C116,1)&lt;&gt;"(")</f>
        <v>0</v>
      </c>
      <c r="F116" s="57" t="str">
        <f aca="false">IF(E116,COUNTIF($E$109:E116,TRUE()),"")</f>
        <v/>
      </c>
      <c r="G116" s="57" t="str">
        <f aca="false">X48</f>
        <v/>
      </c>
      <c r="H116" s="57" t="str">
        <f aca="false">Y48</f>
        <v/>
      </c>
      <c r="I116" s="86" t="str">
        <f aca="false">Z48</f>
        <v/>
      </c>
      <c r="J116" s="87" t="str">
        <f aca="false">X49</f>
        <v/>
      </c>
      <c r="K116" s="57" t="str">
        <f aca="false">IFERROR(IF(COUNT($Z$36:$Z$47)&lt;2,"",TEXT((Z48-INDEX($Z$36:$Z$47,SUMPRODUCT(MAX(ISNUMBER($Z$36:$Z$47)*(($A$36:$A$47)=SUMPRODUCT(LARGE(ISNUMBER($Z$36:$Z$47)*($A$36:$A$47),2)))*(ROW($Z$36:$Z$47)-ROW($Z$36)+1)))))*100,"+0;-0;0")&amp;" pts"),"")</f>
        <v/>
      </c>
      <c r="L116" s="73" t="str">
        <f aca="false">C109</f>
        <v>Hip Flexion (°)</v>
      </c>
    </row>
    <row r="117" customFormat="false" ht="13.5" hidden="false" customHeight="true" outlineLevel="0" collapsed="false">
      <c r="A117" s="57" t="n">
        <v>9</v>
      </c>
      <c r="B117" s="73" t="s">
        <v>182</v>
      </c>
      <c r="C117" s="73" t="str">
        <f aca="false">C52</f>
        <v>Hip Flexion @ 90° (kg)</v>
      </c>
      <c r="D117" s="73"/>
      <c r="E117" s="85" t="b">
        <f aca="false">AND(C117&lt;&gt;"",LEFT(C117,1)&lt;&gt;"(")</f>
        <v>1</v>
      </c>
      <c r="F117" s="57" t="n">
        <f aca="false">IF(E117,COUNTIF($E$109:E117,TRUE()),"")</f>
        <v>7</v>
      </c>
      <c r="G117" s="57" t="n">
        <f aca="false">C66</f>
        <v>22.6</v>
      </c>
      <c r="H117" s="57" t="n">
        <f aca="false">D66</f>
        <v>24.3</v>
      </c>
      <c r="I117" s="86" t="n">
        <f aca="false">E66</f>
        <v>0.930041152263375</v>
      </c>
      <c r="J117" s="87" t="n">
        <f aca="false">C67</f>
        <v>46314</v>
      </c>
      <c r="K117" s="57" t="str">
        <f aca="false">IFERROR(IF(COUNT($E$54:$E$65)&lt;2,"",TEXT((E66-INDEX($E$54:$E$65,SUMPRODUCT(MAX(ISNUMBER($E$54:$E$65)*(($A$54:$A$65)=SUMPRODUCT(LARGE(ISNUMBER($E$54:$E$65)*($A$54:$A$65),2)))*(ROW($E$54:$E$65)-ROW($E$54)+1)))))*100,"+0;-0;0")&amp;" pts"),"")</f>
        <v>+9 pts</v>
      </c>
      <c r="L117" s="73" t="str">
        <f aca="false">C110</f>
        <v>Hip Extension (°)</v>
      </c>
    </row>
    <row r="118" customFormat="false" ht="13.5" hidden="false" customHeight="true" outlineLevel="0" collapsed="false">
      <c r="A118" s="57" t="n">
        <v>10</v>
      </c>
      <c r="B118" s="73" t="s">
        <v>182</v>
      </c>
      <c r="C118" s="73" t="str">
        <f aca="false">F52</f>
        <v>Hip Extension (kg)</v>
      </c>
      <c r="D118" s="73"/>
      <c r="E118" s="85" t="b">
        <f aca="false">AND(C118&lt;&gt;"",LEFT(C118,1)&lt;&gt;"(")</f>
        <v>1</v>
      </c>
      <c r="F118" s="57" t="n">
        <f aca="false">IF(E118,COUNTIF($E$109:E118,TRUE()),"")</f>
        <v>8</v>
      </c>
      <c r="G118" s="57" t="n">
        <f aca="false">F66</f>
        <v>30.4</v>
      </c>
      <c r="H118" s="57" t="n">
        <f aca="false">G66</f>
        <v>31.2</v>
      </c>
      <c r="I118" s="86" t="n">
        <f aca="false">H66</f>
        <v>0.974358974358974</v>
      </c>
      <c r="J118" s="87" t="n">
        <f aca="false">F67</f>
        <v>46314</v>
      </c>
      <c r="K118" s="57" t="str">
        <f aca="false">IFERROR(IF(COUNT($H$54:$H$65)&lt;2,"",TEXT((H66-INDEX($H$54:$H$65,SUMPRODUCT(MAX(ISNUMBER($H$54:$H$65)*(($A$54:$A$65)=SUMPRODUCT(LARGE(ISNUMBER($H$54:$H$65)*($A$54:$A$65),2)))*(ROW($H$54:$H$65)-ROW($H$54)+1)))))*100,"+0;-0;0")&amp;" pts"),"")</f>
        <v>+4 pts</v>
      </c>
      <c r="L118" s="73" t="str">
        <f aca="false">C111</f>
        <v>Hip IR @ 90° (°)</v>
      </c>
    </row>
    <row r="119" customFormat="false" ht="13.5" hidden="false" customHeight="true" outlineLevel="0" collapsed="false">
      <c r="A119" s="57" t="n">
        <v>11</v>
      </c>
      <c r="B119" s="73" t="s">
        <v>182</v>
      </c>
      <c r="C119" s="73" t="str">
        <f aca="false">I52</f>
        <v>Hip IR @ 90° (kg)</v>
      </c>
      <c r="D119" s="73"/>
      <c r="E119" s="85" t="b">
        <f aca="false">AND(C119&lt;&gt;"",LEFT(C119,1)&lt;&gt;"(")</f>
        <v>1</v>
      </c>
      <c r="F119" s="57" t="n">
        <f aca="false">IF(E119,COUNTIF($E$109:E119,TRUE()),"")</f>
        <v>9</v>
      </c>
      <c r="G119" s="57" t="n">
        <f aca="false">I66</f>
        <v>12.1</v>
      </c>
      <c r="H119" s="57" t="n">
        <f aca="false">J66</f>
        <v>12.9</v>
      </c>
      <c r="I119" s="86" t="n">
        <f aca="false">K66</f>
        <v>0.937984496124031</v>
      </c>
      <c r="J119" s="87" t="n">
        <f aca="false">I67</f>
        <v>46314</v>
      </c>
      <c r="K119" s="57" t="str">
        <f aca="false">IFERROR(IF(COUNT($K$54:$K$65)&lt;2,"",TEXT((K66-INDEX($K$54:$K$65,SUMPRODUCT(MAX(ISNUMBER($K$54:$K$65)*(($A$54:$A$65)=SUMPRODUCT(LARGE(ISNUMBER($K$54:$K$65)*($A$54:$A$65),2)))*(ROW($K$54:$K$65)-ROW($K$54)+1)))))*100,"+0;-0;0")&amp;" pts"),"")</f>
        <v>+6 pts</v>
      </c>
      <c r="L119" s="73" t="str">
        <f aca="false">C112</f>
        <v>Hip ER @ 90° (°)</v>
      </c>
    </row>
    <row r="120" customFormat="false" ht="13.5" hidden="false" customHeight="true" outlineLevel="0" collapsed="false">
      <c r="A120" s="57" t="n">
        <v>12</v>
      </c>
      <c r="B120" s="73" t="s">
        <v>182</v>
      </c>
      <c r="C120" s="73" t="str">
        <f aca="false">L52</f>
        <v>Hip ER @ 90° (kg)</v>
      </c>
      <c r="D120" s="73"/>
      <c r="E120" s="85" t="b">
        <f aca="false">AND(C120&lt;&gt;"",LEFT(C120,1)&lt;&gt;"(")</f>
        <v>1</v>
      </c>
      <c r="F120" s="57" t="n">
        <f aca="false">IF(E120,COUNTIF($E$109:E120,TRUE()),"")</f>
        <v>10</v>
      </c>
      <c r="G120" s="57" t="n">
        <f aca="false">L66</f>
        <v>13.4</v>
      </c>
      <c r="H120" s="57" t="n">
        <f aca="false">M66</f>
        <v>13.2</v>
      </c>
      <c r="I120" s="86" t="n">
        <f aca="false">N66</f>
        <v>1.01515151515152</v>
      </c>
      <c r="J120" s="87" t="n">
        <f aca="false">L67</f>
        <v>46314</v>
      </c>
      <c r="K120" s="57" t="str">
        <f aca="false">IFERROR(IF(COUNT($N$54:$N$65)&lt;2,"",TEXT((N66-INDEX($N$54:$N$65,SUMPRODUCT(MAX(ISNUMBER($N$54:$N$65)*(($A$54:$A$65)=SUMPRODUCT(LARGE(ISNUMBER($N$54:$N$65)*($A$54:$A$65),2)))*(ROW($N$54:$N$65)-ROW($N$54)+1)))))*100,"+0;-0;0")&amp;" pts"),"")</f>
        <v>+2 pts</v>
      </c>
      <c r="L120" s="73" t="str">
        <f aca="false">C113</f>
        <v>Active Abduction (°)</v>
      </c>
    </row>
    <row r="121" customFormat="false" ht="13.5" hidden="false" customHeight="true" outlineLevel="0" collapsed="false">
      <c r="A121" s="57" t="n">
        <v>13</v>
      </c>
      <c r="B121" s="73" t="s">
        <v>182</v>
      </c>
      <c r="C121" s="73" t="str">
        <f aca="false">O52</f>
        <v>Adduction @ 30° (kg)</v>
      </c>
      <c r="D121" s="73"/>
      <c r="E121" s="85" t="b">
        <f aca="false">AND(C121&lt;&gt;"",LEFT(C121,1)&lt;&gt;"(")</f>
        <v>1</v>
      </c>
      <c r="F121" s="57" t="n">
        <f aca="false">IF(E121,COUNTIF($E$109:E121,TRUE()),"")</f>
        <v>11</v>
      </c>
      <c r="G121" s="57" t="n">
        <f aca="false">O66</f>
        <v>28.1</v>
      </c>
      <c r="H121" s="57" t="n">
        <f aca="false">P66</f>
        <v>30.4</v>
      </c>
      <c r="I121" s="86" t="n">
        <f aca="false">Q66</f>
        <v>0.924342105263158</v>
      </c>
      <c r="J121" s="87" t="n">
        <f aca="false">O67</f>
        <v>46314</v>
      </c>
      <c r="K121" s="57" t="str">
        <f aca="false">IFERROR(IF(COUNT($Q$54:$Q$65)&lt;2,"",TEXT((Q66-INDEX($Q$54:$Q$65,SUMPRODUCT(MAX(ISNUMBER($Q$54:$Q$65)*(($A$54:$A$65)=SUMPRODUCT(LARGE(ISNUMBER($Q$54:$Q$65)*($A$54:$A$65),2)))*(ROW($Q$54:$Q$65)-ROW($Q$54)+1)))))*100,"+0;-0;0")&amp;" pts"),"")</f>
        <v>+7 pts</v>
      </c>
      <c r="L121" s="73" t="str">
        <f aca="false">C114</f>
        <v>Passive Abduction (°)</v>
      </c>
    </row>
    <row r="122" customFormat="false" ht="13.5" hidden="false" customHeight="true" outlineLevel="0" collapsed="false">
      <c r="A122" s="57" t="n">
        <v>14</v>
      </c>
      <c r="B122" s="73" t="s">
        <v>182</v>
      </c>
      <c r="C122" s="73" t="str">
        <f aca="false">R52</f>
        <v>Abduction @ 30° (kg)</v>
      </c>
      <c r="D122" s="73"/>
      <c r="E122" s="85" t="b">
        <f aca="false">AND(C122&lt;&gt;"",LEFT(C122,1)&lt;&gt;"(")</f>
        <v>1</v>
      </c>
      <c r="F122" s="57" t="n">
        <f aca="false">IF(E122,COUNTIF($E$109:E122,TRUE()),"")</f>
        <v>12</v>
      </c>
      <c r="G122" s="57" t="n">
        <f aca="false">R66</f>
        <v>25.8</v>
      </c>
      <c r="H122" s="57" t="n">
        <f aca="false">S66</f>
        <v>27.6</v>
      </c>
      <c r="I122" s="86" t="n">
        <f aca="false">T66</f>
        <v>0.934782608695652</v>
      </c>
      <c r="J122" s="87" t="n">
        <f aca="false">R67</f>
        <v>46314</v>
      </c>
      <c r="K122" s="57" t="str">
        <f aca="false">IFERROR(IF(COUNT($T$54:$T$65)&lt;2,"",TEXT((T66-INDEX($T$54:$T$65,SUMPRODUCT(MAX(ISNUMBER($T$54:$T$65)*(($A$54:$A$65)=SUMPRODUCT(LARGE(ISNUMBER($T$54:$T$65)*($A$54:$A$65),2)))*(ROW($T$54:$T$65)-ROW($T$54)+1)))))*100,"+0;-0;0")&amp;" pts"),"")</f>
        <v>+6 pts</v>
      </c>
      <c r="L122" s="73" t="str">
        <f aca="false">C115</f>
        <v>(spare slot — rename)</v>
      </c>
    </row>
    <row r="123" customFormat="false" ht="13.5" hidden="false" customHeight="true" outlineLevel="0" collapsed="false">
      <c r="A123" s="57" t="n">
        <v>15</v>
      </c>
      <c r="B123" s="73" t="s">
        <v>182</v>
      </c>
      <c r="C123" s="73" t="str">
        <f aca="false">U52</f>
        <v>Hip Flexion @ 60° (kg)</v>
      </c>
      <c r="D123" s="73"/>
      <c r="E123" s="85" t="b">
        <f aca="false">AND(C123&lt;&gt;"",LEFT(C123,1)&lt;&gt;"(")</f>
        <v>1</v>
      </c>
      <c r="F123" s="57" t="n">
        <f aca="false">IF(E123,COUNTIF($E$109:E123,TRUE()),"")</f>
        <v>13</v>
      </c>
      <c r="G123" s="57" t="n">
        <f aca="false">U66</f>
        <v>20.5</v>
      </c>
      <c r="H123" s="57" t="n">
        <f aca="false">V66</f>
        <v>22</v>
      </c>
      <c r="I123" s="86" t="n">
        <f aca="false">W66</f>
        <v>0.931818181818182</v>
      </c>
      <c r="J123" s="87" t="n">
        <f aca="false">U67</f>
        <v>46314</v>
      </c>
      <c r="K123" s="57" t="str">
        <f aca="false">IFERROR(IF(COUNT($W$54:$W$65)&lt;2,"",TEXT((W66-INDEX($W$54:$W$65,SUMPRODUCT(MAX(ISNUMBER($W$54:$W$65)*(($A$54:$A$65)=SUMPRODUCT(LARGE(ISNUMBER($W$54:$W$65)*($A$54:$A$65),2)))*(ROW($W$54:$W$65)-ROW($W$54)+1)))))*100,"+0;-0;0")&amp;" pts"),"")</f>
        <v>+8 pts</v>
      </c>
      <c r="L123" s="73" t="str">
        <f aca="false">C116</f>
        <v>(spare slot — rename)</v>
      </c>
    </row>
    <row r="124" customFormat="false" ht="13.5" hidden="false" customHeight="true" outlineLevel="0" collapsed="false">
      <c r="A124" s="57" t="n">
        <v>16</v>
      </c>
      <c r="B124" s="73" t="s">
        <v>182</v>
      </c>
      <c r="C124" s="73" t="str">
        <f aca="false">X52</f>
        <v>(spare slot — rename)</v>
      </c>
      <c r="D124" s="73"/>
      <c r="E124" s="85" t="b">
        <f aca="false">AND(C124&lt;&gt;"",LEFT(C124,1)&lt;&gt;"(")</f>
        <v>0</v>
      </c>
      <c r="F124" s="57" t="str">
        <f aca="false">IF(E124,COUNTIF($E$109:E124,TRUE()),"")</f>
        <v/>
      </c>
      <c r="G124" s="57" t="str">
        <f aca="false">X66</f>
        <v/>
      </c>
      <c r="H124" s="57" t="str">
        <f aca="false">Y66</f>
        <v/>
      </c>
      <c r="I124" s="86" t="str">
        <f aca="false">Z66</f>
        <v/>
      </c>
      <c r="J124" s="87" t="str">
        <f aca="false">X67</f>
        <v/>
      </c>
      <c r="K124" s="57" t="str">
        <f aca="false">IFERROR(IF(COUNT($Z$54:$Z$65)&lt;2,"",TEXT((Z66-INDEX($Z$54:$Z$65,SUMPRODUCT(MAX(ISNUMBER($Z$54:$Z$65)*(($A$54:$A$65)=SUMPRODUCT(LARGE(ISNUMBER($Z$54:$Z$65)*($A$54:$A$65),2)))*(ROW($Z$54:$Z$65)-ROW($Z$54)+1)))))*100,"+0;-0;0")&amp;" pts"),"")</f>
        <v/>
      </c>
      <c r="L124" s="73" t="str">
        <f aca="false">C117</f>
        <v>Hip Flexion @ 90° (kg)</v>
      </c>
    </row>
    <row r="125" customFormat="false" ht="13.5" hidden="false" customHeight="true" outlineLevel="0" collapsed="false">
      <c r="A125" s="57" t="n">
        <v>17</v>
      </c>
      <c r="B125" s="73" t="s">
        <v>183</v>
      </c>
      <c r="C125" s="73" t="str">
        <f aca="false">C70</f>
        <v>DL CMJ Height (cm)</v>
      </c>
      <c r="D125" s="73"/>
      <c r="E125" s="85" t="b">
        <f aca="false">AND(C125&lt;&gt;"",LEFT(C125,1)&lt;&gt;"(")</f>
        <v>1</v>
      </c>
      <c r="F125" s="57" t="n">
        <f aca="false">IF(E125,COUNTIF($E$109:E125,TRUE()),"")</f>
        <v>14</v>
      </c>
      <c r="G125" s="57" t="str">
        <f aca="false">C84</f>
        <v/>
      </c>
      <c r="H125" s="57" t="str">
        <f aca="false">D84</f>
        <v/>
      </c>
      <c r="I125" s="86" t="str">
        <f aca="false">E84</f>
        <v/>
      </c>
      <c r="J125" s="87" t="str">
        <f aca="false">C85</f>
        <v/>
      </c>
      <c r="K125" s="57" t="str">
        <f aca="false">IFERROR(IF(COUNT($C$72:$C$83)&lt;2,"",TEXT(C84-INDEX($C$72:$C$83,SUMPRODUCT(MAX(ISNUMBER($C$72:$C$83)*(($A$72:$A$83)=SUMPRODUCT(LARGE(ISNUMBER($C$72:$C$83)*($A$72:$A$83),2)))*(ROW($C$72:$C$83)-ROW($C$72)+1)))),"+0.0;-0.0;0.0")),"")</f>
        <v/>
      </c>
      <c r="L125" s="73" t="str">
        <f aca="false">C118</f>
        <v>Hip Extension (kg)</v>
      </c>
    </row>
    <row r="126" customFormat="false" ht="13.5" hidden="false" customHeight="true" outlineLevel="0" collapsed="false">
      <c r="A126" s="57" t="n">
        <v>18</v>
      </c>
      <c r="B126" s="73" t="s">
        <v>183</v>
      </c>
      <c r="C126" s="73" t="str">
        <f aca="false">F70</f>
        <v>SL CMJ Height (cm)</v>
      </c>
      <c r="D126" s="73"/>
      <c r="E126" s="85" t="b">
        <f aca="false">AND(C126&lt;&gt;"",LEFT(C126,1)&lt;&gt;"(")</f>
        <v>1</v>
      </c>
      <c r="F126" s="57" t="n">
        <f aca="false">IF(E126,COUNTIF($E$109:E126,TRUE()),"")</f>
        <v>15</v>
      </c>
      <c r="G126" s="57" t="str">
        <f aca="false">F84</f>
        <v/>
      </c>
      <c r="H126" s="57" t="str">
        <f aca="false">G84</f>
        <v/>
      </c>
      <c r="I126" s="86" t="str">
        <f aca="false">H84</f>
        <v/>
      </c>
      <c r="J126" s="87" t="str">
        <f aca="false">F85</f>
        <v/>
      </c>
      <c r="K126" s="57" t="str">
        <f aca="false">IFERROR(IF(COUNT($H$72:$H$83)&lt;2,"",TEXT((H84-INDEX($H$72:$H$83,SUMPRODUCT(MAX(ISNUMBER($H$72:$H$83)*(($A$72:$A$83)=SUMPRODUCT(LARGE(ISNUMBER($H$72:$H$83)*($A$72:$A$83),2)))*(ROW($H$72:$H$83)-ROW($H$72)+1)))))*100,"+0;-0;0")&amp;" pts"),"")</f>
        <v/>
      </c>
      <c r="L126" s="73" t="str">
        <f aca="false">C119</f>
        <v>Hip IR @ 90° (kg)</v>
      </c>
    </row>
    <row r="127" customFormat="false" ht="13.5" hidden="false" customHeight="true" outlineLevel="0" collapsed="false">
      <c r="A127" s="57" t="n">
        <v>19</v>
      </c>
      <c r="B127" s="73" t="s">
        <v>183</v>
      </c>
      <c r="C127" s="73" t="str">
        <f aca="false">I70</f>
        <v>SL Hop Distance (cm)</v>
      </c>
      <c r="D127" s="73"/>
      <c r="E127" s="85" t="b">
        <f aca="false">AND(C127&lt;&gt;"",LEFT(C127,1)&lt;&gt;"(")</f>
        <v>1</v>
      </c>
      <c r="F127" s="57" t="n">
        <f aca="false">IF(E127,COUNTIF($E$109:E127,TRUE()),"")</f>
        <v>16</v>
      </c>
      <c r="G127" s="57" t="str">
        <f aca="false">I84</f>
        <v/>
      </c>
      <c r="H127" s="57" t="str">
        <f aca="false">J84</f>
        <v/>
      </c>
      <c r="I127" s="86" t="str">
        <f aca="false">K84</f>
        <v/>
      </c>
      <c r="J127" s="87" t="str">
        <f aca="false">I85</f>
        <v/>
      </c>
      <c r="K127" s="57" t="str">
        <f aca="false">IFERROR(IF(COUNT($K$72:$K$83)&lt;2,"",TEXT((K84-INDEX($K$72:$K$83,SUMPRODUCT(MAX(ISNUMBER($K$72:$K$83)*(($A$72:$A$83)=SUMPRODUCT(LARGE(ISNUMBER($K$72:$K$83)*($A$72:$A$83),2)))*(ROW($K$72:$K$83)-ROW($K$72)+1)))))*100,"+0;-0;0")&amp;" pts"),"")</f>
        <v/>
      </c>
      <c r="L127" s="73" t="str">
        <f aca="false">C120</f>
        <v>Hip ER @ 90° (kg)</v>
      </c>
    </row>
    <row r="128" customFormat="false" ht="13.5" hidden="false" customHeight="true" outlineLevel="0" collapsed="false">
      <c r="A128" s="57" t="n">
        <v>20</v>
      </c>
      <c r="B128" s="73" t="s">
        <v>183</v>
      </c>
      <c r="C128" s="73" t="str">
        <f aca="false">L70</f>
        <v>Triple Hop Distance (cm)</v>
      </c>
      <c r="D128" s="73"/>
      <c r="E128" s="85" t="b">
        <f aca="false">AND(C128&lt;&gt;"",LEFT(C128,1)&lt;&gt;"(")</f>
        <v>1</v>
      </c>
      <c r="F128" s="57" t="n">
        <f aca="false">IF(E128,COUNTIF($E$109:E128,TRUE()),"")</f>
        <v>17</v>
      </c>
      <c r="G128" s="57" t="str">
        <f aca="false">L84</f>
        <v/>
      </c>
      <c r="H128" s="57" t="str">
        <f aca="false">M84</f>
        <v/>
      </c>
      <c r="I128" s="86" t="str">
        <f aca="false">N84</f>
        <v/>
      </c>
      <c r="J128" s="87" t="str">
        <f aca="false">L85</f>
        <v/>
      </c>
      <c r="K128" s="57" t="str">
        <f aca="false">IFERROR(IF(COUNT($N$72:$N$83)&lt;2,"",TEXT((N84-INDEX($N$72:$N$83,SUMPRODUCT(MAX(ISNUMBER($N$72:$N$83)*(($A$72:$A$83)=SUMPRODUCT(LARGE(ISNUMBER($N$72:$N$83)*($A$72:$A$83),2)))*(ROW($N$72:$N$83)-ROW($N$72)+1)))))*100,"+0;-0;0")&amp;" pts"),"")</f>
        <v/>
      </c>
      <c r="L128" s="73" t="str">
        <f aca="false">C121</f>
        <v>Adduction @ 30° (kg)</v>
      </c>
    </row>
    <row r="129" customFormat="false" ht="13.5" hidden="false" customHeight="true" outlineLevel="0" collapsed="false">
      <c r="A129" s="57" t="n">
        <v>21</v>
      </c>
      <c r="B129" s="73" t="s">
        <v>183</v>
      </c>
      <c r="C129" s="73" t="str">
        <f aca="false">O70</f>
        <v>Lateral Capacity</v>
      </c>
      <c r="D129" s="73"/>
      <c r="E129" s="85" t="b">
        <f aca="false">AND(C129&lt;&gt;"",LEFT(C129,1)&lt;&gt;"(")</f>
        <v>1</v>
      </c>
      <c r="F129" s="57" t="n">
        <f aca="false">IF(E129,COUNTIF($E$109:E129,TRUE()),"")</f>
        <v>18</v>
      </c>
      <c r="G129" s="57" t="str">
        <f aca="false">O84</f>
        <v/>
      </c>
      <c r="H129" s="57" t="str">
        <f aca="false">P84</f>
        <v/>
      </c>
      <c r="I129" s="86" t="str">
        <f aca="false">Q84</f>
        <v/>
      </c>
      <c r="J129" s="87" t="str">
        <f aca="false">O85</f>
        <v/>
      </c>
      <c r="K129" s="57" t="str">
        <f aca="false">IFERROR(IF(COUNT($Q$72:$Q$83)&lt;2,"",TEXT((Q84-INDEX($Q$72:$Q$83,SUMPRODUCT(MAX(ISNUMBER($Q$72:$Q$83)*(($A$72:$A$83)=SUMPRODUCT(LARGE(ISNUMBER($Q$72:$Q$83)*($A$72:$A$83),2)))*(ROW($Q$72:$Q$83)-ROW($Q$72)+1)))))*100,"+0;-0;0")&amp;" pts"),"")</f>
        <v/>
      </c>
      <c r="L129" s="73" t="str">
        <f aca="false">C122</f>
        <v>Abduction @ 30° (kg)</v>
      </c>
    </row>
    <row r="130" customFormat="false" ht="13.5" hidden="false" customHeight="true" outlineLevel="0" collapsed="false">
      <c r="A130" s="57" t="n">
        <v>22</v>
      </c>
      <c r="B130" s="73" t="s">
        <v>183</v>
      </c>
      <c r="C130" s="73" t="str">
        <f aca="false">R70</f>
        <v>DL Drop Jump RSI</v>
      </c>
      <c r="D130" s="73"/>
      <c r="E130" s="85" t="b">
        <f aca="false">AND(C130&lt;&gt;"",LEFT(C130,1)&lt;&gt;"(")</f>
        <v>1</v>
      </c>
      <c r="F130" s="57" t="n">
        <f aca="false">IF(E130,COUNTIF($E$109:E130,TRUE()),"")</f>
        <v>19</v>
      </c>
      <c r="G130" s="57" t="str">
        <f aca="false">R84</f>
        <v/>
      </c>
      <c r="H130" s="57" t="str">
        <f aca="false">S84</f>
        <v/>
      </c>
      <c r="I130" s="86" t="str">
        <f aca="false">T84</f>
        <v/>
      </c>
      <c r="J130" s="87" t="str">
        <f aca="false">R85</f>
        <v/>
      </c>
      <c r="K130" s="57" t="str">
        <f aca="false">IFERROR(IF(COUNT($R$72:$R$83)&lt;2,"",TEXT(R84-INDEX($R$72:$R$83,SUMPRODUCT(MAX(ISNUMBER($R$72:$R$83)*(($A$72:$A$83)=SUMPRODUCT(LARGE(ISNUMBER($R$72:$R$83)*($A$72:$A$83),2)))*(ROW($R$72:$R$83)-ROW($R$72)+1)))),"+0.0;-0.0;0.0")),"")</f>
        <v/>
      </c>
      <c r="L130" s="73" t="str">
        <f aca="false">C123</f>
        <v>Hip Flexion @ 60° (kg)</v>
      </c>
    </row>
    <row r="131" customFormat="false" ht="13.5" hidden="false" customHeight="true" outlineLevel="0" collapsed="false">
      <c r="A131" s="57" t="n">
        <v>23</v>
      </c>
      <c r="B131" s="73" t="s">
        <v>183</v>
      </c>
      <c r="C131" s="73" t="str">
        <f aca="false">U70</f>
        <v>SL Drop Jump RSI</v>
      </c>
      <c r="D131" s="73"/>
      <c r="E131" s="85" t="b">
        <f aca="false">AND(C131&lt;&gt;"",LEFT(C131,1)&lt;&gt;"(")</f>
        <v>1</v>
      </c>
      <c r="F131" s="57" t="n">
        <f aca="false">IF(E131,COUNTIF($E$109:E131,TRUE()),"")</f>
        <v>20</v>
      </c>
      <c r="G131" s="57" t="str">
        <f aca="false">U84</f>
        <v/>
      </c>
      <c r="H131" s="57" t="str">
        <f aca="false">V84</f>
        <v/>
      </c>
      <c r="I131" s="86" t="str">
        <f aca="false">W84</f>
        <v/>
      </c>
      <c r="J131" s="87" t="str">
        <f aca="false">U85</f>
        <v/>
      </c>
      <c r="K131" s="57" t="str">
        <f aca="false">IFERROR(IF(COUNT($W$72:$W$83)&lt;2,"",TEXT((W84-INDEX($W$72:$W$83,SUMPRODUCT(MAX(ISNUMBER($W$72:$W$83)*(($A$72:$A$83)=SUMPRODUCT(LARGE(ISNUMBER($W$72:$W$83)*($A$72:$A$83),2)))*(ROW($W$72:$W$83)-ROW($W$72)+1)))))*100,"+0;-0;0")&amp;" pts"),"")</f>
        <v/>
      </c>
      <c r="L131" s="73" t="str">
        <f aca="false">C124</f>
        <v>(spare slot — rename)</v>
      </c>
    </row>
    <row r="132" customFormat="false" ht="13.5" hidden="false" customHeight="true" outlineLevel="0" collapsed="false">
      <c r="A132" s="57" t="n">
        <v>24</v>
      </c>
      <c r="B132" s="73" t="s">
        <v>183</v>
      </c>
      <c r="C132" s="73" t="str">
        <f aca="false">X70</f>
        <v>10-5 Repeated Hops RSI</v>
      </c>
      <c r="D132" s="73"/>
      <c r="E132" s="85" t="b">
        <f aca="false">AND(C132&lt;&gt;"",LEFT(C132,1)&lt;&gt;"(")</f>
        <v>1</v>
      </c>
      <c r="F132" s="57" t="n">
        <f aca="false">IF(E132,COUNTIF($E$109:E132,TRUE()),"")</f>
        <v>21</v>
      </c>
      <c r="G132" s="57" t="str">
        <f aca="false">X84</f>
        <v/>
      </c>
      <c r="H132" s="57" t="str">
        <f aca="false">Y84</f>
        <v/>
      </c>
      <c r="I132" s="86" t="str">
        <f aca="false">Z84</f>
        <v/>
      </c>
      <c r="J132" s="87" t="str">
        <f aca="false">X85</f>
        <v/>
      </c>
      <c r="K132" s="57" t="str">
        <f aca="false">IFERROR(IF(COUNT($X$72:$X$83)&lt;2,"",TEXT(X84-INDEX($X$72:$X$83,SUMPRODUCT(MAX(ISNUMBER($X$72:$X$83)*(($A$72:$A$83)=SUMPRODUCT(LARGE(ISNUMBER($X$72:$X$83)*($A$72:$A$83),2)))*(ROW($X$72:$X$83)-ROW($X$72)+1)))),"+0.0;-0.0;0.0")),"")</f>
        <v/>
      </c>
      <c r="L132" s="73" t="str">
        <f aca="false">C125</f>
        <v>DL CMJ Height (cm)</v>
      </c>
    </row>
    <row r="133" customFormat="false" ht="22.35" hidden="false" customHeight="false" outlineLevel="0" collapsed="false">
      <c r="L133" s="73" t="str">
        <f aca="false">C126</f>
        <v>SL CMJ Height (cm)</v>
      </c>
    </row>
    <row r="134" customFormat="false" ht="32.8" hidden="false" customHeight="false" outlineLevel="0" collapsed="false">
      <c r="L134" s="73" t="str">
        <f aca="false">C127</f>
        <v>SL Hop Distance (cm)</v>
      </c>
    </row>
    <row r="135" customFormat="false" ht="19.5" hidden="false" customHeight="true" outlineLevel="0" collapsed="false">
      <c r="A135" s="62" t="s">
        <v>184</v>
      </c>
      <c r="B135" s="62"/>
      <c r="C135" s="62"/>
      <c r="D135" s="62"/>
      <c r="E135" s="62"/>
      <c r="F135" s="62"/>
      <c r="G135" s="62"/>
      <c r="H135" s="62"/>
      <c r="I135" s="62"/>
      <c r="J135" s="62"/>
      <c r="L135" s="73" t="str">
        <f aca="false">C128</f>
        <v>Triple Hop Distance (cm)</v>
      </c>
    </row>
    <row r="136" customFormat="false" ht="18" hidden="false" customHeight="true" outlineLevel="0" collapsed="false">
      <c r="A136" s="33" t="s">
        <v>93</v>
      </c>
      <c r="B136" s="33" t="s">
        <v>46</v>
      </c>
      <c r="C136" s="33" t="s">
        <v>47</v>
      </c>
      <c r="D136" s="33"/>
      <c r="E136" s="33" t="s">
        <v>12</v>
      </c>
      <c r="F136" s="33" t="s">
        <v>49</v>
      </c>
      <c r="G136" s="33" t="s">
        <v>50</v>
      </c>
      <c r="H136" s="33" t="s">
        <v>52</v>
      </c>
      <c r="I136" s="33" t="s">
        <v>185</v>
      </c>
      <c r="J136" s="33"/>
      <c r="K136" s="33" t="s">
        <v>186</v>
      </c>
      <c r="L136" s="73" t="str">
        <f aca="false">C129</f>
        <v>Lateral Capacity</v>
      </c>
    </row>
    <row r="137" customFormat="false" ht="13.5" hidden="false" customHeight="true" outlineLevel="0" collapsed="false">
      <c r="A137" s="57" t="n">
        <v>1</v>
      </c>
      <c r="B137" s="73" t="str">
        <f aca="false">IFERROR(INDEX($B$109:$B$132,MATCH(1,$F$109:$F$132,0)),"")</f>
        <v>ROM</v>
      </c>
      <c r="C137" s="73" t="str">
        <f aca="false">IFERROR(INDEX($C$109:$C$132,MATCH(1,$F$109:$F$132,0)),"")</f>
        <v>Hip Flexion (°)</v>
      </c>
      <c r="D137" s="73"/>
      <c r="E137" s="57" t="str">
        <f aca="false">IFERROR(INDEX($G$109:$G$132,MATCH(1,$F$109:$F$132,0)),"")</f>
        <v/>
      </c>
      <c r="F137" s="57" t="str">
        <f aca="false">IFERROR(INDEX($H$109:$H$132,MATCH(1,$F$109:$F$132,0)),"")</f>
        <v/>
      </c>
      <c r="G137" s="86" t="str">
        <f aca="false">IFERROR(INDEX($I$109:$I$132,MATCH(1,$F$109:$F$132,0)),"")</f>
        <v/>
      </c>
      <c r="H137" s="87" t="str">
        <f aca="false">IFERROR(INDEX($J$109:$J$132,MATCH(1,$F$109:$F$132,0)),"")</f>
        <v/>
      </c>
      <c r="I137" s="73" t="str">
        <f aca="false">IF(B137="","",IF(B137="","",B137))</f>
        <v>ROM</v>
      </c>
      <c r="J137" s="73"/>
      <c r="K137" s="57" t="str">
        <f aca="false">IFERROR(INDEX($K$109:$K$132,MATCH(1,$F$109:$F$132,0)),"")</f>
        <v/>
      </c>
      <c r="L137" s="73" t="str">
        <f aca="false">C130</f>
        <v>DL Drop Jump RSI</v>
      </c>
    </row>
    <row r="138" customFormat="false" ht="13.5" hidden="false" customHeight="true" outlineLevel="0" collapsed="false">
      <c r="A138" s="57" t="n">
        <v>2</v>
      </c>
      <c r="B138" s="73" t="str">
        <f aca="false">IFERROR(INDEX($B$109:$B$132,MATCH(2,$F$109:$F$132,0)),"")</f>
        <v>ROM</v>
      </c>
      <c r="C138" s="73" t="str">
        <f aca="false">IFERROR(INDEX($C$109:$C$132,MATCH(2,$F$109:$F$132,0)),"")</f>
        <v>Hip Extension (°)</v>
      </c>
      <c r="D138" s="73"/>
      <c r="E138" s="57" t="str">
        <f aca="false">IFERROR(INDEX($G$109:$G$132,MATCH(2,$F$109:$F$132,0)),"")</f>
        <v/>
      </c>
      <c r="F138" s="57" t="str">
        <f aca="false">IFERROR(INDEX($H$109:$H$132,MATCH(2,$F$109:$F$132,0)),"")</f>
        <v/>
      </c>
      <c r="G138" s="86" t="str">
        <f aca="false">IFERROR(INDEX($I$109:$I$132,MATCH(2,$F$109:$F$132,0)),"")</f>
        <v/>
      </c>
      <c r="H138" s="87" t="str">
        <f aca="false">IFERROR(INDEX($J$109:$J$132,MATCH(2,$F$109:$F$132,0)),"")</f>
        <v/>
      </c>
      <c r="I138" s="73" t="str">
        <f aca="false">IF(B138="","",IF(B138=B137,"",B138))</f>
        <v/>
      </c>
      <c r="J138" s="73"/>
      <c r="K138" s="57" t="str">
        <f aca="false">IFERROR(INDEX($K$109:$K$132,MATCH(2,$F$109:$F$132,0)),"")</f>
        <v/>
      </c>
      <c r="L138" s="73" t="str">
        <f aca="false">C131</f>
        <v>SL Drop Jump RSI</v>
      </c>
    </row>
    <row r="139" customFormat="false" ht="13.5" hidden="false" customHeight="true" outlineLevel="0" collapsed="false">
      <c r="A139" s="57" t="n">
        <v>3</v>
      </c>
      <c r="B139" s="73" t="str">
        <f aca="false">IFERROR(INDEX($B$109:$B$132,MATCH(3,$F$109:$F$132,0)),"")</f>
        <v>ROM</v>
      </c>
      <c r="C139" s="73" t="str">
        <f aca="false">IFERROR(INDEX($C$109:$C$132,MATCH(3,$F$109:$F$132,0)),"")</f>
        <v>Hip IR @ 90° (°)</v>
      </c>
      <c r="D139" s="73"/>
      <c r="E139" s="57" t="str">
        <f aca="false">IFERROR(INDEX($G$109:$G$132,MATCH(3,$F$109:$F$132,0)),"")</f>
        <v/>
      </c>
      <c r="F139" s="57" t="str">
        <f aca="false">IFERROR(INDEX($H$109:$H$132,MATCH(3,$F$109:$F$132,0)),"")</f>
        <v/>
      </c>
      <c r="G139" s="86" t="str">
        <f aca="false">IFERROR(INDEX($I$109:$I$132,MATCH(3,$F$109:$F$132,0)),"")</f>
        <v/>
      </c>
      <c r="H139" s="87" t="str">
        <f aca="false">IFERROR(INDEX($J$109:$J$132,MATCH(3,$F$109:$F$132,0)),"")</f>
        <v/>
      </c>
      <c r="I139" s="73" t="str">
        <f aca="false">IF(B139="","",IF(B139=B138,"",B139))</f>
        <v/>
      </c>
      <c r="J139" s="73"/>
      <c r="K139" s="57" t="str">
        <f aca="false">IFERROR(INDEX($K$109:$K$132,MATCH(3,$F$109:$F$132,0)),"")</f>
        <v/>
      </c>
      <c r="L139" s="73" t="str">
        <f aca="false">C132</f>
        <v>10-5 Repeated Hops RSI</v>
      </c>
    </row>
    <row r="140" customFormat="false" ht="13.5" hidden="false" customHeight="true" outlineLevel="0" collapsed="false">
      <c r="A140" s="57" t="n">
        <v>4</v>
      </c>
      <c r="B140" s="73" t="str">
        <f aca="false">IFERROR(INDEX($B$109:$B$132,MATCH(4,$F$109:$F$132,0)),"")</f>
        <v>ROM</v>
      </c>
      <c r="C140" s="73" t="str">
        <f aca="false">IFERROR(INDEX($C$109:$C$132,MATCH(4,$F$109:$F$132,0)),"")</f>
        <v>Hip ER @ 90° (°)</v>
      </c>
      <c r="D140" s="73"/>
      <c r="E140" s="57" t="str">
        <f aca="false">IFERROR(INDEX($G$109:$G$132,MATCH(4,$F$109:$F$132,0)),"")</f>
        <v/>
      </c>
      <c r="F140" s="57" t="str">
        <f aca="false">IFERROR(INDEX($H$109:$H$132,MATCH(4,$F$109:$F$132,0)),"")</f>
        <v/>
      </c>
      <c r="G140" s="86" t="str">
        <f aca="false">IFERROR(INDEX($I$109:$I$132,MATCH(4,$F$109:$F$132,0)),"")</f>
        <v/>
      </c>
      <c r="H140" s="87" t="str">
        <f aca="false">IFERROR(INDEX($J$109:$J$132,MATCH(4,$F$109:$F$132,0)),"")</f>
        <v/>
      </c>
      <c r="I140" s="73" t="str">
        <f aca="false">IF(B140="","",IF(B140=B139,"",B140))</f>
        <v/>
      </c>
      <c r="J140" s="73"/>
      <c r="K140" s="57" t="str">
        <f aca="false">IFERROR(INDEX($K$109:$K$132,MATCH(4,$F$109:$F$132,0)),"")</f>
        <v/>
      </c>
    </row>
    <row r="141" customFormat="false" ht="13.5" hidden="false" customHeight="true" outlineLevel="0" collapsed="false">
      <c r="A141" s="57" t="n">
        <v>5</v>
      </c>
      <c r="B141" s="73" t="str">
        <f aca="false">IFERROR(INDEX($B$109:$B$132,MATCH(5,$F$109:$F$132,0)),"")</f>
        <v>ROM</v>
      </c>
      <c r="C141" s="73" t="str">
        <f aca="false">IFERROR(INDEX($C$109:$C$132,MATCH(5,$F$109:$F$132,0)),"")</f>
        <v>Active Abduction (°)</v>
      </c>
      <c r="D141" s="73"/>
      <c r="E141" s="57" t="str">
        <f aca="false">IFERROR(INDEX($G$109:$G$132,MATCH(5,$F$109:$F$132,0)),"")</f>
        <v/>
      </c>
      <c r="F141" s="57" t="str">
        <f aca="false">IFERROR(INDEX($H$109:$H$132,MATCH(5,$F$109:$F$132,0)),"")</f>
        <v/>
      </c>
      <c r="G141" s="86" t="str">
        <f aca="false">IFERROR(INDEX($I$109:$I$132,MATCH(5,$F$109:$F$132,0)),"")</f>
        <v/>
      </c>
      <c r="H141" s="87" t="str">
        <f aca="false">IFERROR(INDEX($J$109:$J$132,MATCH(5,$F$109:$F$132,0)),"")</f>
        <v/>
      </c>
      <c r="I141" s="73" t="str">
        <f aca="false">IF(B141="","",IF(B141=B140,"",B141))</f>
        <v/>
      </c>
      <c r="J141" s="73"/>
      <c r="K141" s="57" t="str">
        <f aca="false">IFERROR(INDEX($K$109:$K$132,MATCH(5,$F$109:$F$132,0)),"")</f>
        <v/>
      </c>
    </row>
    <row r="142" customFormat="false" ht="13.5" hidden="false" customHeight="true" outlineLevel="0" collapsed="false">
      <c r="A142" s="57" t="n">
        <v>6</v>
      </c>
      <c r="B142" s="73" t="str">
        <f aca="false">IFERROR(INDEX($B$109:$B$132,MATCH(6,$F$109:$F$132,0)),"")</f>
        <v>ROM</v>
      </c>
      <c r="C142" s="73" t="str">
        <f aca="false">IFERROR(INDEX($C$109:$C$132,MATCH(6,$F$109:$F$132,0)),"")</f>
        <v>Passive Abduction (°)</v>
      </c>
      <c r="D142" s="73"/>
      <c r="E142" s="57" t="str">
        <f aca="false">IFERROR(INDEX($G$109:$G$132,MATCH(6,$F$109:$F$132,0)),"")</f>
        <v/>
      </c>
      <c r="F142" s="57" t="str">
        <f aca="false">IFERROR(INDEX($H$109:$H$132,MATCH(6,$F$109:$F$132,0)),"")</f>
        <v/>
      </c>
      <c r="G142" s="86" t="str">
        <f aca="false">IFERROR(INDEX($I$109:$I$132,MATCH(6,$F$109:$F$132,0)),"")</f>
        <v/>
      </c>
      <c r="H142" s="87" t="str">
        <f aca="false">IFERROR(INDEX($J$109:$J$132,MATCH(6,$F$109:$F$132,0)),"")</f>
        <v/>
      </c>
      <c r="I142" s="73" t="str">
        <f aca="false">IF(B142="","",IF(B142=B141,"",B142))</f>
        <v/>
      </c>
      <c r="J142" s="73"/>
      <c r="K142" s="57" t="str">
        <f aca="false">IFERROR(INDEX($K$109:$K$132,MATCH(6,$F$109:$F$132,0)),"")</f>
        <v/>
      </c>
    </row>
    <row r="143" customFormat="false" ht="13.5" hidden="false" customHeight="true" outlineLevel="0" collapsed="false">
      <c r="A143" s="57" t="n">
        <v>7</v>
      </c>
      <c r="B143" s="73" t="str">
        <f aca="false">IFERROR(INDEX($B$109:$B$132,MATCH(7,$F$109:$F$132,0)),"")</f>
        <v>Strength</v>
      </c>
      <c r="C143" s="73" t="str">
        <f aca="false">IFERROR(INDEX($C$109:$C$132,MATCH(7,$F$109:$F$132,0)),"")</f>
        <v>Hip Flexion @ 90° (kg)</v>
      </c>
      <c r="D143" s="73"/>
      <c r="E143" s="57" t="n">
        <f aca="false">IFERROR(INDEX($G$109:$G$132,MATCH(7,$F$109:$F$132,0)),"")</f>
        <v>22.6</v>
      </c>
      <c r="F143" s="57" t="n">
        <f aca="false">IFERROR(INDEX($H$109:$H$132,MATCH(7,$F$109:$F$132,0)),"")</f>
        <v>24.3</v>
      </c>
      <c r="G143" s="86" t="n">
        <f aca="false">IFERROR(INDEX($I$109:$I$132,MATCH(7,$F$109:$F$132,0)),"")</f>
        <v>0.930041152263375</v>
      </c>
      <c r="H143" s="87" t="n">
        <f aca="false">IFERROR(INDEX($J$109:$J$132,MATCH(7,$F$109:$F$132,0)),"")</f>
        <v>46314</v>
      </c>
      <c r="I143" s="73" t="str">
        <f aca="false">IF(B143="","",IF(B143=B142,"",B143))</f>
        <v>Strength</v>
      </c>
      <c r="J143" s="73"/>
      <c r="K143" s="57" t="str">
        <f aca="false">IFERROR(INDEX($K$109:$K$132,MATCH(7,$F$109:$F$132,0)),"")</f>
        <v>+9 pts</v>
      </c>
    </row>
    <row r="144" customFormat="false" ht="13.5" hidden="false" customHeight="true" outlineLevel="0" collapsed="false">
      <c r="A144" s="57" t="n">
        <v>8</v>
      </c>
      <c r="B144" s="73" t="str">
        <f aca="false">IFERROR(INDEX($B$109:$B$132,MATCH(8,$F$109:$F$132,0)),"")</f>
        <v>Strength</v>
      </c>
      <c r="C144" s="73" t="str">
        <f aca="false">IFERROR(INDEX($C$109:$C$132,MATCH(8,$F$109:$F$132,0)),"")</f>
        <v>Hip Extension (kg)</v>
      </c>
      <c r="D144" s="73"/>
      <c r="E144" s="57" t="n">
        <f aca="false">IFERROR(INDEX($G$109:$G$132,MATCH(8,$F$109:$F$132,0)),"")</f>
        <v>30.4</v>
      </c>
      <c r="F144" s="57" t="n">
        <f aca="false">IFERROR(INDEX($H$109:$H$132,MATCH(8,$F$109:$F$132,0)),"")</f>
        <v>31.2</v>
      </c>
      <c r="G144" s="86" t="n">
        <f aca="false">IFERROR(INDEX($I$109:$I$132,MATCH(8,$F$109:$F$132,0)),"")</f>
        <v>0.974358974358974</v>
      </c>
      <c r="H144" s="87" t="n">
        <f aca="false">IFERROR(INDEX($J$109:$J$132,MATCH(8,$F$109:$F$132,0)),"")</f>
        <v>46314</v>
      </c>
      <c r="I144" s="73" t="str">
        <f aca="false">IF(B144="","",IF(B144=B143,"",B144))</f>
        <v/>
      </c>
      <c r="J144" s="73"/>
      <c r="K144" s="57" t="str">
        <f aca="false">IFERROR(INDEX($K$109:$K$132,MATCH(8,$F$109:$F$132,0)),"")</f>
        <v>+4 pts</v>
      </c>
    </row>
    <row r="145" customFormat="false" ht="13.5" hidden="false" customHeight="true" outlineLevel="0" collapsed="false">
      <c r="A145" s="57" t="n">
        <v>9</v>
      </c>
      <c r="B145" s="73" t="str">
        <f aca="false">IFERROR(INDEX($B$109:$B$132,MATCH(9,$F$109:$F$132,0)),"")</f>
        <v>Strength</v>
      </c>
      <c r="C145" s="73" t="str">
        <f aca="false">IFERROR(INDEX($C$109:$C$132,MATCH(9,$F$109:$F$132,0)),"")</f>
        <v>Hip IR @ 90° (kg)</v>
      </c>
      <c r="D145" s="73"/>
      <c r="E145" s="57" t="n">
        <f aca="false">IFERROR(INDEX($G$109:$G$132,MATCH(9,$F$109:$F$132,0)),"")</f>
        <v>12.1</v>
      </c>
      <c r="F145" s="57" t="n">
        <f aca="false">IFERROR(INDEX($H$109:$H$132,MATCH(9,$F$109:$F$132,0)),"")</f>
        <v>12.9</v>
      </c>
      <c r="G145" s="86" t="n">
        <f aca="false">IFERROR(INDEX($I$109:$I$132,MATCH(9,$F$109:$F$132,0)),"")</f>
        <v>0.937984496124031</v>
      </c>
      <c r="H145" s="87" t="n">
        <f aca="false">IFERROR(INDEX($J$109:$J$132,MATCH(9,$F$109:$F$132,0)),"")</f>
        <v>46314</v>
      </c>
      <c r="I145" s="73" t="str">
        <f aca="false">IF(B145="","",IF(B145=B144,"",B145))</f>
        <v/>
      </c>
      <c r="J145" s="73"/>
      <c r="K145" s="57" t="str">
        <f aca="false">IFERROR(INDEX($K$109:$K$132,MATCH(9,$F$109:$F$132,0)),"")</f>
        <v>+6 pts</v>
      </c>
    </row>
    <row r="146" customFormat="false" ht="13.5" hidden="false" customHeight="true" outlineLevel="0" collapsed="false">
      <c r="A146" s="57" t="n">
        <v>10</v>
      </c>
      <c r="B146" s="73" t="str">
        <f aca="false">IFERROR(INDEX($B$109:$B$132,MATCH(10,$F$109:$F$132,0)),"")</f>
        <v>Strength</v>
      </c>
      <c r="C146" s="73" t="str">
        <f aca="false">IFERROR(INDEX($C$109:$C$132,MATCH(10,$F$109:$F$132,0)),"")</f>
        <v>Hip ER @ 90° (kg)</v>
      </c>
      <c r="D146" s="73"/>
      <c r="E146" s="57" t="n">
        <f aca="false">IFERROR(INDEX($G$109:$G$132,MATCH(10,$F$109:$F$132,0)),"")</f>
        <v>13.4</v>
      </c>
      <c r="F146" s="57" t="n">
        <f aca="false">IFERROR(INDEX($H$109:$H$132,MATCH(10,$F$109:$F$132,0)),"")</f>
        <v>13.2</v>
      </c>
      <c r="G146" s="86" t="n">
        <f aca="false">IFERROR(INDEX($I$109:$I$132,MATCH(10,$F$109:$F$132,0)),"")</f>
        <v>1.01515151515152</v>
      </c>
      <c r="H146" s="87" t="n">
        <f aca="false">IFERROR(INDEX($J$109:$J$132,MATCH(10,$F$109:$F$132,0)),"")</f>
        <v>46314</v>
      </c>
      <c r="I146" s="73" t="str">
        <f aca="false">IF(B146="","",IF(B146=B145,"",B146))</f>
        <v/>
      </c>
      <c r="J146" s="73"/>
      <c r="K146" s="57" t="str">
        <f aca="false">IFERROR(INDEX($K$109:$K$132,MATCH(10,$F$109:$F$132,0)),"")</f>
        <v>+2 pts</v>
      </c>
    </row>
    <row r="147" customFormat="false" ht="13.5" hidden="false" customHeight="true" outlineLevel="0" collapsed="false">
      <c r="A147" s="57" t="n">
        <v>11</v>
      </c>
      <c r="B147" s="73" t="str">
        <f aca="false">IFERROR(INDEX($B$109:$B$132,MATCH(11,$F$109:$F$132,0)),"")</f>
        <v>Strength</v>
      </c>
      <c r="C147" s="73" t="str">
        <f aca="false">IFERROR(INDEX($C$109:$C$132,MATCH(11,$F$109:$F$132,0)),"")</f>
        <v>Adduction @ 30° (kg)</v>
      </c>
      <c r="D147" s="73"/>
      <c r="E147" s="57" t="n">
        <f aca="false">IFERROR(INDEX($G$109:$G$132,MATCH(11,$F$109:$F$132,0)),"")</f>
        <v>28.1</v>
      </c>
      <c r="F147" s="57" t="n">
        <f aca="false">IFERROR(INDEX($H$109:$H$132,MATCH(11,$F$109:$F$132,0)),"")</f>
        <v>30.4</v>
      </c>
      <c r="G147" s="86" t="n">
        <f aca="false">IFERROR(INDEX($I$109:$I$132,MATCH(11,$F$109:$F$132,0)),"")</f>
        <v>0.924342105263158</v>
      </c>
      <c r="H147" s="87" t="n">
        <f aca="false">IFERROR(INDEX($J$109:$J$132,MATCH(11,$F$109:$F$132,0)),"")</f>
        <v>46314</v>
      </c>
      <c r="I147" s="73" t="str">
        <f aca="false">IF(B147="","",IF(B147=B146,"",B147))</f>
        <v/>
      </c>
      <c r="J147" s="73"/>
      <c r="K147" s="57" t="str">
        <f aca="false">IFERROR(INDEX($K$109:$K$132,MATCH(11,$F$109:$F$132,0)),"")</f>
        <v>+7 pts</v>
      </c>
    </row>
    <row r="148" customFormat="false" ht="13.5" hidden="false" customHeight="true" outlineLevel="0" collapsed="false">
      <c r="A148" s="57" t="n">
        <v>12</v>
      </c>
      <c r="B148" s="73" t="str">
        <f aca="false">IFERROR(INDEX($B$109:$B$132,MATCH(12,$F$109:$F$132,0)),"")</f>
        <v>Strength</v>
      </c>
      <c r="C148" s="73" t="str">
        <f aca="false">IFERROR(INDEX($C$109:$C$132,MATCH(12,$F$109:$F$132,0)),"")</f>
        <v>Abduction @ 30° (kg)</v>
      </c>
      <c r="D148" s="73"/>
      <c r="E148" s="57" t="n">
        <f aca="false">IFERROR(INDEX($G$109:$G$132,MATCH(12,$F$109:$F$132,0)),"")</f>
        <v>25.8</v>
      </c>
      <c r="F148" s="57" t="n">
        <f aca="false">IFERROR(INDEX($H$109:$H$132,MATCH(12,$F$109:$F$132,0)),"")</f>
        <v>27.6</v>
      </c>
      <c r="G148" s="86" t="n">
        <f aca="false">IFERROR(INDEX($I$109:$I$132,MATCH(12,$F$109:$F$132,0)),"")</f>
        <v>0.934782608695652</v>
      </c>
      <c r="H148" s="87" t="n">
        <f aca="false">IFERROR(INDEX($J$109:$J$132,MATCH(12,$F$109:$F$132,0)),"")</f>
        <v>46314</v>
      </c>
      <c r="I148" s="73" t="str">
        <f aca="false">IF(B148="","",IF(B148=B147,"",B148))</f>
        <v/>
      </c>
      <c r="J148" s="73"/>
      <c r="K148" s="57" t="str">
        <f aca="false">IFERROR(INDEX($K$109:$K$132,MATCH(12,$F$109:$F$132,0)),"")</f>
        <v>+6 pts</v>
      </c>
    </row>
    <row r="149" customFormat="false" ht="13.5" hidden="false" customHeight="true" outlineLevel="0" collapsed="false">
      <c r="A149" s="57" t="n">
        <v>13</v>
      </c>
      <c r="B149" s="73" t="str">
        <f aca="false">IFERROR(INDEX($B$109:$B$132,MATCH(13,$F$109:$F$132,0)),"")</f>
        <v>Strength</v>
      </c>
      <c r="C149" s="73" t="str">
        <f aca="false">IFERROR(INDEX($C$109:$C$132,MATCH(13,$F$109:$F$132,0)),"")</f>
        <v>Hip Flexion @ 60° (kg)</v>
      </c>
      <c r="D149" s="73"/>
      <c r="E149" s="57" t="n">
        <f aca="false">IFERROR(INDEX($G$109:$G$132,MATCH(13,$F$109:$F$132,0)),"")</f>
        <v>20.5</v>
      </c>
      <c r="F149" s="57" t="n">
        <f aca="false">IFERROR(INDEX($H$109:$H$132,MATCH(13,$F$109:$F$132,0)),"")</f>
        <v>22</v>
      </c>
      <c r="G149" s="86" t="n">
        <f aca="false">IFERROR(INDEX($I$109:$I$132,MATCH(13,$F$109:$F$132,0)),"")</f>
        <v>0.931818181818182</v>
      </c>
      <c r="H149" s="87" t="n">
        <f aca="false">IFERROR(INDEX($J$109:$J$132,MATCH(13,$F$109:$F$132,0)),"")</f>
        <v>46314</v>
      </c>
      <c r="I149" s="73" t="str">
        <f aca="false">IF(B149="","",IF(B149=B148,"",B149))</f>
        <v/>
      </c>
      <c r="J149" s="73"/>
      <c r="K149" s="57" t="str">
        <f aca="false">IFERROR(INDEX($K$109:$K$132,MATCH(13,$F$109:$F$132,0)),"")</f>
        <v>+8 pts</v>
      </c>
    </row>
    <row r="150" customFormat="false" ht="13.5" hidden="false" customHeight="true" outlineLevel="0" collapsed="false">
      <c r="A150" s="57" t="n">
        <v>14</v>
      </c>
      <c r="B150" s="73" t="str">
        <f aca="false">IFERROR(INDEX($B$109:$B$132,MATCH(14,$F$109:$F$132,0)),"")</f>
        <v>Jump / Power</v>
      </c>
      <c r="C150" s="73" t="str">
        <f aca="false">IFERROR(INDEX($C$109:$C$132,MATCH(14,$F$109:$F$132,0)),"")</f>
        <v>DL CMJ Height (cm)</v>
      </c>
      <c r="D150" s="73"/>
      <c r="E150" s="57" t="str">
        <f aca="false">IFERROR(INDEX($G$109:$G$132,MATCH(14,$F$109:$F$132,0)),"")</f>
        <v/>
      </c>
      <c r="F150" s="57" t="str">
        <f aca="false">IFERROR(INDEX($H$109:$H$132,MATCH(14,$F$109:$F$132,0)),"")</f>
        <v/>
      </c>
      <c r="G150" s="86" t="str">
        <f aca="false">IFERROR(INDEX($I$109:$I$132,MATCH(14,$F$109:$F$132,0)),"")</f>
        <v/>
      </c>
      <c r="H150" s="87" t="str">
        <f aca="false">IFERROR(INDEX($J$109:$J$132,MATCH(14,$F$109:$F$132,0)),"")</f>
        <v/>
      </c>
      <c r="I150" s="73" t="str">
        <f aca="false">IF(B150="","",IF(B150=B149,"",B150))</f>
        <v>Jump / Power</v>
      </c>
      <c r="J150" s="73"/>
      <c r="K150" s="57" t="str">
        <f aca="false">IFERROR(INDEX($K$109:$K$132,MATCH(14,$F$109:$F$132,0)),"")</f>
        <v/>
      </c>
    </row>
    <row r="151" customFormat="false" ht="13.5" hidden="false" customHeight="true" outlineLevel="0" collapsed="false">
      <c r="A151" s="57" t="n">
        <v>15</v>
      </c>
      <c r="B151" s="73" t="str">
        <f aca="false">IFERROR(INDEX($B$109:$B$132,MATCH(15,$F$109:$F$132,0)),"")</f>
        <v>Jump / Power</v>
      </c>
      <c r="C151" s="73" t="str">
        <f aca="false">IFERROR(INDEX($C$109:$C$132,MATCH(15,$F$109:$F$132,0)),"")</f>
        <v>SL CMJ Height (cm)</v>
      </c>
      <c r="D151" s="73"/>
      <c r="E151" s="57" t="str">
        <f aca="false">IFERROR(INDEX($G$109:$G$132,MATCH(15,$F$109:$F$132,0)),"")</f>
        <v/>
      </c>
      <c r="F151" s="57" t="str">
        <f aca="false">IFERROR(INDEX($H$109:$H$132,MATCH(15,$F$109:$F$132,0)),"")</f>
        <v/>
      </c>
      <c r="G151" s="86" t="str">
        <f aca="false">IFERROR(INDEX($I$109:$I$132,MATCH(15,$F$109:$F$132,0)),"")</f>
        <v/>
      </c>
      <c r="H151" s="87" t="str">
        <f aca="false">IFERROR(INDEX($J$109:$J$132,MATCH(15,$F$109:$F$132,0)),"")</f>
        <v/>
      </c>
      <c r="I151" s="73" t="str">
        <f aca="false">IF(B151="","",IF(B151=B150,"",B151))</f>
        <v/>
      </c>
      <c r="J151" s="73"/>
      <c r="K151" s="57" t="str">
        <f aca="false">IFERROR(INDEX($K$109:$K$132,MATCH(15,$F$109:$F$132,0)),"")</f>
        <v/>
      </c>
    </row>
    <row r="152" customFormat="false" ht="13.5" hidden="false" customHeight="true" outlineLevel="0" collapsed="false">
      <c r="A152" s="57" t="n">
        <v>16</v>
      </c>
      <c r="B152" s="73" t="str">
        <f aca="false">IFERROR(INDEX($B$109:$B$132,MATCH(16,$F$109:$F$132,0)),"")</f>
        <v>Jump / Power</v>
      </c>
      <c r="C152" s="73" t="str">
        <f aca="false">IFERROR(INDEX($C$109:$C$132,MATCH(16,$F$109:$F$132,0)),"")</f>
        <v>SL Hop Distance (cm)</v>
      </c>
      <c r="D152" s="73"/>
      <c r="E152" s="57" t="str">
        <f aca="false">IFERROR(INDEX($G$109:$G$132,MATCH(16,$F$109:$F$132,0)),"")</f>
        <v/>
      </c>
      <c r="F152" s="57" t="str">
        <f aca="false">IFERROR(INDEX($H$109:$H$132,MATCH(16,$F$109:$F$132,0)),"")</f>
        <v/>
      </c>
      <c r="G152" s="86" t="str">
        <f aca="false">IFERROR(INDEX($I$109:$I$132,MATCH(16,$F$109:$F$132,0)),"")</f>
        <v/>
      </c>
      <c r="H152" s="87" t="str">
        <f aca="false">IFERROR(INDEX($J$109:$J$132,MATCH(16,$F$109:$F$132,0)),"")</f>
        <v/>
      </c>
      <c r="I152" s="73" t="str">
        <f aca="false">IF(B152="","",IF(B152=B151,"",B152))</f>
        <v/>
      </c>
      <c r="J152" s="73"/>
      <c r="K152" s="57" t="str">
        <f aca="false">IFERROR(INDEX($K$109:$K$132,MATCH(16,$F$109:$F$132,0)),"")</f>
        <v/>
      </c>
    </row>
    <row r="153" customFormat="false" ht="13.5" hidden="false" customHeight="true" outlineLevel="0" collapsed="false">
      <c r="A153" s="57" t="n">
        <v>17</v>
      </c>
      <c r="B153" s="73" t="str">
        <f aca="false">IFERROR(INDEX($B$109:$B$132,MATCH(17,$F$109:$F$132,0)),"")</f>
        <v>Jump / Power</v>
      </c>
      <c r="C153" s="73" t="str">
        <f aca="false">IFERROR(INDEX($C$109:$C$132,MATCH(17,$F$109:$F$132,0)),"")</f>
        <v>Triple Hop Distance (cm)</v>
      </c>
      <c r="D153" s="73"/>
      <c r="E153" s="57" t="str">
        <f aca="false">IFERROR(INDEX($G$109:$G$132,MATCH(17,$F$109:$F$132,0)),"")</f>
        <v/>
      </c>
      <c r="F153" s="57" t="str">
        <f aca="false">IFERROR(INDEX($H$109:$H$132,MATCH(17,$F$109:$F$132,0)),"")</f>
        <v/>
      </c>
      <c r="G153" s="86" t="str">
        <f aca="false">IFERROR(INDEX($I$109:$I$132,MATCH(17,$F$109:$F$132,0)),"")</f>
        <v/>
      </c>
      <c r="H153" s="87" t="str">
        <f aca="false">IFERROR(INDEX($J$109:$J$132,MATCH(17,$F$109:$F$132,0)),"")</f>
        <v/>
      </c>
      <c r="I153" s="73" t="str">
        <f aca="false">IF(B153="","",IF(B153=B152,"",B153))</f>
        <v/>
      </c>
      <c r="J153" s="73"/>
      <c r="K153" s="57" t="str">
        <f aca="false">IFERROR(INDEX($K$109:$K$132,MATCH(17,$F$109:$F$132,0)),"")</f>
        <v/>
      </c>
    </row>
    <row r="154" customFormat="false" ht="13.5" hidden="false" customHeight="true" outlineLevel="0" collapsed="false">
      <c r="A154" s="57" t="n">
        <v>18</v>
      </c>
      <c r="B154" s="73" t="str">
        <f aca="false">IFERROR(INDEX($B$109:$B$132,MATCH(18,$F$109:$F$132,0)),"")</f>
        <v>Jump / Power</v>
      </c>
      <c r="C154" s="73" t="str">
        <f aca="false">IFERROR(INDEX($C$109:$C$132,MATCH(18,$F$109:$F$132,0)),"")</f>
        <v>Lateral Capacity</v>
      </c>
      <c r="D154" s="73"/>
      <c r="E154" s="57" t="str">
        <f aca="false">IFERROR(INDEX($G$109:$G$132,MATCH(18,$F$109:$F$132,0)),"")</f>
        <v/>
      </c>
      <c r="F154" s="57" t="str">
        <f aca="false">IFERROR(INDEX($H$109:$H$132,MATCH(18,$F$109:$F$132,0)),"")</f>
        <v/>
      </c>
      <c r="G154" s="86" t="str">
        <f aca="false">IFERROR(INDEX($I$109:$I$132,MATCH(18,$F$109:$F$132,0)),"")</f>
        <v/>
      </c>
      <c r="H154" s="87" t="str">
        <f aca="false">IFERROR(INDEX($J$109:$J$132,MATCH(18,$F$109:$F$132,0)),"")</f>
        <v/>
      </c>
      <c r="I154" s="73" t="str">
        <f aca="false">IF(B154="","",IF(B154=B153,"",B154))</f>
        <v/>
      </c>
      <c r="J154" s="73"/>
      <c r="K154" s="57" t="str">
        <f aca="false">IFERROR(INDEX($K$109:$K$132,MATCH(18,$F$109:$F$132,0)),"")</f>
        <v/>
      </c>
    </row>
    <row r="155" customFormat="false" ht="13.5" hidden="false" customHeight="true" outlineLevel="0" collapsed="false">
      <c r="A155" s="57" t="n">
        <v>19</v>
      </c>
      <c r="B155" s="73" t="str">
        <f aca="false">IFERROR(INDEX($B$109:$B$132,MATCH(19,$F$109:$F$132,0)),"")</f>
        <v>Jump / Power</v>
      </c>
      <c r="C155" s="73" t="str">
        <f aca="false">IFERROR(INDEX($C$109:$C$132,MATCH(19,$F$109:$F$132,0)),"")</f>
        <v>DL Drop Jump RSI</v>
      </c>
      <c r="D155" s="73"/>
      <c r="E155" s="57" t="str">
        <f aca="false">IFERROR(INDEX($G$109:$G$132,MATCH(19,$F$109:$F$132,0)),"")</f>
        <v/>
      </c>
      <c r="F155" s="57" t="str">
        <f aca="false">IFERROR(INDEX($H$109:$H$132,MATCH(19,$F$109:$F$132,0)),"")</f>
        <v/>
      </c>
      <c r="G155" s="86" t="str">
        <f aca="false">IFERROR(INDEX($I$109:$I$132,MATCH(19,$F$109:$F$132,0)),"")</f>
        <v/>
      </c>
      <c r="H155" s="87" t="str">
        <f aca="false">IFERROR(INDEX($J$109:$J$132,MATCH(19,$F$109:$F$132,0)),"")</f>
        <v/>
      </c>
      <c r="I155" s="73" t="str">
        <f aca="false">IF(B155="","",IF(B155=B154,"",B155))</f>
        <v/>
      </c>
      <c r="J155" s="73"/>
      <c r="K155" s="57" t="str">
        <f aca="false">IFERROR(INDEX($K$109:$K$132,MATCH(19,$F$109:$F$132,0)),"")</f>
        <v/>
      </c>
    </row>
    <row r="156" customFormat="false" ht="13.5" hidden="false" customHeight="true" outlineLevel="0" collapsed="false">
      <c r="A156" s="57" t="n">
        <v>20</v>
      </c>
      <c r="B156" s="73" t="str">
        <f aca="false">IFERROR(INDEX($B$109:$B$132,MATCH(20,$F$109:$F$132,0)),"")</f>
        <v>Jump / Power</v>
      </c>
      <c r="C156" s="73" t="str">
        <f aca="false">IFERROR(INDEX($C$109:$C$132,MATCH(20,$F$109:$F$132,0)),"")</f>
        <v>SL Drop Jump RSI</v>
      </c>
      <c r="D156" s="73"/>
      <c r="E156" s="57" t="str">
        <f aca="false">IFERROR(INDEX($G$109:$G$132,MATCH(20,$F$109:$F$132,0)),"")</f>
        <v/>
      </c>
      <c r="F156" s="57" t="str">
        <f aca="false">IFERROR(INDEX($H$109:$H$132,MATCH(20,$F$109:$F$132,0)),"")</f>
        <v/>
      </c>
      <c r="G156" s="86" t="str">
        <f aca="false">IFERROR(INDEX($I$109:$I$132,MATCH(20,$F$109:$F$132,0)),"")</f>
        <v/>
      </c>
      <c r="H156" s="87" t="str">
        <f aca="false">IFERROR(INDEX($J$109:$J$132,MATCH(20,$F$109:$F$132,0)),"")</f>
        <v/>
      </c>
      <c r="I156" s="73" t="str">
        <f aca="false">IF(B156="","",IF(B156=B155,"",B156))</f>
        <v/>
      </c>
      <c r="J156" s="73"/>
      <c r="K156" s="57" t="str">
        <f aca="false">IFERROR(INDEX($K$109:$K$132,MATCH(20,$F$109:$F$132,0)),"")</f>
        <v/>
      </c>
    </row>
    <row r="157" customFormat="false" ht="13.5" hidden="false" customHeight="true" outlineLevel="0" collapsed="false">
      <c r="A157" s="57" t="n">
        <v>21</v>
      </c>
      <c r="B157" s="73" t="str">
        <f aca="false">IFERROR(INDEX($B$109:$B$132,MATCH(21,$F$109:$F$132,0)),"")</f>
        <v>Jump / Power</v>
      </c>
      <c r="C157" s="73" t="str">
        <f aca="false">IFERROR(INDEX($C$109:$C$132,MATCH(21,$F$109:$F$132,0)),"")</f>
        <v>10-5 Repeated Hops RSI</v>
      </c>
      <c r="D157" s="73"/>
      <c r="E157" s="57" t="str">
        <f aca="false">IFERROR(INDEX($G$109:$G$132,MATCH(21,$F$109:$F$132,0)),"")</f>
        <v/>
      </c>
      <c r="F157" s="57" t="str">
        <f aca="false">IFERROR(INDEX($H$109:$H$132,MATCH(21,$F$109:$F$132,0)),"")</f>
        <v/>
      </c>
      <c r="G157" s="86" t="str">
        <f aca="false">IFERROR(INDEX($I$109:$I$132,MATCH(21,$F$109:$F$132,0)),"")</f>
        <v/>
      </c>
      <c r="H157" s="87" t="str">
        <f aca="false">IFERROR(INDEX($J$109:$J$132,MATCH(21,$F$109:$F$132,0)),"")</f>
        <v/>
      </c>
      <c r="I157" s="73" t="str">
        <f aca="false">IF(B157="","",IF(B157=B156,"",B157))</f>
        <v/>
      </c>
      <c r="J157" s="73"/>
      <c r="K157" s="57" t="str">
        <f aca="false">IFERROR(INDEX($K$109:$K$132,MATCH(21,$F$109:$F$132,0)),"")</f>
        <v/>
      </c>
    </row>
    <row r="158" customFormat="false" ht="13.5" hidden="false" customHeight="true" outlineLevel="0" collapsed="false">
      <c r="A158" s="57" t="n">
        <v>22</v>
      </c>
      <c r="B158" s="73" t="str">
        <f aca="false">IFERROR(INDEX($B$109:$B$132,MATCH(22,$F$109:$F$132,0)),"")</f>
        <v/>
      </c>
      <c r="C158" s="73" t="str">
        <f aca="false">IFERROR(INDEX($C$109:$C$132,MATCH(22,$F$109:$F$132,0)),"")</f>
        <v/>
      </c>
      <c r="D158" s="73"/>
      <c r="E158" s="57" t="str">
        <f aca="false">IFERROR(INDEX($G$109:$G$132,MATCH(22,$F$109:$F$132,0)),"")</f>
        <v/>
      </c>
      <c r="F158" s="57" t="str">
        <f aca="false">IFERROR(INDEX($H$109:$H$132,MATCH(22,$F$109:$F$132,0)),"")</f>
        <v/>
      </c>
      <c r="G158" s="86" t="str">
        <f aca="false">IFERROR(INDEX($I$109:$I$132,MATCH(22,$F$109:$F$132,0)),"")</f>
        <v/>
      </c>
      <c r="H158" s="87" t="str">
        <f aca="false">IFERROR(INDEX($J$109:$J$132,MATCH(22,$F$109:$F$132,0)),"")</f>
        <v/>
      </c>
      <c r="I158" s="73" t="str">
        <f aca="false">IF(B158="","",IF(B158=B157,"",B158))</f>
        <v/>
      </c>
      <c r="J158" s="73"/>
      <c r="K158" s="57" t="str">
        <f aca="false">IFERROR(INDEX($K$109:$K$132,MATCH(22,$F$109:$F$132,0)),"")</f>
        <v/>
      </c>
    </row>
    <row r="159" customFormat="false" ht="13.5" hidden="false" customHeight="true" outlineLevel="0" collapsed="false">
      <c r="A159" s="57" t="n">
        <v>23</v>
      </c>
      <c r="B159" s="73" t="str">
        <f aca="false">IFERROR(INDEX($B$109:$B$132,MATCH(23,$F$109:$F$132,0)),"")</f>
        <v/>
      </c>
      <c r="C159" s="73" t="str">
        <f aca="false">IFERROR(INDEX($C$109:$C$132,MATCH(23,$F$109:$F$132,0)),"")</f>
        <v/>
      </c>
      <c r="D159" s="73"/>
      <c r="E159" s="57" t="str">
        <f aca="false">IFERROR(INDEX($G$109:$G$132,MATCH(23,$F$109:$F$132,0)),"")</f>
        <v/>
      </c>
      <c r="F159" s="57" t="str">
        <f aca="false">IFERROR(INDEX($H$109:$H$132,MATCH(23,$F$109:$F$132,0)),"")</f>
        <v/>
      </c>
      <c r="G159" s="86" t="str">
        <f aca="false">IFERROR(INDEX($I$109:$I$132,MATCH(23,$F$109:$F$132,0)),"")</f>
        <v/>
      </c>
      <c r="H159" s="87" t="str">
        <f aca="false">IFERROR(INDEX($J$109:$J$132,MATCH(23,$F$109:$F$132,0)),"")</f>
        <v/>
      </c>
      <c r="I159" s="73" t="str">
        <f aca="false">IF(B159="","",IF(B159=B158,"",B159))</f>
        <v/>
      </c>
      <c r="J159" s="73"/>
      <c r="K159" s="57" t="str">
        <f aca="false">IFERROR(INDEX($K$109:$K$132,MATCH(23,$F$109:$F$132,0)),"")</f>
        <v/>
      </c>
    </row>
    <row r="160" customFormat="false" ht="13.5" hidden="false" customHeight="true" outlineLevel="0" collapsed="false">
      <c r="A160" s="57" t="n">
        <v>24</v>
      </c>
      <c r="B160" s="73" t="str">
        <f aca="false">IFERROR(INDEX($B$109:$B$132,MATCH(24,$F$109:$F$132,0)),"")</f>
        <v/>
      </c>
      <c r="C160" s="73" t="str">
        <f aca="false">IFERROR(INDEX($C$109:$C$132,MATCH(24,$F$109:$F$132,0)),"")</f>
        <v/>
      </c>
      <c r="D160" s="73"/>
      <c r="E160" s="57" t="str">
        <f aca="false">IFERROR(INDEX($G$109:$G$132,MATCH(24,$F$109:$F$132,0)),"")</f>
        <v/>
      </c>
      <c r="F160" s="57" t="str">
        <f aca="false">IFERROR(INDEX($H$109:$H$132,MATCH(24,$F$109:$F$132,0)),"")</f>
        <v/>
      </c>
      <c r="G160" s="86" t="str">
        <f aca="false">IFERROR(INDEX($I$109:$I$132,MATCH(24,$F$109:$F$132,0)),"")</f>
        <v/>
      </c>
      <c r="H160" s="87" t="str">
        <f aca="false">IFERROR(INDEX($J$109:$J$132,MATCH(24,$F$109:$F$132,0)),"")</f>
        <v/>
      </c>
      <c r="I160" s="73" t="str">
        <f aca="false">IF(B160="","",IF(B160=B159,"",B160))</f>
        <v/>
      </c>
      <c r="J160" s="73"/>
      <c r="K160" s="57" t="str">
        <f aca="false">IFERROR(INDEX($K$109:$K$132,MATCH(24,$F$109:$F$132,0)),"")</f>
        <v/>
      </c>
    </row>
  </sheetData>
  <mergeCells count="282">
    <mergeCell ref="A1:AA1"/>
    <mergeCell ref="A2:AA2"/>
    <mergeCell ref="A4:AA4"/>
    <mergeCell ref="B5:C5"/>
    <mergeCell ref="D5:J5"/>
    <mergeCell ref="K5:M5"/>
    <mergeCell ref="Q5:R5"/>
    <mergeCell ref="V5:W5"/>
    <mergeCell ref="X5:AA5"/>
    <mergeCell ref="B6:C8"/>
    <mergeCell ref="D6:J6"/>
    <mergeCell ref="K6:M6"/>
    <mergeCell ref="Q6:R6"/>
    <mergeCell ref="V6:W6"/>
    <mergeCell ref="X6:AA6"/>
    <mergeCell ref="D7:J7"/>
    <mergeCell ref="K7:M7"/>
    <mergeCell ref="Q7:R7"/>
    <mergeCell ref="V7:W7"/>
    <mergeCell ref="X7:AA7"/>
    <mergeCell ref="D8:J8"/>
    <mergeCell ref="K8:M8"/>
    <mergeCell ref="Q8:R8"/>
    <mergeCell ref="V8:W8"/>
    <mergeCell ref="X8:AA8"/>
    <mergeCell ref="B9:C11"/>
    <mergeCell ref="D9:J9"/>
    <mergeCell ref="K9:M9"/>
    <mergeCell ref="Q9:R9"/>
    <mergeCell ref="V9:W9"/>
    <mergeCell ref="X9:AA9"/>
    <mergeCell ref="D10:J10"/>
    <mergeCell ref="K10:M10"/>
    <mergeCell ref="Q10:R10"/>
    <mergeCell ref="V10:W10"/>
    <mergeCell ref="X10:AA10"/>
    <mergeCell ref="D11:J11"/>
    <mergeCell ref="K11:M11"/>
    <mergeCell ref="Q11:R11"/>
    <mergeCell ref="V11:W11"/>
    <mergeCell ref="X11:AA11"/>
    <mergeCell ref="B12:C14"/>
    <mergeCell ref="D12:J12"/>
    <mergeCell ref="K12:M12"/>
    <mergeCell ref="Q12:R12"/>
    <mergeCell ref="V12:W12"/>
    <mergeCell ref="X12:AA12"/>
    <mergeCell ref="D13:J13"/>
    <mergeCell ref="K13:M13"/>
    <mergeCell ref="Q13:R13"/>
    <mergeCell ref="V13:W13"/>
    <mergeCell ref="X13:AA13"/>
    <mergeCell ref="D14:J14"/>
    <mergeCell ref="K14:M14"/>
    <mergeCell ref="Q14:R14"/>
    <mergeCell ref="V14:W14"/>
    <mergeCell ref="X14:AA14"/>
    <mergeCell ref="B15:C17"/>
    <mergeCell ref="D15:J15"/>
    <mergeCell ref="K15:M15"/>
    <mergeCell ref="Q15:R15"/>
    <mergeCell ref="V15:W15"/>
    <mergeCell ref="X15:AA15"/>
    <mergeCell ref="D16:J16"/>
    <mergeCell ref="K16:M16"/>
    <mergeCell ref="Q16:R16"/>
    <mergeCell ref="V16:W16"/>
    <mergeCell ref="X16:AA16"/>
    <mergeCell ref="D17:J17"/>
    <mergeCell ref="K17:M17"/>
    <mergeCell ref="Q17:R17"/>
    <mergeCell ref="V17:W17"/>
    <mergeCell ref="X17:AA17"/>
    <mergeCell ref="B18:C20"/>
    <mergeCell ref="D18:J18"/>
    <mergeCell ref="K18:M18"/>
    <mergeCell ref="Q18:R18"/>
    <mergeCell ref="V18:W18"/>
    <mergeCell ref="X18:AA18"/>
    <mergeCell ref="D19:J19"/>
    <mergeCell ref="K19:M19"/>
    <mergeCell ref="Q19:R19"/>
    <mergeCell ref="V19:W19"/>
    <mergeCell ref="X19:AA19"/>
    <mergeCell ref="D20:J20"/>
    <mergeCell ref="K20:M20"/>
    <mergeCell ref="Q20:R20"/>
    <mergeCell ref="V20:W20"/>
    <mergeCell ref="X20:AA20"/>
    <mergeCell ref="B21:C23"/>
    <mergeCell ref="D21:J21"/>
    <mergeCell ref="K21:M21"/>
    <mergeCell ref="Q21:R21"/>
    <mergeCell ref="V21:W21"/>
    <mergeCell ref="X21:AA21"/>
    <mergeCell ref="D22:J22"/>
    <mergeCell ref="K22:M22"/>
    <mergeCell ref="Q22:R22"/>
    <mergeCell ref="V22:W22"/>
    <mergeCell ref="X22:AA22"/>
    <mergeCell ref="D23:J23"/>
    <mergeCell ref="K23:M23"/>
    <mergeCell ref="Q23:R23"/>
    <mergeCell ref="V23:W23"/>
    <mergeCell ref="X23:AA23"/>
    <mergeCell ref="B24:C24"/>
    <mergeCell ref="D24:J24"/>
    <mergeCell ref="K24:M24"/>
    <mergeCell ref="N24:AA24"/>
    <mergeCell ref="B25:C25"/>
    <mergeCell ref="D25:J25"/>
    <mergeCell ref="K25:M25"/>
    <mergeCell ref="N25:AA25"/>
    <mergeCell ref="B26:C26"/>
    <mergeCell ref="D26:J26"/>
    <mergeCell ref="K26:M26"/>
    <mergeCell ref="N26:AA26"/>
    <mergeCell ref="B27:C27"/>
    <mergeCell ref="D27:J27"/>
    <mergeCell ref="K27:M27"/>
    <mergeCell ref="N27:AA27"/>
    <mergeCell ref="B28:C28"/>
    <mergeCell ref="D28:J28"/>
    <mergeCell ref="K28:M28"/>
    <mergeCell ref="N28:AA28"/>
    <mergeCell ref="B29:C29"/>
    <mergeCell ref="D29:J29"/>
    <mergeCell ref="K29:M29"/>
    <mergeCell ref="N29:AA29"/>
    <mergeCell ref="B30:C30"/>
    <mergeCell ref="D30:J30"/>
    <mergeCell ref="K30:M30"/>
    <mergeCell ref="N30:AA30"/>
    <mergeCell ref="A31:D31"/>
    <mergeCell ref="E31:J31"/>
    <mergeCell ref="K31:N31"/>
    <mergeCell ref="O31:Q31"/>
    <mergeCell ref="T31:AA31"/>
    <mergeCell ref="A33:AA33"/>
    <mergeCell ref="A34:A35"/>
    <mergeCell ref="B34:B35"/>
    <mergeCell ref="C34:E34"/>
    <mergeCell ref="F34:H34"/>
    <mergeCell ref="I34:K34"/>
    <mergeCell ref="L34:N34"/>
    <mergeCell ref="O34:Q34"/>
    <mergeCell ref="R34:T34"/>
    <mergeCell ref="U34:W34"/>
    <mergeCell ref="X34:Z34"/>
    <mergeCell ref="AA34:AA35"/>
    <mergeCell ref="A48:B48"/>
    <mergeCell ref="A49:B49"/>
    <mergeCell ref="C49:E49"/>
    <mergeCell ref="F49:H49"/>
    <mergeCell ref="I49:K49"/>
    <mergeCell ref="L49:N49"/>
    <mergeCell ref="O49:Q49"/>
    <mergeCell ref="R49:T49"/>
    <mergeCell ref="U49:W49"/>
    <mergeCell ref="X49:Z49"/>
    <mergeCell ref="A51:AA51"/>
    <mergeCell ref="A52:A53"/>
    <mergeCell ref="B52:B53"/>
    <mergeCell ref="C52:E52"/>
    <mergeCell ref="F52:H52"/>
    <mergeCell ref="I52:K52"/>
    <mergeCell ref="L52:N52"/>
    <mergeCell ref="O52:Q52"/>
    <mergeCell ref="R52:T52"/>
    <mergeCell ref="U52:W52"/>
    <mergeCell ref="X52:Z52"/>
    <mergeCell ref="AA52:AA53"/>
    <mergeCell ref="A66:B66"/>
    <mergeCell ref="A67:B67"/>
    <mergeCell ref="C67:E67"/>
    <mergeCell ref="F67:H67"/>
    <mergeCell ref="I67:K67"/>
    <mergeCell ref="L67:N67"/>
    <mergeCell ref="O67:Q67"/>
    <mergeCell ref="R67:T67"/>
    <mergeCell ref="U67:W67"/>
    <mergeCell ref="X67:Z67"/>
    <mergeCell ref="A69:AA69"/>
    <mergeCell ref="A70:A71"/>
    <mergeCell ref="B70:B71"/>
    <mergeCell ref="C70:E70"/>
    <mergeCell ref="F70:H70"/>
    <mergeCell ref="I70:K70"/>
    <mergeCell ref="L70:N70"/>
    <mergeCell ref="O70:Q70"/>
    <mergeCell ref="R70:T70"/>
    <mergeCell ref="U70:W70"/>
    <mergeCell ref="X70:Z70"/>
    <mergeCell ref="AA70:AA71"/>
    <mergeCell ref="A84:B84"/>
    <mergeCell ref="A85:B85"/>
    <mergeCell ref="C85:E85"/>
    <mergeCell ref="F85:H85"/>
    <mergeCell ref="I85:K85"/>
    <mergeCell ref="L85:N85"/>
    <mergeCell ref="O85:Q85"/>
    <mergeCell ref="R85:T85"/>
    <mergeCell ref="U85:W85"/>
    <mergeCell ref="X85:Z85"/>
    <mergeCell ref="A87:AA87"/>
    <mergeCell ref="A107:J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A135:J135"/>
    <mergeCell ref="C136:D136"/>
    <mergeCell ref="I136:J136"/>
    <mergeCell ref="C137:D137"/>
    <mergeCell ref="I137:J137"/>
    <mergeCell ref="C138:D138"/>
    <mergeCell ref="I138:J138"/>
    <mergeCell ref="C139:D139"/>
    <mergeCell ref="I139:J139"/>
    <mergeCell ref="C140:D140"/>
    <mergeCell ref="I140:J140"/>
    <mergeCell ref="C141:D141"/>
    <mergeCell ref="I141:J141"/>
    <mergeCell ref="C142:D142"/>
    <mergeCell ref="I142:J142"/>
    <mergeCell ref="C143:D143"/>
    <mergeCell ref="I143:J143"/>
    <mergeCell ref="C144:D144"/>
    <mergeCell ref="I144:J144"/>
    <mergeCell ref="C145:D145"/>
    <mergeCell ref="I145:J145"/>
    <mergeCell ref="C146:D146"/>
    <mergeCell ref="I146:J146"/>
    <mergeCell ref="C147:D147"/>
    <mergeCell ref="I147:J147"/>
    <mergeCell ref="C148:D148"/>
    <mergeCell ref="I148:J148"/>
    <mergeCell ref="C149:D149"/>
    <mergeCell ref="I149:J149"/>
    <mergeCell ref="C150:D150"/>
    <mergeCell ref="I150:J150"/>
    <mergeCell ref="C151:D151"/>
    <mergeCell ref="I151:J151"/>
    <mergeCell ref="C152:D152"/>
    <mergeCell ref="I152:J152"/>
    <mergeCell ref="C153:D153"/>
    <mergeCell ref="I153:J153"/>
    <mergeCell ref="C154:D154"/>
    <mergeCell ref="I154:J154"/>
    <mergeCell ref="C155:D155"/>
    <mergeCell ref="I155:J155"/>
    <mergeCell ref="C156:D156"/>
    <mergeCell ref="I156:J156"/>
    <mergeCell ref="C157:D157"/>
    <mergeCell ref="I157:J157"/>
    <mergeCell ref="C158:D158"/>
    <mergeCell ref="I158:J158"/>
    <mergeCell ref="C159:D159"/>
    <mergeCell ref="I159:J159"/>
    <mergeCell ref="C160:D160"/>
    <mergeCell ref="I160:J160"/>
  </mergeCells>
  <conditionalFormatting sqref="S6:S23">
    <cfRule type="expression" priority="2" aboveAverage="0" equalAverage="0" bottom="0" percent="0" rank="0" text="" dxfId="12">
      <formula>OR(S6="READY",S6="COMPLETE",S6="MET",S6="Y")</formula>
    </cfRule>
    <cfRule type="expression" priority="3" aboveAverage="0" equalAverage="0" bottom="0" percent="0" rank="0" text="" dxfId="13">
      <formula>S6="IN PROGRESS"</formula>
    </cfRule>
    <cfRule type="expression" priority="4" aboveAverage="0" equalAverage="0" bottom="0" percent="0" rank="0" text="" dxfId="14">
      <formula>OR(S6="NOT READY",S6="NOT STARTED",S6="BELOW",S6="N",S6="NOT MET")</formula>
    </cfRule>
  </conditionalFormatting>
  <conditionalFormatting sqref="U6:U23">
    <cfRule type="expression" priority="5" aboveAverage="0" equalAverage="0" bottom="0" percent="0" rank="0" text="" dxfId="12">
      <formula>OR(U6="READY",U6="COMPLETE",U6="MET",U6="Y")</formula>
    </cfRule>
    <cfRule type="expression" priority="6" aboveAverage="0" equalAverage="0" bottom="0" percent="0" rank="0" text="" dxfId="13">
      <formula>U6="IN PROGRESS"</formula>
    </cfRule>
    <cfRule type="expression" priority="7" aboveAverage="0" equalAverage="0" bottom="0" percent="0" rank="0" text="" dxfId="14">
      <formula>OR(U6="NOT READY",U6="NOT STARTED",U6="BELOW",U6="N",U6="NOT MET")</formula>
    </cfRule>
  </conditionalFormatting>
  <conditionalFormatting sqref="T6:T23">
    <cfRule type="expression" priority="8" aboveAverage="0" equalAverage="0" bottom="0" percent="0" rank="0" text="" dxfId="12">
      <formula>OR(T6="READY",T6="COMPLETE",T6="MET",T6="Y")</formula>
    </cfRule>
    <cfRule type="expression" priority="9" aboveAverage="0" equalAverage="0" bottom="0" percent="0" rank="0" text="" dxfId="13">
      <formula>T6="IN PROGRESS"</formula>
    </cfRule>
    <cfRule type="expression" priority="10" aboveAverage="0" equalAverage="0" bottom="0" percent="0" rank="0" text="" dxfId="14">
      <formula>OR(T6="NOT READY",T6="NOT STARTED",T6="BELOW",T6="N",T6="NOT MET")</formula>
    </cfRule>
  </conditionalFormatting>
  <conditionalFormatting sqref="K25:K30">
    <cfRule type="expression" priority="11" aboveAverage="0" equalAverage="0" bottom="0" percent="0" rank="0" text="" dxfId="12">
      <formula>OR(K25="READY",K25="COMPLETE",K25="MET",K25="Y")</formula>
    </cfRule>
    <cfRule type="expression" priority="12" aboveAverage="0" equalAverage="0" bottom="0" percent="0" rank="0" text="" dxfId="13">
      <formula>K25="IN PROGRESS"</formula>
    </cfRule>
    <cfRule type="expression" priority="13" aboveAverage="0" equalAverage="0" bottom="0" percent="0" rank="0" text="" dxfId="14">
      <formula>OR(K25="NOT READY",K25="NOT STARTED",K25="BELOW",K25="N",K25="NOT MET")</formula>
    </cfRule>
  </conditionalFormatting>
  <conditionalFormatting sqref="R31">
    <cfRule type="expression" priority="14" aboveAverage="0" equalAverage="0" bottom="0" percent="0" rank="0" text="" dxfId="12">
      <formula>OR(R31="READY",R31="COMPLETE",R31="MET",R31="Y")</formula>
    </cfRule>
    <cfRule type="expression" priority="15" aboveAverage="0" equalAverage="0" bottom="0" percent="0" rank="0" text="" dxfId="13">
      <formula>R31="IN PROGRESS"</formula>
    </cfRule>
    <cfRule type="expression" priority="16" aboveAverage="0" equalAverage="0" bottom="0" percent="0" rank="0" text="" dxfId="14">
      <formula>OR(R31="NOT READY",R31="NOT STARTED",R31="BELOW",R31="N",R31="NOT MET")</formula>
    </cfRule>
  </conditionalFormatting>
  <conditionalFormatting sqref="E36:E48">
    <cfRule type="expression" priority="17" aboveAverage="0" equalAverage="0" bottom="0" percent="0" rank="0" text="" dxfId="7">
      <formula>AND(ISNUMBER(E36),E36&gt;=0.9)</formula>
    </cfRule>
    <cfRule type="expression" priority="18" aboveAverage="0" equalAverage="0" bottom="0" percent="0" rank="0" text="" dxfId="8">
      <formula>AND(ISNUMBER(E36),E36&gt;=0.8,E36&lt;0.9)</formula>
    </cfRule>
    <cfRule type="expression" priority="19" aboveAverage="0" equalAverage="0" bottom="0" percent="0" rank="0" text="" dxfId="9">
      <formula>AND(ISNUMBER(E36),E36&lt;0.8)</formula>
    </cfRule>
  </conditionalFormatting>
  <conditionalFormatting sqref="H36:H48">
    <cfRule type="expression" priority="20" aboveAverage="0" equalAverage="0" bottom="0" percent="0" rank="0" text="" dxfId="7">
      <formula>AND(ISNUMBER(H36),H36&gt;=0.9)</formula>
    </cfRule>
    <cfRule type="expression" priority="21" aboveAverage="0" equalAverage="0" bottom="0" percent="0" rank="0" text="" dxfId="8">
      <formula>AND(ISNUMBER(H36),H36&gt;=0.8,H36&lt;0.9)</formula>
    </cfRule>
    <cfRule type="expression" priority="22" aboveAverage="0" equalAverage="0" bottom="0" percent="0" rank="0" text="" dxfId="9">
      <formula>AND(ISNUMBER(H36),H36&lt;0.8)</formula>
    </cfRule>
  </conditionalFormatting>
  <conditionalFormatting sqref="K36:K48">
    <cfRule type="expression" priority="23" aboveAverage="0" equalAverage="0" bottom="0" percent="0" rank="0" text="" dxfId="7">
      <formula>AND(ISNUMBER(K36),K36&gt;=0.9)</formula>
    </cfRule>
    <cfRule type="expression" priority="24" aboveAverage="0" equalAverage="0" bottom="0" percent="0" rank="0" text="" dxfId="8">
      <formula>AND(ISNUMBER(K36),K36&gt;=0.8,K36&lt;0.9)</formula>
    </cfRule>
    <cfRule type="expression" priority="25" aboveAverage="0" equalAverage="0" bottom="0" percent="0" rank="0" text="" dxfId="9">
      <formula>AND(ISNUMBER(K36),K36&lt;0.8)</formula>
    </cfRule>
  </conditionalFormatting>
  <conditionalFormatting sqref="N36:N48">
    <cfRule type="expression" priority="26" aboveAverage="0" equalAverage="0" bottom="0" percent="0" rank="0" text="" dxfId="7">
      <formula>AND(ISNUMBER(N36),N36&gt;=0.9)</formula>
    </cfRule>
    <cfRule type="expression" priority="27" aboveAverage="0" equalAverage="0" bottom="0" percent="0" rank="0" text="" dxfId="8">
      <formula>AND(ISNUMBER(N36),N36&gt;=0.8,N36&lt;0.9)</formula>
    </cfRule>
    <cfRule type="expression" priority="28" aboveAverage="0" equalAverage="0" bottom="0" percent="0" rank="0" text="" dxfId="9">
      <formula>AND(ISNUMBER(N36),N36&lt;0.8)</formula>
    </cfRule>
  </conditionalFormatting>
  <conditionalFormatting sqref="Q36:Q48">
    <cfRule type="expression" priority="29" aboveAverage="0" equalAverage="0" bottom="0" percent="0" rank="0" text="" dxfId="7">
      <formula>AND(ISNUMBER(Q36),Q36&gt;=0.9)</formula>
    </cfRule>
    <cfRule type="expression" priority="30" aboveAverage="0" equalAverage="0" bottom="0" percent="0" rank="0" text="" dxfId="8">
      <formula>AND(ISNUMBER(Q36),Q36&gt;=0.8,Q36&lt;0.9)</formula>
    </cfRule>
    <cfRule type="expression" priority="31" aboveAverage="0" equalAverage="0" bottom="0" percent="0" rank="0" text="" dxfId="9">
      <formula>AND(ISNUMBER(Q36),Q36&lt;0.8)</formula>
    </cfRule>
  </conditionalFormatting>
  <conditionalFormatting sqref="T36:T48">
    <cfRule type="expression" priority="32" aboveAverage="0" equalAverage="0" bottom="0" percent="0" rank="0" text="" dxfId="7">
      <formula>AND(ISNUMBER(T36),T36&gt;=0.9)</formula>
    </cfRule>
    <cfRule type="expression" priority="33" aboveAverage="0" equalAverage="0" bottom="0" percent="0" rank="0" text="" dxfId="8">
      <formula>AND(ISNUMBER(T36),T36&gt;=0.8,T36&lt;0.9)</formula>
    </cfRule>
    <cfRule type="expression" priority="34" aboveAverage="0" equalAverage="0" bottom="0" percent="0" rank="0" text="" dxfId="9">
      <formula>AND(ISNUMBER(T36),T36&lt;0.8)</formula>
    </cfRule>
  </conditionalFormatting>
  <conditionalFormatting sqref="W36:W48">
    <cfRule type="expression" priority="35" aboveAverage="0" equalAverage="0" bottom="0" percent="0" rank="0" text="" dxfId="7">
      <formula>AND(ISNUMBER(W36),W36&gt;=0.9)</formula>
    </cfRule>
    <cfRule type="expression" priority="36" aboveAverage="0" equalAverage="0" bottom="0" percent="0" rank="0" text="" dxfId="8">
      <formula>AND(ISNUMBER(W36),W36&gt;=0.8,W36&lt;0.9)</formula>
    </cfRule>
    <cfRule type="expression" priority="37" aboveAverage="0" equalAverage="0" bottom="0" percent="0" rank="0" text="" dxfId="9">
      <formula>AND(ISNUMBER(W36),W36&lt;0.8)</formula>
    </cfRule>
  </conditionalFormatting>
  <conditionalFormatting sqref="Z36:Z48">
    <cfRule type="expression" priority="38" aboveAverage="0" equalAverage="0" bottom="0" percent="0" rank="0" text="" dxfId="7">
      <formula>AND(ISNUMBER(Z36),Z36&gt;=0.9)</formula>
    </cfRule>
    <cfRule type="expression" priority="39" aboveAverage="0" equalAverage="0" bottom="0" percent="0" rank="0" text="" dxfId="8">
      <formula>AND(ISNUMBER(Z36),Z36&gt;=0.8,Z36&lt;0.9)</formula>
    </cfRule>
    <cfRule type="expression" priority="40" aboveAverage="0" equalAverage="0" bottom="0" percent="0" rank="0" text="" dxfId="9">
      <formula>AND(ISNUMBER(Z36),Z36&lt;0.8)</formula>
    </cfRule>
  </conditionalFormatting>
  <conditionalFormatting sqref="E54:E66">
    <cfRule type="expression" priority="41" aboveAverage="0" equalAverage="0" bottom="0" percent="0" rank="0" text="" dxfId="7">
      <formula>AND(ISNUMBER(E54),E54&gt;=0.9)</formula>
    </cfRule>
    <cfRule type="expression" priority="42" aboveAverage="0" equalAverage="0" bottom="0" percent="0" rank="0" text="" dxfId="8">
      <formula>AND(ISNUMBER(E54),E54&gt;=0.8,E54&lt;0.9)</formula>
    </cfRule>
    <cfRule type="expression" priority="43" aboveAverage="0" equalAverage="0" bottom="0" percent="0" rank="0" text="" dxfId="9">
      <formula>AND(ISNUMBER(E54),E54&lt;0.8)</formula>
    </cfRule>
  </conditionalFormatting>
  <conditionalFormatting sqref="H54:H66">
    <cfRule type="expression" priority="44" aboveAverage="0" equalAverage="0" bottom="0" percent="0" rank="0" text="" dxfId="7">
      <formula>AND(ISNUMBER(H54),H54&gt;=0.9)</formula>
    </cfRule>
    <cfRule type="expression" priority="45" aboveAverage="0" equalAverage="0" bottom="0" percent="0" rank="0" text="" dxfId="8">
      <formula>AND(ISNUMBER(H54),H54&gt;=0.8,H54&lt;0.9)</formula>
    </cfRule>
    <cfRule type="expression" priority="46" aboveAverage="0" equalAverage="0" bottom="0" percent="0" rank="0" text="" dxfId="9">
      <formula>AND(ISNUMBER(H54),H54&lt;0.8)</formula>
    </cfRule>
  </conditionalFormatting>
  <conditionalFormatting sqref="K54:K66">
    <cfRule type="expression" priority="47" aboveAverage="0" equalAverage="0" bottom="0" percent="0" rank="0" text="" dxfId="7">
      <formula>AND(ISNUMBER(K54),K54&gt;=0.9)</formula>
    </cfRule>
    <cfRule type="expression" priority="48" aboveAverage="0" equalAverage="0" bottom="0" percent="0" rank="0" text="" dxfId="8">
      <formula>AND(ISNUMBER(K54),K54&gt;=0.8,K54&lt;0.9)</formula>
    </cfRule>
    <cfRule type="expression" priority="49" aboveAverage="0" equalAverage="0" bottom="0" percent="0" rank="0" text="" dxfId="9">
      <formula>AND(ISNUMBER(K54),K54&lt;0.8)</formula>
    </cfRule>
  </conditionalFormatting>
  <conditionalFormatting sqref="N54:N66">
    <cfRule type="expression" priority="50" aboveAverage="0" equalAverage="0" bottom="0" percent="0" rank="0" text="" dxfId="7">
      <formula>AND(ISNUMBER(N54),N54&gt;=0.9)</formula>
    </cfRule>
    <cfRule type="expression" priority="51" aboveAverage="0" equalAverage="0" bottom="0" percent="0" rank="0" text="" dxfId="8">
      <formula>AND(ISNUMBER(N54),N54&gt;=0.8,N54&lt;0.9)</formula>
    </cfRule>
    <cfRule type="expression" priority="52" aboveAverage="0" equalAverage="0" bottom="0" percent="0" rank="0" text="" dxfId="9">
      <formula>AND(ISNUMBER(N54),N54&lt;0.8)</formula>
    </cfRule>
  </conditionalFormatting>
  <conditionalFormatting sqref="Q54:Q66">
    <cfRule type="expression" priority="53" aboveAverage="0" equalAverage="0" bottom="0" percent="0" rank="0" text="" dxfId="7">
      <formula>AND(ISNUMBER(Q54),Q54&gt;=0.9)</formula>
    </cfRule>
    <cfRule type="expression" priority="54" aboveAverage="0" equalAverage="0" bottom="0" percent="0" rank="0" text="" dxfId="8">
      <formula>AND(ISNUMBER(Q54),Q54&gt;=0.8,Q54&lt;0.9)</formula>
    </cfRule>
    <cfRule type="expression" priority="55" aboveAverage="0" equalAverage="0" bottom="0" percent="0" rank="0" text="" dxfId="9">
      <formula>AND(ISNUMBER(Q54),Q54&lt;0.8)</formula>
    </cfRule>
  </conditionalFormatting>
  <conditionalFormatting sqref="T54:T66">
    <cfRule type="expression" priority="56" aboveAverage="0" equalAverage="0" bottom="0" percent="0" rank="0" text="" dxfId="7">
      <formula>AND(ISNUMBER(T54),T54&gt;=0.9)</formula>
    </cfRule>
    <cfRule type="expression" priority="57" aboveAverage="0" equalAverage="0" bottom="0" percent="0" rank="0" text="" dxfId="8">
      <formula>AND(ISNUMBER(T54),T54&gt;=0.8,T54&lt;0.9)</formula>
    </cfRule>
    <cfRule type="expression" priority="58" aboveAverage="0" equalAverage="0" bottom="0" percent="0" rank="0" text="" dxfId="9">
      <formula>AND(ISNUMBER(T54),T54&lt;0.8)</formula>
    </cfRule>
  </conditionalFormatting>
  <conditionalFormatting sqref="W54:W66">
    <cfRule type="expression" priority="59" aboveAverage="0" equalAverage="0" bottom="0" percent="0" rank="0" text="" dxfId="7">
      <formula>AND(ISNUMBER(W54),W54&gt;=0.9)</formula>
    </cfRule>
    <cfRule type="expression" priority="60" aboveAverage="0" equalAverage="0" bottom="0" percent="0" rank="0" text="" dxfId="8">
      <formula>AND(ISNUMBER(W54),W54&gt;=0.8,W54&lt;0.9)</formula>
    </cfRule>
    <cfRule type="expression" priority="61" aboveAverage="0" equalAverage="0" bottom="0" percent="0" rank="0" text="" dxfId="9">
      <formula>AND(ISNUMBER(W54),W54&lt;0.8)</formula>
    </cfRule>
  </conditionalFormatting>
  <conditionalFormatting sqref="Z54:Z66">
    <cfRule type="expression" priority="62" aboveAverage="0" equalAverage="0" bottom="0" percent="0" rank="0" text="" dxfId="7">
      <formula>AND(ISNUMBER(Z54),Z54&gt;=0.9)</formula>
    </cfRule>
    <cfRule type="expression" priority="63" aboveAverage="0" equalAverage="0" bottom="0" percent="0" rank="0" text="" dxfId="8">
      <formula>AND(ISNUMBER(Z54),Z54&gt;=0.8,Z54&lt;0.9)</formula>
    </cfRule>
    <cfRule type="expression" priority="64" aboveAverage="0" equalAverage="0" bottom="0" percent="0" rank="0" text="" dxfId="9">
      <formula>AND(ISNUMBER(Z54),Z54&lt;0.8)</formula>
    </cfRule>
  </conditionalFormatting>
  <conditionalFormatting sqref="E72:E84">
    <cfRule type="expression" priority="65" aboveAverage="0" equalAverage="0" bottom="0" percent="0" rank="0" text="" dxfId="7">
      <formula>AND(ISNUMBER(E72),E72&gt;=0.9)</formula>
    </cfRule>
    <cfRule type="expression" priority="66" aboveAverage="0" equalAverage="0" bottom="0" percent="0" rank="0" text="" dxfId="8">
      <formula>AND(ISNUMBER(E72),E72&gt;=0.8,E72&lt;0.9)</formula>
    </cfRule>
    <cfRule type="expression" priority="67" aboveAverage="0" equalAverage="0" bottom="0" percent="0" rank="0" text="" dxfId="9">
      <formula>AND(ISNUMBER(E72),E72&lt;0.8)</formula>
    </cfRule>
  </conditionalFormatting>
  <conditionalFormatting sqref="H72:H84">
    <cfRule type="expression" priority="68" aboveAverage="0" equalAverage="0" bottom="0" percent="0" rank="0" text="" dxfId="7">
      <formula>AND(ISNUMBER(H72),H72&gt;=0.9)</formula>
    </cfRule>
    <cfRule type="expression" priority="69" aboveAverage="0" equalAverage="0" bottom="0" percent="0" rank="0" text="" dxfId="8">
      <formula>AND(ISNUMBER(H72),H72&gt;=0.8,H72&lt;0.9)</formula>
    </cfRule>
    <cfRule type="expression" priority="70" aboveAverage="0" equalAverage="0" bottom="0" percent="0" rank="0" text="" dxfId="9">
      <formula>AND(ISNUMBER(H72),H72&lt;0.8)</formula>
    </cfRule>
  </conditionalFormatting>
  <conditionalFormatting sqref="K72:K84">
    <cfRule type="expression" priority="71" aboveAverage="0" equalAverage="0" bottom="0" percent="0" rank="0" text="" dxfId="7">
      <formula>AND(ISNUMBER(K72),K72&gt;=0.9)</formula>
    </cfRule>
    <cfRule type="expression" priority="72" aboveAverage="0" equalAverage="0" bottom="0" percent="0" rank="0" text="" dxfId="8">
      <formula>AND(ISNUMBER(K72),K72&gt;=0.8,K72&lt;0.9)</formula>
    </cfRule>
    <cfRule type="expression" priority="73" aboveAverage="0" equalAverage="0" bottom="0" percent="0" rank="0" text="" dxfId="9">
      <formula>AND(ISNUMBER(K72),K72&lt;0.8)</formula>
    </cfRule>
  </conditionalFormatting>
  <conditionalFormatting sqref="N72:N84">
    <cfRule type="expression" priority="74" aboveAverage="0" equalAverage="0" bottom="0" percent="0" rank="0" text="" dxfId="7">
      <formula>AND(ISNUMBER(N72),N72&gt;=0.9)</formula>
    </cfRule>
    <cfRule type="expression" priority="75" aboveAverage="0" equalAverage="0" bottom="0" percent="0" rank="0" text="" dxfId="8">
      <formula>AND(ISNUMBER(N72),N72&gt;=0.8,N72&lt;0.9)</formula>
    </cfRule>
    <cfRule type="expression" priority="76" aboveAverage="0" equalAverage="0" bottom="0" percent="0" rank="0" text="" dxfId="9">
      <formula>AND(ISNUMBER(N72),N72&lt;0.8)</formula>
    </cfRule>
  </conditionalFormatting>
  <conditionalFormatting sqref="Q72:Q84">
    <cfRule type="expression" priority="77" aboveAverage="0" equalAverage="0" bottom="0" percent="0" rank="0" text="" dxfId="7">
      <formula>AND(ISNUMBER(Q72),Q72&gt;=0.9)</formula>
    </cfRule>
    <cfRule type="expression" priority="78" aboveAverage="0" equalAverage="0" bottom="0" percent="0" rank="0" text="" dxfId="8">
      <formula>AND(ISNUMBER(Q72),Q72&gt;=0.8,Q72&lt;0.9)</formula>
    </cfRule>
    <cfRule type="expression" priority="79" aboveAverage="0" equalAverage="0" bottom="0" percent="0" rank="0" text="" dxfId="9">
      <formula>AND(ISNUMBER(Q72),Q72&lt;0.8)</formula>
    </cfRule>
  </conditionalFormatting>
  <conditionalFormatting sqref="T72:T84">
    <cfRule type="expression" priority="80" aboveAverage="0" equalAverage="0" bottom="0" percent="0" rank="0" text="" dxfId="7">
      <formula>AND(ISNUMBER(T72),T72&gt;=0.9)</formula>
    </cfRule>
    <cfRule type="expression" priority="81" aboveAverage="0" equalAverage="0" bottom="0" percent="0" rank="0" text="" dxfId="8">
      <formula>AND(ISNUMBER(T72),T72&gt;=0.8,T72&lt;0.9)</formula>
    </cfRule>
    <cfRule type="expression" priority="82" aboveAverage="0" equalAverage="0" bottom="0" percent="0" rank="0" text="" dxfId="9">
      <formula>AND(ISNUMBER(T72),T72&lt;0.8)</formula>
    </cfRule>
  </conditionalFormatting>
  <conditionalFormatting sqref="W72:W84">
    <cfRule type="expression" priority="83" aboveAverage="0" equalAverage="0" bottom="0" percent="0" rank="0" text="" dxfId="7">
      <formula>AND(ISNUMBER(W72),W72&gt;=0.9)</formula>
    </cfRule>
    <cfRule type="expression" priority="84" aboveAverage="0" equalAverage="0" bottom="0" percent="0" rank="0" text="" dxfId="8">
      <formula>AND(ISNUMBER(W72),W72&gt;=0.8,W72&lt;0.9)</formula>
    </cfRule>
    <cfRule type="expression" priority="85" aboveAverage="0" equalAverage="0" bottom="0" percent="0" rank="0" text="" dxfId="9">
      <formula>AND(ISNUMBER(W72),W72&lt;0.8)</formula>
    </cfRule>
  </conditionalFormatting>
  <conditionalFormatting sqref="Z72:Z84">
    <cfRule type="expression" priority="86" aboveAverage="0" equalAverage="0" bottom="0" percent="0" rank="0" text="" dxfId="7">
      <formula>AND(ISNUMBER(Z72),Z72&gt;=0.9)</formula>
    </cfRule>
    <cfRule type="expression" priority="87" aboveAverage="0" equalAverage="0" bottom="0" percent="0" rank="0" text="" dxfId="8">
      <formula>AND(ISNUMBER(Z72),Z72&gt;=0.8,Z72&lt;0.9)</formula>
    </cfRule>
    <cfRule type="expression" priority="88" aboveAverage="0" equalAverage="0" bottom="0" percent="0" rank="0" text="" dxfId="9">
      <formula>AND(ISNUMBER(Z72),Z72&lt;0.8)</formula>
    </cfRule>
  </conditionalFormatting>
  <dataValidations count="4">
    <dataValidation allowBlank="true" errorStyle="stop" operator="between" showDropDown="false" showErrorMessage="false" showInputMessage="false" sqref="K6:K23" type="list">
      <formula1>$L$109:$L$139</formula1>
      <formula2>0</formula2>
    </dataValidation>
    <dataValidation allowBlank="true" errorStyle="stop" operator="between" showDropDown="false" showErrorMessage="false" showInputMessage="false" sqref="N6:N23" type="list">
      <formula1>"LSI,Injured,L,R"</formula1>
      <formula2>0</formula2>
    </dataValidation>
    <dataValidation allowBlank="true" errorStyle="stop" operator="between" showDropDown="false" showErrorMessage="false" showInputMessage="false" sqref="O6:O23" type="list">
      <formula1>"≥,≤"</formula1>
      <formula2>0</formula2>
    </dataValidation>
    <dataValidation allowBlank="true" errorStyle="stop" operator="between" showDropDown="false" showErrorMessage="false" showInputMessage="false" sqref="T6:T23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28A"/>
    <pageSetUpPr fitToPage="false"/>
  </sheetPr>
  <dimension ref="A1:AA16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"/>
    <col collapsed="false" customWidth="true" hidden="false" outlineLevel="0" max="26" min="3" style="0" width="10"/>
    <col collapsed="false" customWidth="true" hidden="false" outlineLevel="0" max="27" min="27" style="0" width="32"/>
  </cols>
  <sheetData>
    <row r="1" customFormat="false" ht="27.75" hidden="false" customHeight="true" outlineLevel="0" collapsed="false">
      <c r="A1" s="53" t="s">
        <v>187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customFormat="false" ht="25.5" hidden="false" customHeight="true" outlineLevel="0" collapsed="false">
      <c r="A2" s="54" t="s">
        <v>188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</row>
    <row r="4" customFormat="false" ht="19.5" hidden="false" customHeight="true" outlineLevel="0" collapsed="false">
      <c r="A4" s="62" t="s">
        <v>92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</row>
    <row r="5" customFormat="false" ht="30" hidden="false" customHeight="true" outlineLevel="0" collapsed="false">
      <c r="A5" s="63" t="s">
        <v>93</v>
      </c>
      <c r="B5" s="63" t="s">
        <v>94</v>
      </c>
      <c r="C5" s="63"/>
      <c r="D5" s="63" t="s">
        <v>95</v>
      </c>
      <c r="E5" s="63"/>
      <c r="F5" s="63"/>
      <c r="G5" s="63"/>
      <c r="H5" s="63"/>
      <c r="I5" s="63"/>
      <c r="J5" s="63"/>
      <c r="K5" s="63" t="s">
        <v>96</v>
      </c>
      <c r="L5" s="63"/>
      <c r="M5" s="63"/>
      <c r="N5" s="63" t="s">
        <v>97</v>
      </c>
      <c r="O5" s="63" t="s">
        <v>98</v>
      </c>
      <c r="P5" s="63" t="s">
        <v>99</v>
      </c>
      <c r="Q5" s="63" t="s">
        <v>100</v>
      </c>
      <c r="R5" s="63"/>
      <c r="S5" s="63" t="s">
        <v>101</v>
      </c>
      <c r="T5" s="63" t="s">
        <v>102</v>
      </c>
      <c r="U5" s="63" t="s">
        <v>103</v>
      </c>
      <c r="V5" s="63" t="s">
        <v>104</v>
      </c>
      <c r="W5" s="63"/>
      <c r="X5" s="63" t="s">
        <v>84</v>
      </c>
      <c r="Y5" s="63"/>
      <c r="Z5" s="63"/>
      <c r="AA5" s="63"/>
    </row>
    <row r="6" customFormat="false" ht="18" hidden="false" customHeight="true" outlineLevel="0" collapsed="false">
      <c r="A6" s="64" t="n">
        <v>1</v>
      </c>
      <c r="B6" s="65" t="s">
        <v>189</v>
      </c>
      <c r="C6" s="65"/>
      <c r="D6" s="58" t="s">
        <v>190</v>
      </c>
      <c r="E6" s="58"/>
      <c r="F6" s="58"/>
      <c r="G6" s="58"/>
      <c r="H6" s="58"/>
      <c r="I6" s="58"/>
      <c r="J6" s="58"/>
      <c r="K6" s="66" t="s">
        <v>107</v>
      </c>
      <c r="L6" s="66"/>
      <c r="M6" s="66"/>
      <c r="N6" s="67"/>
      <c r="O6" s="67" t="s">
        <v>108</v>
      </c>
      <c r="P6" s="67"/>
      <c r="Q6" s="68" t="str">
        <f aca="false">IF(IF(OR($K6="",$K6="Manual"),"",IF(LEFT($K6,4)="GPS:",IFERROR(CHOOSE(MATCH($K6,Lists!$G$3:$G$8,0),GPS!$G$6,GPS!$G$7,GPS!$G$8,GPS!$G$9,GPS!$G$10,GPS!$G$11),""),IFERROR(IF($N6="LSI",INDEX($I$109:$I$132,MATCH($K6,$C$109:$C$132,0)),IF($N6="L",INDEX($G$109:$G$132,MATCH($K6,$C$109:$C$132,0)),IF($N6="R",INDEX($H$109:$H$132,MATCH($K6,$C$109:$C$132,0)),IF(Dashboard!$K$5="L",INDEX($G$109:$G$132,MATCH($K6,$C$109:$C$132,0)),IF(Dashboard!$K$5="R",INDEX($H$109:$H$132,MATCH($K6,$C$109:$C$132,0)),""))))),"")))="","",IF(OR($N6="LSI",LEFT($K6,4)="GPS:"),TEXT(IF(OR($K6="",$K6="Manual"),"",IF(LEFT($K6,4)="GPS:",IFERROR(CHOOSE(MATCH($K6,Lists!$G$3:$G$8,0),GPS!$G$6,GPS!$G$7,GPS!$G$8,GPS!$G$9,GPS!$G$10,GPS!$G$11),""),IFERROR(IF($N6="LSI",INDEX($I$109:$I$132,MATCH($K6,$C$109:$C$132,0)),IF($N6="L",INDEX($G$109:$G$132,MATCH($K6,$C$109:$C$132,0)),IF($N6="R",INDEX($H$109:$H$132,MATCH($K6,$C$109:$C$132,0)),IF(Dashboard!$K$5="L",INDEX($G$109:$G$132,MATCH($K6,$C$109:$C$132,0)),IF(Dashboard!$K$5="R",INDEX($H$109:$H$132,MATCH($K6,$C$109:$C$132,0)),""))))),""))),"0%"),TEXT(IF(OR($K6="",$K6="Manual"),"",IF(LEFT($K6,4)="GPS:",IFERROR(CHOOSE(MATCH($K6,Lists!$G$3:$G$8,0),GPS!$G$6,GPS!$G$7,GPS!$G$8,GPS!$G$9,GPS!$G$10,GPS!$G$11),""),IFERROR(IF($N6="LSI",INDEX($I$109:$I$132,MATCH($K6,$C$109:$C$132,0)),IF($N6="L",INDEX($G$109:$G$132,MATCH($K6,$C$109:$C$132,0)),IF($N6="R",INDEX($H$109:$H$132,MATCH($K6,$C$109:$C$132,0)),IF(Dashboard!$K$5="L",INDEX($G$109:$G$132,MATCH($K6,$C$109:$C$132,0)),IF(Dashboard!$K$5="R",INDEX($H$109:$H$132,MATCH($K6,$C$109:$C$132,0)),""))))),""))),"0.0")))</f>
        <v/>
      </c>
      <c r="R6" s="68"/>
      <c r="S6" s="69" t="str">
        <f aca="false">IF(OR(IF(OR($K6="",$K6="Manual"),"",IF(LEFT($K6,4)="GPS:",IFERROR(CHOOSE(MATCH($K6,Lists!$G$3:$G$8,0),GPS!$G$6,GPS!$G$7,GPS!$G$8,GPS!$G$9,GPS!$G$10,GPS!$G$11),""),IFERROR(IF($N6="LSI",INDEX($I$109:$I$132,MATCH($K6,$C$109:$C$132,0)),IF($N6="L",INDEX($G$109:$G$132,MATCH($K6,$C$109:$C$132,0)),IF($N6="R",INDEX($H$109:$H$132,MATCH($K6,$C$109:$C$132,0)),IF(Dashboard!$K$5="L",INDEX($G$109:$G$132,MATCH($K6,$C$109:$C$132,0)),IF(Dashboard!$K$5="R",INDEX($H$109:$H$132,MATCH($K6,$C$109:$C$132,0)),""))))),"")))="",$P6=""),"",IF(IF($O6="≤",IF(OR($K6="",$K6="Manual"),"",IF(LEFT($K6,4)="GPS:",IFERROR(CHOOSE(MATCH($K6,Lists!$G$3:$G$8,0),GPS!$G$6,GPS!$G$7,GPS!$G$8,GPS!$G$9,GPS!$G$10,GPS!$G$11),""),IFERROR(IF($N6="LSI",INDEX($I$109:$I$132,MATCH($K6,$C$109:$C$132,0)),IF($N6="L",INDEX($G$109:$G$132,MATCH($K6,$C$109:$C$132,0)),IF($N6="R",INDEX($H$109:$H$132,MATCH($K6,$C$109:$C$132,0)),IF(Dashboard!$K$5="L",INDEX($G$109:$G$132,MATCH($K6,$C$109:$C$132,0)),IF(Dashboard!$K$5="R",INDEX($H$109:$H$132,MATCH($K6,$C$109:$C$132,0)),""))))),"")))&lt;=$P6,IF(OR($K6="",$K6="Manual"),"",IF(LEFT($K6,4)="GPS:",IFERROR(CHOOSE(MATCH($K6,Lists!$G$3:$G$8,0),GPS!$G$6,GPS!$G$7,GPS!$G$8,GPS!$G$9,GPS!$G$10,GPS!$G$11),""),IFERROR(IF($N6="LSI",INDEX($I$109:$I$132,MATCH($K6,$C$109:$C$132,0)),IF($N6="L",INDEX($G$109:$G$132,MATCH($K6,$C$109:$C$132,0)),IF($N6="R",INDEX($H$109:$H$132,MATCH($K6,$C$109:$C$132,0)),IF(Dashboard!$K$5="L",INDEX($G$109:$G$132,MATCH($K6,$C$109:$C$132,0)),IF(Dashboard!$K$5="R",INDEX($H$109:$H$132,MATCH($K6,$C$109:$C$132,0)),""))))),"")))&gt;=$P6),"MET","NOT MET"))</f>
        <v/>
      </c>
      <c r="T6" s="7"/>
      <c r="U6" s="68" t="str">
        <f aca="false">IF($T6&lt;&gt;"",$T6,IF($S6="MET","Y",IF($S6="NOT MET","N","")))</f>
        <v/>
      </c>
      <c r="V6" s="70" t="str">
        <f aca="false">IF($U6="Y",IFERROR(IF(LEFT($K6,4)="GPS:","",INDEX($J$109:$J$132,MATCH($K6,$C$109:$C$132,0))),""),"")</f>
        <v/>
      </c>
      <c r="W6" s="70"/>
      <c r="X6" s="58"/>
      <c r="Y6" s="58"/>
      <c r="Z6" s="58"/>
      <c r="AA6" s="58"/>
    </row>
    <row r="7" customFormat="false" ht="18" hidden="false" customHeight="true" outlineLevel="0" collapsed="false">
      <c r="A7" s="64" t="n">
        <v>2</v>
      </c>
      <c r="B7" s="65"/>
      <c r="C7" s="65"/>
      <c r="D7" s="58" t="s">
        <v>191</v>
      </c>
      <c r="E7" s="58"/>
      <c r="F7" s="58"/>
      <c r="G7" s="58"/>
      <c r="H7" s="58"/>
      <c r="I7" s="58"/>
      <c r="J7" s="58"/>
      <c r="K7" s="66" t="s">
        <v>192</v>
      </c>
      <c r="L7" s="66"/>
      <c r="M7" s="66"/>
      <c r="N7" s="67" t="s">
        <v>50</v>
      </c>
      <c r="O7" s="67" t="s">
        <v>108</v>
      </c>
      <c r="P7" s="67" t="n">
        <v>0.8</v>
      </c>
      <c r="Q7" s="68" t="str">
        <f aca="false">IF(IF(OR($K7="",$K7="Manual"),"",IF(LEFT($K7,4)="GPS:",IFERROR(CHOOSE(MATCH($K7,Lists!$G$3:$G$8,0),GPS!$G$6,GPS!$G$7,GPS!$G$8,GPS!$G$9,GPS!$G$10,GPS!$G$11),""),IFERROR(IF($N7="LSI",INDEX($I$109:$I$132,MATCH($K7,$C$109:$C$132,0)),IF($N7="L",INDEX($G$109:$G$132,MATCH($K7,$C$109:$C$132,0)),IF($N7="R",INDEX($H$109:$H$132,MATCH($K7,$C$109:$C$132,0)),IF(Dashboard!$K$5="L",INDEX($G$109:$G$132,MATCH($K7,$C$109:$C$132,0)),IF(Dashboard!$K$5="R",INDEX($H$109:$H$132,MATCH($K7,$C$109:$C$132,0)),""))))),"")))="","",IF(OR($N7="LSI",LEFT($K7,4)="GPS:"),TEXT(IF(OR($K7="",$K7="Manual"),"",IF(LEFT($K7,4)="GPS:",IFERROR(CHOOSE(MATCH($K7,Lists!$G$3:$G$8,0),GPS!$G$6,GPS!$G$7,GPS!$G$8,GPS!$G$9,GPS!$G$10,GPS!$G$11),""),IFERROR(IF($N7="LSI",INDEX($I$109:$I$132,MATCH($K7,$C$109:$C$132,0)),IF($N7="L",INDEX($G$109:$G$132,MATCH($K7,$C$109:$C$132,0)),IF($N7="R",INDEX($H$109:$H$132,MATCH($K7,$C$109:$C$132,0)),IF(Dashboard!$K$5="L",INDEX($G$109:$G$132,MATCH($K7,$C$109:$C$132,0)),IF(Dashboard!$K$5="R",INDEX($H$109:$H$132,MATCH($K7,$C$109:$C$132,0)),""))))),""))),"0%"),TEXT(IF(OR($K7="",$K7="Manual"),"",IF(LEFT($K7,4)="GPS:",IFERROR(CHOOSE(MATCH($K7,Lists!$G$3:$G$8,0),GPS!$G$6,GPS!$G$7,GPS!$G$8,GPS!$G$9,GPS!$G$10,GPS!$G$11),""),IFERROR(IF($N7="LSI",INDEX($I$109:$I$132,MATCH($K7,$C$109:$C$132,0)),IF($N7="L",INDEX($G$109:$G$132,MATCH($K7,$C$109:$C$132,0)),IF($N7="R",INDEX($H$109:$H$132,MATCH($K7,$C$109:$C$132,0)),IF(Dashboard!$K$5="L",INDEX($G$109:$G$132,MATCH($K7,$C$109:$C$132,0)),IF(Dashboard!$K$5="R",INDEX($H$109:$H$132,MATCH($K7,$C$109:$C$132,0)),""))))),""))),"0.0")))</f>
        <v/>
      </c>
      <c r="R7" s="68"/>
      <c r="S7" s="69" t="str">
        <f aca="false">IF(OR(IF(OR($K7="",$K7="Manual"),"",IF(LEFT($K7,4)="GPS:",IFERROR(CHOOSE(MATCH($K7,Lists!$G$3:$G$8,0),GPS!$G$6,GPS!$G$7,GPS!$G$8,GPS!$G$9,GPS!$G$10,GPS!$G$11),""),IFERROR(IF($N7="LSI",INDEX($I$109:$I$132,MATCH($K7,$C$109:$C$132,0)),IF($N7="L",INDEX($G$109:$G$132,MATCH($K7,$C$109:$C$132,0)),IF($N7="R",INDEX($H$109:$H$132,MATCH($K7,$C$109:$C$132,0)),IF(Dashboard!$K$5="L",INDEX($G$109:$G$132,MATCH($K7,$C$109:$C$132,0)),IF(Dashboard!$K$5="R",INDEX($H$109:$H$132,MATCH($K7,$C$109:$C$132,0)),""))))),"")))="",$P7=""),"",IF(IF($O7="≤",IF(OR($K7="",$K7="Manual"),"",IF(LEFT($K7,4)="GPS:",IFERROR(CHOOSE(MATCH($K7,Lists!$G$3:$G$8,0),GPS!$G$6,GPS!$G$7,GPS!$G$8,GPS!$G$9,GPS!$G$10,GPS!$G$11),""),IFERROR(IF($N7="LSI",INDEX($I$109:$I$132,MATCH($K7,$C$109:$C$132,0)),IF($N7="L",INDEX($G$109:$G$132,MATCH($K7,$C$109:$C$132,0)),IF($N7="R",INDEX($H$109:$H$132,MATCH($K7,$C$109:$C$132,0)),IF(Dashboard!$K$5="L",INDEX($G$109:$G$132,MATCH($K7,$C$109:$C$132,0)),IF(Dashboard!$K$5="R",INDEX($H$109:$H$132,MATCH($K7,$C$109:$C$132,0)),""))))),"")))&lt;=$P7,IF(OR($K7="",$K7="Manual"),"",IF(LEFT($K7,4)="GPS:",IFERROR(CHOOSE(MATCH($K7,Lists!$G$3:$G$8,0),GPS!$G$6,GPS!$G$7,GPS!$G$8,GPS!$G$9,GPS!$G$10,GPS!$G$11),""),IFERROR(IF($N7="LSI",INDEX($I$109:$I$132,MATCH($K7,$C$109:$C$132,0)),IF($N7="L",INDEX($G$109:$G$132,MATCH($K7,$C$109:$C$132,0)),IF($N7="R",INDEX($H$109:$H$132,MATCH($K7,$C$109:$C$132,0)),IF(Dashboard!$K$5="L",INDEX($G$109:$G$132,MATCH($K7,$C$109:$C$132,0)),IF(Dashboard!$K$5="R",INDEX($H$109:$H$132,MATCH($K7,$C$109:$C$132,0)),""))))),"")))&gt;=$P7),"MET","NOT MET"))</f>
        <v/>
      </c>
      <c r="T7" s="7"/>
      <c r="U7" s="68" t="str">
        <f aca="false">IF($T7&lt;&gt;"",$T7,IF($S7="MET","Y",IF($S7="NOT MET","N","")))</f>
        <v/>
      </c>
      <c r="V7" s="70" t="str">
        <f aca="false">IF($U7="Y",IFERROR(IF(LEFT($K7,4)="GPS:","",INDEX($J$109:$J$132,MATCH($K7,$C$109:$C$132,0))),""),"")</f>
        <v/>
      </c>
      <c r="W7" s="70"/>
      <c r="X7" s="58"/>
      <c r="Y7" s="58"/>
      <c r="Z7" s="58"/>
      <c r="AA7" s="58"/>
    </row>
    <row r="8" customFormat="false" ht="18" hidden="false" customHeight="true" outlineLevel="0" collapsed="false">
      <c r="A8" s="64" t="n">
        <v>3</v>
      </c>
      <c r="B8" s="65"/>
      <c r="C8" s="65"/>
      <c r="D8" s="58"/>
      <c r="E8" s="58"/>
      <c r="F8" s="58"/>
      <c r="G8" s="58"/>
      <c r="H8" s="58"/>
      <c r="I8" s="58"/>
      <c r="J8" s="58"/>
      <c r="K8" s="66"/>
      <c r="L8" s="66"/>
      <c r="M8" s="66"/>
      <c r="N8" s="67"/>
      <c r="O8" s="67" t="s">
        <v>108</v>
      </c>
      <c r="P8" s="67"/>
      <c r="Q8" s="68" t="str">
        <f aca="false">IF(IF(OR($K8="",$K8="Manual"),"",IF(LEFT($K8,4)="GPS:",IFERROR(CHOOSE(MATCH($K8,Lists!$G$3:$G$8,0),GPS!$G$6,GPS!$G$7,GPS!$G$8,GPS!$G$9,GPS!$G$10,GPS!$G$11),""),IFERROR(IF($N8="LSI",INDEX($I$109:$I$132,MATCH($K8,$C$109:$C$132,0)),IF($N8="L",INDEX($G$109:$G$132,MATCH($K8,$C$109:$C$132,0)),IF($N8="R",INDEX($H$109:$H$132,MATCH($K8,$C$109:$C$132,0)),IF(Dashboard!$K$5="L",INDEX($G$109:$G$132,MATCH($K8,$C$109:$C$132,0)),IF(Dashboard!$K$5="R",INDEX($H$109:$H$132,MATCH($K8,$C$109:$C$132,0)),""))))),"")))="","",IF(OR($N8="LSI",LEFT($K8,4)="GPS:"),TEXT(IF(OR($K8="",$K8="Manual"),"",IF(LEFT($K8,4)="GPS:",IFERROR(CHOOSE(MATCH($K8,Lists!$G$3:$G$8,0),GPS!$G$6,GPS!$G$7,GPS!$G$8,GPS!$G$9,GPS!$G$10,GPS!$G$11),""),IFERROR(IF($N8="LSI",INDEX($I$109:$I$132,MATCH($K8,$C$109:$C$132,0)),IF($N8="L",INDEX($G$109:$G$132,MATCH($K8,$C$109:$C$132,0)),IF($N8="R",INDEX($H$109:$H$132,MATCH($K8,$C$109:$C$132,0)),IF(Dashboard!$K$5="L",INDEX($G$109:$G$132,MATCH($K8,$C$109:$C$132,0)),IF(Dashboard!$K$5="R",INDEX($H$109:$H$132,MATCH($K8,$C$109:$C$132,0)),""))))),""))),"0%"),TEXT(IF(OR($K8="",$K8="Manual"),"",IF(LEFT($K8,4)="GPS:",IFERROR(CHOOSE(MATCH($K8,Lists!$G$3:$G$8,0),GPS!$G$6,GPS!$G$7,GPS!$G$8,GPS!$G$9,GPS!$G$10,GPS!$G$11),""),IFERROR(IF($N8="LSI",INDEX($I$109:$I$132,MATCH($K8,$C$109:$C$132,0)),IF($N8="L",INDEX($G$109:$G$132,MATCH($K8,$C$109:$C$132,0)),IF($N8="R",INDEX($H$109:$H$132,MATCH($K8,$C$109:$C$132,0)),IF(Dashboard!$K$5="L",INDEX($G$109:$G$132,MATCH($K8,$C$109:$C$132,0)),IF(Dashboard!$K$5="R",INDEX($H$109:$H$132,MATCH($K8,$C$109:$C$132,0)),""))))),""))),"0.0")))</f>
        <v/>
      </c>
      <c r="R8" s="68"/>
      <c r="S8" s="69" t="str">
        <f aca="false">IF(OR(IF(OR($K8="",$K8="Manual"),"",IF(LEFT($K8,4)="GPS:",IFERROR(CHOOSE(MATCH($K8,Lists!$G$3:$G$8,0),GPS!$G$6,GPS!$G$7,GPS!$G$8,GPS!$G$9,GPS!$G$10,GPS!$G$11),""),IFERROR(IF($N8="LSI",INDEX($I$109:$I$132,MATCH($K8,$C$109:$C$132,0)),IF($N8="L",INDEX($G$109:$G$132,MATCH($K8,$C$109:$C$132,0)),IF($N8="R",INDEX($H$109:$H$132,MATCH($K8,$C$109:$C$132,0)),IF(Dashboard!$K$5="L",INDEX($G$109:$G$132,MATCH($K8,$C$109:$C$132,0)),IF(Dashboard!$K$5="R",INDEX($H$109:$H$132,MATCH($K8,$C$109:$C$132,0)),""))))),"")))="",$P8=""),"",IF(IF($O8="≤",IF(OR($K8="",$K8="Manual"),"",IF(LEFT($K8,4)="GPS:",IFERROR(CHOOSE(MATCH($K8,Lists!$G$3:$G$8,0),GPS!$G$6,GPS!$G$7,GPS!$G$8,GPS!$G$9,GPS!$G$10,GPS!$G$11),""),IFERROR(IF($N8="LSI",INDEX($I$109:$I$132,MATCH($K8,$C$109:$C$132,0)),IF($N8="L",INDEX($G$109:$G$132,MATCH($K8,$C$109:$C$132,0)),IF($N8="R",INDEX($H$109:$H$132,MATCH($K8,$C$109:$C$132,0)),IF(Dashboard!$K$5="L",INDEX($G$109:$G$132,MATCH($K8,$C$109:$C$132,0)),IF(Dashboard!$K$5="R",INDEX($H$109:$H$132,MATCH($K8,$C$109:$C$132,0)),""))))),"")))&lt;=$P8,IF(OR($K8="",$K8="Manual"),"",IF(LEFT($K8,4)="GPS:",IFERROR(CHOOSE(MATCH($K8,Lists!$G$3:$G$8,0),GPS!$G$6,GPS!$G$7,GPS!$G$8,GPS!$G$9,GPS!$G$10,GPS!$G$11),""),IFERROR(IF($N8="LSI",INDEX($I$109:$I$132,MATCH($K8,$C$109:$C$132,0)),IF($N8="L",INDEX($G$109:$G$132,MATCH($K8,$C$109:$C$132,0)),IF($N8="R",INDEX($H$109:$H$132,MATCH($K8,$C$109:$C$132,0)),IF(Dashboard!$K$5="L",INDEX($G$109:$G$132,MATCH($K8,$C$109:$C$132,0)),IF(Dashboard!$K$5="R",INDEX($H$109:$H$132,MATCH($K8,$C$109:$C$132,0)),""))))),"")))&gt;=$P8),"MET","NOT MET"))</f>
        <v/>
      </c>
      <c r="T8" s="7"/>
      <c r="U8" s="68" t="str">
        <f aca="false">IF($T8&lt;&gt;"",$T8,IF($S8="MET","Y",IF($S8="NOT MET","N","")))</f>
        <v/>
      </c>
      <c r="V8" s="70" t="str">
        <f aca="false">IF($U8="Y",IFERROR(IF(LEFT($K8,4)="GPS:","",INDEX($J$109:$J$132,MATCH($K8,$C$109:$C$132,0))),""),"")</f>
        <v/>
      </c>
      <c r="W8" s="70"/>
      <c r="X8" s="58"/>
      <c r="Y8" s="58"/>
      <c r="Z8" s="58"/>
      <c r="AA8" s="58"/>
    </row>
    <row r="9" customFormat="false" ht="18" hidden="false" customHeight="true" outlineLevel="0" collapsed="false">
      <c r="A9" s="64" t="n">
        <v>4</v>
      </c>
      <c r="B9" s="65" t="s">
        <v>193</v>
      </c>
      <c r="C9" s="65"/>
      <c r="D9" s="58" t="s">
        <v>194</v>
      </c>
      <c r="E9" s="58"/>
      <c r="F9" s="58"/>
      <c r="G9" s="58"/>
      <c r="H9" s="58"/>
      <c r="I9" s="58"/>
      <c r="J9" s="58"/>
      <c r="K9" s="66" t="s">
        <v>195</v>
      </c>
      <c r="L9" s="66"/>
      <c r="M9" s="66"/>
      <c r="N9" s="67" t="s">
        <v>50</v>
      </c>
      <c r="O9" s="67" t="s">
        <v>108</v>
      </c>
      <c r="P9" s="67" t="n">
        <v>0.8</v>
      </c>
      <c r="Q9" s="68" t="str">
        <f aca="false">IF(IF(OR($K9="",$K9="Manual"),"",IF(LEFT($K9,4)="GPS:",IFERROR(CHOOSE(MATCH($K9,Lists!$G$3:$G$8,0),GPS!$G$6,GPS!$G$7,GPS!$G$8,GPS!$G$9,GPS!$G$10,GPS!$G$11),""),IFERROR(IF($N9="LSI",INDEX($I$109:$I$132,MATCH($K9,$C$109:$C$132,0)),IF($N9="L",INDEX($G$109:$G$132,MATCH($K9,$C$109:$C$132,0)),IF($N9="R",INDEX($H$109:$H$132,MATCH($K9,$C$109:$C$132,0)),IF(Dashboard!$K$5="L",INDEX($G$109:$G$132,MATCH($K9,$C$109:$C$132,0)),IF(Dashboard!$K$5="R",INDEX($H$109:$H$132,MATCH($K9,$C$109:$C$132,0)),""))))),"")))="","",IF(OR($N9="LSI",LEFT($K9,4)="GPS:"),TEXT(IF(OR($K9="",$K9="Manual"),"",IF(LEFT($K9,4)="GPS:",IFERROR(CHOOSE(MATCH($K9,Lists!$G$3:$G$8,0),GPS!$G$6,GPS!$G$7,GPS!$G$8,GPS!$G$9,GPS!$G$10,GPS!$G$11),""),IFERROR(IF($N9="LSI",INDEX($I$109:$I$132,MATCH($K9,$C$109:$C$132,0)),IF($N9="L",INDEX($G$109:$G$132,MATCH($K9,$C$109:$C$132,0)),IF($N9="R",INDEX($H$109:$H$132,MATCH($K9,$C$109:$C$132,0)),IF(Dashboard!$K$5="L",INDEX($G$109:$G$132,MATCH($K9,$C$109:$C$132,0)),IF(Dashboard!$K$5="R",INDEX($H$109:$H$132,MATCH($K9,$C$109:$C$132,0)),""))))),""))),"0%"),TEXT(IF(OR($K9="",$K9="Manual"),"",IF(LEFT($K9,4)="GPS:",IFERROR(CHOOSE(MATCH($K9,Lists!$G$3:$G$8,0),GPS!$G$6,GPS!$G$7,GPS!$G$8,GPS!$G$9,GPS!$G$10,GPS!$G$11),""),IFERROR(IF($N9="LSI",INDEX($I$109:$I$132,MATCH($K9,$C$109:$C$132,0)),IF($N9="L",INDEX($G$109:$G$132,MATCH($K9,$C$109:$C$132,0)),IF($N9="R",INDEX($H$109:$H$132,MATCH($K9,$C$109:$C$132,0)),IF(Dashboard!$K$5="L",INDEX($G$109:$G$132,MATCH($K9,$C$109:$C$132,0)),IF(Dashboard!$K$5="R",INDEX($H$109:$H$132,MATCH($K9,$C$109:$C$132,0)),""))))),""))),"0.0")))</f>
        <v/>
      </c>
      <c r="R9" s="68"/>
      <c r="S9" s="69" t="str">
        <f aca="false">IF(OR(IF(OR($K9="",$K9="Manual"),"",IF(LEFT($K9,4)="GPS:",IFERROR(CHOOSE(MATCH($K9,Lists!$G$3:$G$8,0),GPS!$G$6,GPS!$G$7,GPS!$G$8,GPS!$G$9,GPS!$G$10,GPS!$G$11),""),IFERROR(IF($N9="LSI",INDEX($I$109:$I$132,MATCH($K9,$C$109:$C$132,0)),IF($N9="L",INDEX($G$109:$G$132,MATCH($K9,$C$109:$C$132,0)),IF($N9="R",INDEX($H$109:$H$132,MATCH($K9,$C$109:$C$132,0)),IF(Dashboard!$K$5="L",INDEX($G$109:$G$132,MATCH($K9,$C$109:$C$132,0)),IF(Dashboard!$K$5="R",INDEX($H$109:$H$132,MATCH($K9,$C$109:$C$132,0)),""))))),"")))="",$P9=""),"",IF(IF($O9="≤",IF(OR($K9="",$K9="Manual"),"",IF(LEFT($K9,4)="GPS:",IFERROR(CHOOSE(MATCH($K9,Lists!$G$3:$G$8,0),GPS!$G$6,GPS!$G$7,GPS!$G$8,GPS!$G$9,GPS!$G$10,GPS!$G$11),""),IFERROR(IF($N9="LSI",INDEX($I$109:$I$132,MATCH($K9,$C$109:$C$132,0)),IF($N9="L",INDEX($G$109:$G$132,MATCH($K9,$C$109:$C$132,0)),IF($N9="R",INDEX($H$109:$H$132,MATCH($K9,$C$109:$C$132,0)),IF(Dashboard!$K$5="L",INDEX($G$109:$G$132,MATCH($K9,$C$109:$C$132,0)),IF(Dashboard!$K$5="R",INDEX($H$109:$H$132,MATCH($K9,$C$109:$C$132,0)),""))))),"")))&lt;=$P9,IF(OR($K9="",$K9="Manual"),"",IF(LEFT($K9,4)="GPS:",IFERROR(CHOOSE(MATCH($K9,Lists!$G$3:$G$8,0),GPS!$G$6,GPS!$G$7,GPS!$G$8,GPS!$G$9,GPS!$G$10,GPS!$G$11),""),IFERROR(IF($N9="LSI",INDEX($I$109:$I$132,MATCH($K9,$C$109:$C$132,0)),IF($N9="L",INDEX($G$109:$G$132,MATCH($K9,$C$109:$C$132,0)),IF($N9="R",INDEX($H$109:$H$132,MATCH($K9,$C$109:$C$132,0)),IF(Dashboard!$K$5="L",INDEX($G$109:$G$132,MATCH($K9,$C$109:$C$132,0)),IF(Dashboard!$K$5="R",INDEX($H$109:$H$132,MATCH($K9,$C$109:$C$132,0)),""))))),"")))&gt;=$P9),"MET","NOT MET"))</f>
        <v/>
      </c>
      <c r="T9" s="7"/>
      <c r="U9" s="68" t="str">
        <f aca="false">IF($T9&lt;&gt;"",$T9,IF($S9="MET","Y",IF($S9="NOT MET","N","")))</f>
        <v/>
      </c>
      <c r="V9" s="70" t="str">
        <f aca="false">IF($U9="Y",IFERROR(IF(LEFT($K9,4)="GPS:","",INDEX($J$109:$J$132,MATCH($K9,$C$109:$C$132,0))),""),"")</f>
        <v/>
      </c>
      <c r="W9" s="70"/>
      <c r="X9" s="58"/>
      <c r="Y9" s="58"/>
      <c r="Z9" s="58"/>
      <c r="AA9" s="58"/>
    </row>
    <row r="10" customFormat="false" ht="18" hidden="false" customHeight="true" outlineLevel="0" collapsed="false">
      <c r="A10" s="64" t="n">
        <v>5</v>
      </c>
      <c r="B10" s="65"/>
      <c r="C10" s="65"/>
      <c r="D10" s="58" t="s">
        <v>196</v>
      </c>
      <c r="E10" s="58"/>
      <c r="F10" s="58"/>
      <c r="G10" s="58"/>
      <c r="H10" s="58"/>
      <c r="I10" s="58"/>
      <c r="J10" s="58"/>
      <c r="K10" s="66" t="s">
        <v>192</v>
      </c>
      <c r="L10" s="66"/>
      <c r="M10" s="66"/>
      <c r="N10" s="67" t="s">
        <v>50</v>
      </c>
      <c r="O10" s="67" t="s">
        <v>108</v>
      </c>
      <c r="P10" s="67" t="n">
        <v>0.9</v>
      </c>
      <c r="Q10" s="68" t="str">
        <f aca="false">IF(IF(OR($K10="",$K10="Manual"),"",IF(LEFT($K10,4)="GPS:",IFERROR(CHOOSE(MATCH($K10,Lists!$G$3:$G$8,0),GPS!$G$6,GPS!$G$7,GPS!$G$8,GPS!$G$9,GPS!$G$10,GPS!$G$11),""),IFERROR(IF($N10="LSI",INDEX($I$109:$I$132,MATCH($K10,$C$109:$C$132,0)),IF($N10="L",INDEX($G$109:$G$132,MATCH($K10,$C$109:$C$132,0)),IF($N10="R",INDEX($H$109:$H$132,MATCH($K10,$C$109:$C$132,0)),IF(Dashboard!$K$5="L",INDEX($G$109:$G$132,MATCH($K10,$C$109:$C$132,0)),IF(Dashboard!$K$5="R",INDEX($H$109:$H$132,MATCH($K10,$C$109:$C$132,0)),""))))),"")))="","",IF(OR($N10="LSI",LEFT($K10,4)="GPS:"),TEXT(IF(OR($K10="",$K10="Manual"),"",IF(LEFT($K10,4)="GPS:",IFERROR(CHOOSE(MATCH($K10,Lists!$G$3:$G$8,0),GPS!$G$6,GPS!$G$7,GPS!$G$8,GPS!$G$9,GPS!$G$10,GPS!$G$11),""),IFERROR(IF($N10="LSI",INDEX($I$109:$I$132,MATCH($K10,$C$109:$C$132,0)),IF($N10="L",INDEX($G$109:$G$132,MATCH($K10,$C$109:$C$132,0)),IF($N10="R",INDEX($H$109:$H$132,MATCH($K10,$C$109:$C$132,0)),IF(Dashboard!$K$5="L",INDEX($G$109:$G$132,MATCH($K10,$C$109:$C$132,0)),IF(Dashboard!$K$5="R",INDEX($H$109:$H$132,MATCH($K10,$C$109:$C$132,0)),""))))),""))),"0%"),TEXT(IF(OR($K10="",$K10="Manual"),"",IF(LEFT($K10,4)="GPS:",IFERROR(CHOOSE(MATCH($K10,Lists!$G$3:$G$8,0),GPS!$G$6,GPS!$G$7,GPS!$G$8,GPS!$G$9,GPS!$G$10,GPS!$G$11),""),IFERROR(IF($N10="LSI",INDEX($I$109:$I$132,MATCH($K10,$C$109:$C$132,0)),IF($N10="L",INDEX($G$109:$G$132,MATCH($K10,$C$109:$C$132,0)),IF($N10="R",INDEX($H$109:$H$132,MATCH($K10,$C$109:$C$132,0)),IF(Dashboard!$K$5="L",INDEX($G$109:$G$132,MATCH($K10,$C$109:$C$132,0)),IF(Dashboard!$K$5="R",INDEX($H$109:$H$132,MATCH($K10,$C$109:$C$132,0)),""))))),""))),"0.0")))</f>
        <v/>
      </c>
      <c r="R10" s="68"/>
      <c r="S10" s="69" t="str">
        <f aca="false">IF(OR(IF(OR($K10="",$K10="Manual"),"",IF(LEFT($K10,4)="GPS:",IFERROR(CHOOSE(MATCH($K10,Lists!$G$3:$G$8,0),GPS!$G$6,GPS!$G$7,GPS!$G$8,GPS!$G$9,GPS!$G$10,GPS!$G$11),""),IFERROR(IF($N10="LSI",INDEX($I$109:$I$132,MATCH($K10,$C$109:$C$132,0)),IF($N10="L",INDEX($G$109:$G$132,MATCH($K10,$C$109:$C$132,0)),IF($N10="R",INDEX($H$109:$H$132,MATCH($K10,$C$109:$C$132,0)),IF(Dashboard!$K$5="L",INDEX($G$109:$G$132,MATCH($K10,$C$109:$C$132,0)),IF(Dashboard!$K$5="R",INDEX($H$109:$H$132,MATCH($K10,$C$109:$C$132,0)),""))))),"")))="",$P10=""),"",IF(IF($O10="≤",IF(OR($K10="",$K10="Manual"),"",IF(LEFT($K10,4)="GPS:",IFERROR(CHOOSE(MATCH($K10,Lists!$G$3:$G$8,0),GPS!$G$6,GPS!$G$7,GPS!$G$8,GPS!$G$9,GPS!$G$10,GPS!$G$11),""),IFERROR(IF($N10="LSI",INDEX($I$109:$I$132,MATCH($K10,$C$109:$C$132,0)),IF($N10="L",INDEX($G$109:$G$132,MATCH($K10,$C$109:$C$132,0)),IF($N10="R",INDEX($H$109:$H$132,MATCH($K10,$C$109:$C$132,0)),IF(Dashboard!$K$5="L",INDEX($G$109:$G$132,MATCH($K10,$C$109:$C$132,0)),IF(Dashboard!$K$5="R",INDEX($H$109:$H$132,MATCH($K10,$C$109:$C$132,0)),""))))),"")))&lt;=$P10,IF(OR($K10="",$K10="Manual"),"",IF(LEFT($K10,4)="GPS:",IFERROR(CHOOSE(MATCH($K10,Lists!$G$3:$G$8,0),GPS!$G$6,GPS!$G$7,GPS!$G$8,GPS!$G$9,GPS!$G$10,GPS!$G$11),""),IFERROR(IF($N10="LSI",INDEX($I$109:$I$132,MATCH($K10,$C$109:$C$132,0)),IF($N10="L",INDEX($G$109:$G$132,MATCH($K10,$C$109:$C$132,0)),IF($N10="R",INDEX($H$109:$H$132,MATCH($K10,$C$109:$C$132,0)),IF(Dashboard!$K$5="L",INDEX($G$109:$G$132,MATCH($K10,$C$109:$C$132,0)),IF(Dashboard!$K$5="R",INDEX($H$109:$H$132,MATCH($K10,$C$109:$C$132,0)),""))))),"")))&gt;=$P10),"MET","NOT MET"))</f>
        <v/>
      </c>
      <c r="T10" s="7"/>
      <c r="U10" s="68" t="str">
        <f aca="false">IF($T10&lt;&gt;"",$T10,IF($S10="MET","Y",IF($S10="NOT MET","N","")))</f>
        <v/>
      </c>
      <c r="V10" s="70" t="str">
        <f aca="false">IF($U10="Y",IFERROR(IF(LEFT($K10,4)="GPS:","",INDEX($J$109:$J$132,MATCH($K10,$C$109:$C$132,0))),""),"")</f>
        <v/>
      </c>
      <c r="W10" s="70"/>
      <c r="X10" s="58"/>
      <c r="Y10" s="58"/>
      <c r="Z10" s="58"/>
      <c r="AA10" s="58"/>
    </row>
    <row r="11" customFormat="false" ht="18" hidden="false" customHeight="true" outlineLevel="0" collapsed="false">
      <c r="A11" s="64" t="n">
        <v>6</v>
      </c>
      <c r="B11" s="65"/>
      <c r="C11" s="65"/>
      <c r="D11" s="58" t="s">
        <v>197</v>
      </c>
      <c r="E11" s="58"/>
      <c r="F11" s="58"/>
      <c r="G11" s="58"/>
      <c r="H11" s="58"/>
      <c r="I11" s="58"/>
      <c r="J11" s="58"/>
      <c r="K11" s="66" t="s">
        <v>107</v>
      </c>
      <c r="L11" s="66"/>
      <c r="M11" s="66"/>
      <c r="N11" s="67"/>
      <c r="O11" s="67" t="s">
        <v>108</v>
      </c>
      <c r="P11" s="67"/>
      <c r="Q11" s="68" t="str">
        <f aca="false">IF(IF(OR($K11="",$K11="Manual"),"",IF(LEFT($K11,4)="GPS:",IFERROR(CHOOSE(MATCH($K11,Lists!$G$3:$G$8,0),GPS!$G$6,GPS!$G$7,GPS!$G$8,GPS!$G$9,GPS!$G$10,GPS!$G$11),""),IFERROR(IF($N11="LSI",INDEX($I$109:$I$132,MATCH($K11,$C$109:$C$132,0)),IF($N11="L",INDEX($G$109:$G$132,MATCH($K11,$C$109:$C$132,0)),IF($N11="R",INDEX($H$109:$H$132,MATCH($K11,$C$109:$C$132,0)),IF(Dashboard!$K$5="L",INDEX($G$109:$G$132,MATCH($K11,$C$109:$C$132,0)),IF(Dashboard!$K$5="R",INDEX($H$109:$H$132,MATCH($K11,$C$109:$C$132,0)),""))))),"")))="","",IF(OR($N11="LSI",LEFT($K11,4)="GPS:"),TEXT(IF(OR($K11="",$K11="Manual"),"",IF(LEFT($K11,4)="GPS:",IFERROR(CHOOSE(MATCH($K11,Lists!$G$3:$G$8,0),GPS!$G$6,GPS!$G$7,GPS!$G$8,GPS!$G$9,GPS!$G$10,GPS!$G$11),""),IFERROR(IF($N11="LSI",INDEX($I$109:$I$132,MATCH($K11,$C$109:$C$132,0)),IF($N11="L",INDEX($G$109:$G$132,MATCH($K11,$C$109:$C$132,0)),IF($N11="R",INDEX($H$109:$H$132,MATCH($K11,$C$109:$C$132,0)),IF(Dashboard!$K$5="L",INDEX($G$109:$G$132,MATCH($K11,$C$109:$C$132,0)),IF(Dashboard!$K$5="R",INDEX($H$109:$H$132,MATCH($K11,$C$109:$C$132,0)),""))))),""))),"0%"),TEXT(IF(OR($K11="",$K11="Manual"),"",IF(LEFT($K11,4)="GPS:",IFERROR(CHOOSE(MATCH($K11,Lists!$G$3:$G$8,0),GPS!$G$6,GPS!$G$7,GPS!$G$8,GPS!$G$9,GPS!$G$10,GPS!$G$11),""),IFERROR(IF($N11="LSI",INDEX($I$109:$I$132,MATCH($K11,$C$109:$C$132,0)),IF($N11="L",INDEX($G$109:$G$132,MATCH($K11,$C$109:$C$132,0)),IF($N11="R",INDEX($H$109:$H$132,MATCH($K11,$C$109:$C$132,0)),IF(Dashboard!$K$5="L",INDEX($G$109:$G$132,MATCH($K11,$C$109:$C$132,0)),IF(Dashboard!$K$5="R",INDEX($H$109:$H$132,MATCH($K11,$C$109:$C$132,0)),""))))),""))),"0.0")))</f>
        <v/>
      </c>
      <c r="R11" s="68"/>
      <c r="S11" s="69" t="str">
        <f aca="false">IF(OR(IF(OR($K11="",$K11="Manual"),"",IF(LEFT($K11,4)="GPS:",IFERROR(CHOOSE(MATCH($K11,Lists!$G$3:$G$8,0),GPS!$G$6,GPS!$G$7,GPS!$G$8,GPS!$G$9,GPS!$G$10,GPS!$G$11),""),IFERROR(IF($N11="LSI",INDEX($I$109:$I$132,MATCH($K11,$C$109:$C$132,0)),IF($N11="L",INDEX($G$109:$G$132,MATCH($K11,$C$109:$C$132,0)),IF($N11="R",INDEX($H$109:$H$132,MATCH($K11,$C$109:$C$132,0)),IF(Dashboard!$K$5="L",INDEX($G$109:$G$132,MATCH($K11,$C$109:$C$132,0)),IF(Dashboard!$K$5="R",INDEX($H$109:$H$132,MATCH($K11,$C$109:$C$132,0)),""))))),"")))="",$P11=""),"",IF(IF($O11="≤",IF(OR($K11="",$K11="Manual"),"",IF(LEFT($K11,4)="GPS:",IFERROR(CHOOSE(MATCH($K11,Lists!$G$3:$G$8,0),GPS!$G$6,GPS!$G$7,GPS!$G$8,GPS!$G$9,GPS!$G$10,GPS!$G$11),""),IFERROR(IF($N11="LSI",INDEX($I$109:$I$132,MATCH($K11,$C$109:$C$132,0)),IF($N11="L",INDEX($G$109:$G$132,MATCH($K11,$C$109:$C$132,0)),IF($N11="R",INDEX($H$109:$H$132,MATCH($K11,$C$109:$C$132,0)),IF(Dashboard!$K$5="L",INDEX($G$109:$G$132,MATCH($K11,$C$109:$C$132,0)),IF(Dashboard!$K$5="R",INDEX($H$109:$H$132,MATCH($K11,$C$109:$C$132,0)),""))))),"")))&lt;=$P11,IF(OR($K11="",$K11="Manual"),"",IF(LEFT($K11,4)="GPS:",IFERROR(CHOOSE(MATCH($K11,Lists!$G$3:$G$8,0),GPS!$G$6,GPS!$G$7,GPS!$G$8,GPS!$G$9,GPS!$G$10,GPS!$G$11),""),IFERROR(IF($N11="LSI",INDEX($I$109:$I$132,MATCH($K11,$C$109:$C$132,0)),IF($N11="L",INDEX($G$109:$G$132,MATCH($K11,$C$109:$C$132,0)),IF($N11="R",INDEX($H$109:$H$132,MATCH($K11,$C$109:$C$132,0)),IF(Dashboard!$K$5="L",INDEX($G$109:$G$132,MATCH($K11,$C$109:$C$132,0)),IF(Dashboard!$K$5="R",INDEX($H$109:$H$132,MATCH($K11,$C$109:$C$132,0)),""))))),"")))&gt;=$P11),"MET","NOT MET"))</f>
        <v/>
      </c>
      <c r="T11" s="7"/>
      <c r="U11" s="68" t="str">
        <f aca="false">IF($T11&lt;&gt;"",$T11,IF($S11="MET","Y",IF($S11="NOT MET","N","")))</f>
        <v/>
      </c>
      <c r="V11" s="70" t="str">
        <f aca="false">IF($U11="Y",IFERROR(IF(LEFT($K11,4)="GPS:","",INDEX($J$109:$J$132,MATCH($K11,$C$109:$C$132,0))),""),"")</f>
        <v/>
      </c>
      <c r="W11" s="70"/>
      <c r="X11" s="58"/>
      <c r="Y11" s="58"/>
      <c r="Z11" s="58"/>
      <c r="AA11" s="58"/>
    </row>
    <row r="12" customFormat="false" ht="18" hidden="false" customHeight="true" outlineLevel="0" collapsed="false">
      <c r="A12" s="64" t="n">
        <v>7</v>
      </c>
      <c r="B12" s="65" t="s">
        <v>198</v>
      </c>
      <c r="C12" s="65"/>
      <c r="D12" s="58" t="s">
        <v>199</v>
      </c>
      <c r="E12" s="58"/>
      <c r="F12" s="58"/>
      <c r="G12" s="58"/>
      <c r="H12" s="58"/>
      <c r="I12" s="58"/>
      <c r="J12" s="58"/>
      <c r="K12" s="66" t="s">
        <v>200</v>
      </c>
      <c r="L12" s="66"/>
      <c r="M12" s="66"/>
      <c r="N12" s="67" t="s">
        <v>50</v>
      </c>
      <c r="O12" s="67" t="s">
        <v>108</v>
      </c>
      <c r="P12" s="67" t="n">
        <v>0.8</v>
      </c>
      <c r="Q12" s="68" t="str">
        <f aca="false">IF(IF(OR($K12="",$K12="Manual"),"",IF(LEFT($K12,4)="GPS:",IFERROR(CHOOSE(MATCH($K12,Lists!$G$3:$G$8,0),GPS!$G$6,GPS!$G$7,GPS!$G$8,GPS!$G$9,GPS!$G$10,GPS!$G$11),""),IFERROR(IF($N12="LSI",INDEX($I$109:$I$132,MATCH($K12,$C$109:$C$132,0)),IF($N12="L",INDEX($G$109:$G$132,MATCH($K12,$C$109:$C$132,0)),IF($N12="R",INDEX($H$109:$H$132,MATCH($K12,$C$109:$C$132,0)),IF(Dashboard!$K$5="L",INDEX($G$109:$G$132,MATCH($K12,$C$109:$C$132,0)),IF(Dashboard!$K$5="R",INDEX($H$109:$H$132,MATCH($K12,$C$109:$C$132,0)),""))))),"")))="","",IF(OR($N12="LSI",LEFT($K12,4)="GPS:"),TEXT(IF(OR($K12="",$K12="Manual"),"",IF(LEFT($K12,4)="GPS:",IFERROR(CHOOSE(MATCH($K12,Lists!$G$3:$G$8,0),GPS!$G$6,GPS!$G$7,GPS!$G$8,GPS!$G$9,GPS!$G$10,GPS!$G$11),""),IFERROR(IF($N12="LSI",INDEX($I$109:$I$132,MATCH($K12,$C$109:$C$132,0)),IF($N12="L",INDEX($G$109:$G$132,MATCH($K12,$C$109:$C$132,0)),IF($N12="R",INDEX($H$109:$H$132,MATCH($K12,$C$109:$C$132,0)),IF(Dashboard!$K$5="L",INDEX($G$109:$G$132,MATCH($K12,$C$109:$C$132,0)),IF(Dashboard!$K$5="R",INDEX($H$109:$H$132,MATCH($K12,$C$109:$C$132,0)),""))))),""))),"0%"),TEXT(IF(OR($K12="",$K12="Manual"),"",IF(LEFT($K12,4)="GPS:",IFERROR(CHOOSE(MATCH($K12,Lists!$G$3:$G$8,0),GPS!$G$6,GPS!$G$7,GPS!$G$8,GPS!$G$9,GPS!$G$10,GPS!$G$11),""),IFERROR(IF($N12="LSI",INDEX($I$109:$I$132,MATCH($K12,$C$109:$C$132,0)),IF($N12="L",INDEX($G$109:$G$132,MATCH($K12,$C$109:$C$132,0)),IF($N12="R",INDEX($H$109:$H$132,MATCH($K12,$C$109:$C$132,0)),IF(Dashboard!$K$5="L",INDEX($G$109:$G$132,MATCH($K12,$C$109:$C$132,0)),IF(Dashboard!$K$5="R",INDEX($H$109:$H$132,MATCH($K12,$C$109:$C$132,0)),""))))),""))),"0.0")))</f>
        <v/>
      </c>
      <c r="R12" s="68"/>
      <c r="S12" s="69" t="str">
        <f aca="false">IF(OR(IF(OR($K12="",$K12="Manual"),"",IF(LEFT($K12,4)="GPS:",IFERROR(CHOOSE(MATCH($K12,Lists!$G$3:$G$8,0),GPS!$G$6,GPS!$G$7,GPS!$G$8,GPS!$G$9,GPS!$G$10,GPS!$G$11),""),IFERROR(IF($N12="LSI",INDEX($I$109:$I$132,MATCH($K12,$C$109:$C$132,0)),IF($N12="L",INDEX($G$109:$G$132,MATCH($K12,$C$109:$C$132,0)),IF($N12="R",INDEX($H$109:$H$132,MATCH($K12,$C$109:$C$132,0)),IF(Dashboard!$K$5="L",INDEX($G$109:$G$132,MATCH($K12,$C$109:$C$132,0)),IF(Dashboard!$K$5="R",INDEX($H$109:$H$132,MATCH($K12,$C$109:$C$132,0)),""))))),"")))="",$P12=""),"",IF(IF($O12="≤",IF(OR($K12="",$K12="Manual"),"",IF(LEFT($K12,4)="GPS:",IFERROR(CHOOSE(MATCH($K12,Lists!$G$3:$G$8,0),GPS!$G$6,GPS!$G$7,GPS!$G$8,GPS!$G$9,GPS!$G$10,GPS!$G$11),""),IFERROR(IF($N12="LSI",INDEX($I$109:$I$132,MATCH($K12,$C$109:$C$132,0)),IF($N12="L",INDEX($G$109:$G$132,MATCH($K12,$C$109:$C$132,0)),IF($N12="R",INDEX($H$109:$H$132,MATCH($K12,$C$109:$C$132,0)),IF(Dashboard!$K$5="L",INDEX($G$109:$G$132,MATCH($K12,$C$109:$C$132,0)),IF(Dashboard!$K$5="R",INDEX($H$109:$H$132,MATCH($K12,$C$109:$C$132,0)),""))))),"")))&lt;=$P12,IF(OR($K12="",$K12="Manual"),"",IF(LEFT($K12,4)="GPS:",IFERROR(CHOOSE(MATCH($K12,Lists!$G$3:$G$8,0),GPS!$G$6,GPS!$G$7,GPS!$G$8,GPS!$G$9,GPS!$G$10,GPS!$G$11),""),IFERROR(IF($N12="LSI",INDEX($I$109:$I$132,MATCH($K12,$C$109:$C$132,0)),IF($N12="L",INDEX($G$109:$G$132,MATCH($K12,$C$109:$C$132,0)),IF($N12="R",INDEX($H$109:$H$132,MATCH($K12,$C$109:$C$132,0)),IF(Dashboard!$K$5="L",INDEX($G$109:$G$132,MATCH($K12,$C$109:$C$132,0)),IF(Dashboard!$K$5="R",INDEX($H$109:$H$132,MATCH($K12,$C$109:$C$132,0)),""))))),"")))&gt;=$P12),"MET","NOT MET"))</f>
        <v/>
      </c>
      <c r="T12" s="7"/>
      <c r="U12" s="68" t="str">
        <f aca="false">IF($T12&lt;&gt;"",$T12,IF($S12="MET","Y",IF($S12="NOT MET","N","")))</f>
        <v/>
      </c>
      <c r="V12" s="70" t="str">
        <f aca="false">IF($U12="Y",IFERROR(IF(LEFT($K12,4)="GPS:","",INDEX($J$109:$J$132,MATCH($K12,$C$109:$C$132,0))),""),"")</f>
        <v/>
      </c>
      <c r="W12" s="70"/>
      <c r="X12" s="58"/>
      <c r="Y12" s="58"/>
      <c r="Z12" s="58"/>
      <c r="AA12" s="58"/>
    </row>
    <row r="13" customFormat="false" ht="18" hidden="false" customHeight="true" outlineLevel="0" collapsed="false">
      <c r="A13" s="64" t="n">
        <v>8</v>
      </c>
      <c r="B13" s="65"/>
      <c r="C13" s="65"/>
      <c r="D13" s="58" t="s">
        <v>201</v>
      </c>
      <c r="E13" s="58"/>
      <c r="F13" s="58"/>
      <c r="G13" s="58"/>
      <c r="H13" s="58"/>
      <c r="I13" s="58"/>
      <c r="J13" s="58"/>
      <c r="K13" s="66" t="s">
        <v>202</v>
      </c>
      <c r="L13" s="66"/>
      <c r="M13" s="66"/>
      <c r="N13" s="67" t="s">
        <v>50</v>
      </c>
      <c r="O13" s="67" t="s">
        <v>108</v>
      </c>
      <c r="P13" s="67" t="n">
        <v>0.85</v>
      </c>
      <c r="Q13" s="68" t="str">
        <f aca="false">IF(IF(OR($K13="",$K13="Manual"),"",IF(LEFT($K13,4)="GPS:",IFERROR(CHOOSE(MATCH($K13,Lists!$G$3:$G$8,0),GPS!$G$6,GPS!$G$7,GPS!$G$8,GPS!$G$9,GPS!$G$10,GPS!$G$11),""),IFERROR(IF($N13="LSI",INDEX($I$109:$I$132,MATCH($K13,$C$109:$C$132,0)),IF($N13="L",INDEX($G$109:$G$132,MATCH($K13,$C$109:$C$132,0)),IF($N13="R",INDEX($H$109:$H$132,MATCH($K13,$C$109:$C$132,0)),IF(Dashboard!$K$5="L",INDEX($G$109:$G$132,MATCH($K13,$C$109:$C$132,0)),IF(Dashboard!$K$5="R",INDEX($H$109:$H$132,MATCH($K13,$C$109:$C$132,0)),""))))),"")))="","",IF(OR($N13="LSI",LEFT($K13,4)="GPS:"),TEXT(IF(OR($K13="",$K13="Manual"),"",IF(LEFT($K13,4)="GPS:",IFERROR(CHOOSE(MATCH($K13,Lists!$G$3:$G$8,0),GPS!$G$6,GPS!$G$7,GPS!$G$8,GPS!$G$9,GPS!$G$10,GPS!$G$11),""),IFERROR(IF($N13="LSI",INDEX($I$109:$I$132,MATCH($K13,$C$109:$C$132,0)),IF($N13="L",INDEX($G$109:$G$132,MATCH($K13,$C$109:$C$132,0)),IF($N13="R",INDEX($H$109:$H$132,MATCH($K13,$C$109:$C$132,0)),IF(Dashboard!$K$5="L",INDEX($G$109:$G$132,MATCH($K13,$C$109:$C$132,0)),IF(Dashboard!$K$5="R",INDEX($H$109:$H$132,MATCH($K13,$C$109:$C$132,0)),""))))),""))),"0%"),TEXT(IF(OR($K13="",$K13="Manual"),"",IF(LEFT($K13,4)="GPS:",IFERROR(CHOOSE(MATCH($K13,Lists!$G$3:$G$8,0),GPS!$G$6,GPS!$G$7,GPS!$G$8,GPS!$G$9,GPS!$G$10,GPS!$G$11),""),IFERROR(IF($N13="LSI",INDEX($I$109:$I$132,MATCH($K13,$C$109:$C$132,0)),IF($N13="L",INDEX($G$109:$G$132,MATCH($K13,$C$109:$C$132,0)),IF($N13="R",INDEX($H$109:$H$132,MATCH($K13,$C$109:$C$132,0)),IF(Dashboard!$K$5="L",INDEX($G$109:$G$132,MATCH($K13,$C$109:$C$132,0)),IF(Dashboard!$K$5="R",INDEX($H$109:$H$132,MATCH($K13,$C$109:$C$132,0)),""))))),""))),"0.0")))</f>
        <v/>
      </c>
      <c r="R13" s="68"/>
      <c r="S13" s="69" t="str">
        <f aca="false">IF(OR(IF(OR($K13="",$K13="Manual"),"",IF(LEFT($K13,4)="GPS:",IFERROR(CHOOSE(MATCH($K13,Lists!$G$3:$G$8,0),GPS!$G$6,GPS!$G$7,GPS!$G$8,GPS!$G$9,GPS!$G$10,GPS!$G$11),""),IFERROR(IF($N13="LSI",INDEX($I$109:$I$132,MATCH($K13,$C$109:$C$132,0)),IF($N13="L",INDEX($G$109:$G$132,MATCH($K13,$C$109:$C$132,0)),IF($N13="R",INDEX($H$109:$H$132,MATCH($K13,$C$109:$C$132,0)),IF(Dashboard!$K$5="L",INDEX($G$109:$G$132,MATCH($K13,$C$109:$C$132,0)),IF(Dashboard!$K$5="R",INDEX($H$109:$H$132,MATCH($K13,$C$109:$C$132,0)),""))))),"")))="",$P13=""),"",IF(IF($O13="≤",IF(OR($K13="",$K13="Manual"),"",IF(LEFT($K13,4)="GPS:",IFERROR(CHOOSE(MATCH($K13,Lists!$G$3:$G$8,0),GPS!$G$6,GPS!$G$7,GPS!$G$8,GPS!$G$9,GPS!$G$10,GPS!$G$11),""),IFERROR(IF($N13="LSI",INDEX($I$109:$I$132,MATCH($K13,$C$109:$C$132,0)),IF($N13="L",INDEX($G$109:$G$132,MATCH($K13,$C$109:$C$132,0)),IF($N13="R",INDEX($H$109:$H$132,MATCH($K13,$C$109:$C$132,0)),IF(Dashboard!$K$5="L",INDEX($G$109:$G$132,MATCH($K13,$C$109:$C$132,0)),IF(Dashboard!$K$5="R",INDEX($H$109:$H$132,MATCH($K13,$C$109:$C$132,0)),""))))),"")))&lt;=$P13,IF(OR($K13="",$K13="Manual"),"",IF(LEFT($K13,4)="GPS:",IFERROR(CHOOSE(MATCH($K13,Lists!$G$3:$G$8,0),GPS!$G$6,GPS!$G$7,GPS!$G$8,GPS!$G$9,GPS!$G$10,GPS!$G$11),""),IFERROR(IF($N13="LSI",INDEX($I$109:$I$132,MATCH($K13,$C$109:$C$132,0)),IF($N13="L",INDEX($G$109:$G$132,MATCH($K13,$C$109:$C$132,0)),IF($N13="R",INDEX($H$109:$H$132,MATCH($K13,$C$109:$C$132,0)),IF(Dashboard!$K$5="L",INDEX($G$109:$G$132,MATCH($K13,$C$109:$C$132,0)),IF(Dashboard!$K$5="R",INDEX($H$109:$H$132,MATCH($K13,$C$109:$C$132,0)),""))))),"")))&gt;=$P13),"MET","NOT MET"))</f>
        <v/>
      </c>
      <c r="T13" s="7"/>
      <c r="U13" s="68" t="str">
        <f aca="false">IF($T13&lt;&gt;"",$T13,IF($S13="MET","Y",IF($S13="NOT MET","N","")))</f>
        <v/>
      </c>
      <c r="V13" s="70" t="str">
        <f aca="false">IF($U13="Y",IFERROR(IF(LEFT($K13,4)="GPS:","",INDEX($J$109:$J$132,MATCH($K13,$C$109:$C$132,0))),""),"")</f>
        <v/>
      </c>
      <c r="W13" s="70"/>
      <c r="X13" s="58"/>
      <c r="Y13" s="58"/>
      <c r="Z13" s="58"/>
      <c r="AA13" s="58"/>
    </row>
    <row r="14" customFormat="false" ht="18" hidden="false" customHeight="true" outlineLevel="0" collapsed="false">
      <c r="A14" s="64" t="n">
        <v>9</v>
      </c>
      <c r="B14" s="65"/>
      <c r="C14" s="65"/>
      <c r="D14" s="58" t="s">
        <v>203</v>
      </c>
      <c r="E14" s="58"/>
      <c r="F14" s="58"/>
      <c r="G14" s="58"/>
      <c r="H14" s="58"/>
      <c r="I14" s="58"/>
      <c r="J14" s="58"/>
      <c r="K14" s="66" t="s">
        <v>107</v>
      </c>
      <c r="L14" s="66"/>
      <c r="M14" s="66"/>
      <c r="N14" s="67"/>
      <c r="O14" s="67" t="s">
        <v>108</v>
      </c>
      <c r="P14" s="67"/>
      <c r="Q14" s="68" t="str">
        <f aca="false">IF(IF(OR($K14="",$K14="Manual"),"",IF(LEFT($K14,4)="GPS:",IFERROR(CHOOSE(MATCH($K14,Lists!$G$3:$G$8,0),GPS!$G$6,GPS!$G$7,GPS!$G$8,GPS!$G$9,GPS!$G$10,GPS!$G$11),""),IFERROR(IF($N14="LSI",INDEX($I$109:$I$132,MATCH($K14,$C$109:$C$132,0)),IF($N14="L",INDEX($G$109:$G$132,MATCH($K14,$C$109:$C$132,0)),IF($N14="R",INDEX($H$109:$H$132,MATCH($K14,$C$109:$C$132,0)),IF(Dashboard!$K$5="L",INDEX($G$109:$G$132,MATCH($K14,$C$109:$C$132,0)),IF(Dashboard!$K$5="R",INDEX($H$109:$H$132,MATCH($K14,$C$109:$C$132,0)),""))))),"")))="","",IF(OR($N14="LSI",LEFT($K14,4)="GPS:"),TEXT(IF(OR($K14="",$K14="Manual"),"",IF(LEFT($K14,4)="GPS:",IFERROR(CHOOSE(MATCH($K14,Lists!$G$3:$G$8,0),GPS!$G$6,GPS!$G$7,GPS!$G$8,GPS!$G$9,GPS!$G$10,GPS!$G$11),""),IFERROR(IF($N14="LSI",INDEX($I$109:$I$132,MATCH($K14,$C$109:$C$132,0)),IF($N14="L",INDEX($G$109:$G$132,MATCH($K14,$C$109:$C$132,0)),IF($N14="R",INDEX($H$109:$H$132,MATCH($K14,$C$109:$C$132,0)),IF(Dashboard!$K$5="L",INDEX($G$109:$G$132,MATCH($K14,$C$109:$C$132,0)),IF(Dashboard!$K$5="R",INDEX($H$109:$H$132,MATCH($K14,$C$109:$C$132,0)),""))))),""))),"0%"),TEXT(IF(OR($K14="",$K14="Manual"),"",IF(LEFT($K14,4)="GPS:",IFERROR(CHOOSE(MATCH($K14,Lists!$G$3:$G$8,0),GPS!$G$6,GPS!$G$7,GPS!$G$8,GPS!$G$9,GPS!$G$10,GPS!$G$11),""),IFERROR(IF($N14="LSI",INDEX($I$109:$I$132,MATCH($K14,$C$109:$C$132,0)),IF($N14="L",INDEX($G$109:$G$132,MATCH($K14,$C$109:$C$132,0)),IF($N14="R",INDEX($H$109:$H$132,MATCH($K14,$C$109:$C$132,0)),IF(Dashboard!$K$5="L",INDEX($G$109:$G$132,MATCH($K14,$C$109:$C$132,0)),IF(Dashboard!$K$5="R",INDEX($H$109:$H$132,MATCH($K14,$C$109:$C$132,0)),""))))),""))),"0.0")))</f>
        <v/>
      </c>
      <c r="R14" s="68"/>
      <c r="S14" s="69" t="str">
        <f aca="false">IF(OR(IF(OR($K14="",$K14="Manual"),"",IF(LEFT($K14,4)="GPS:",IFERROR(CHOOSE(MATCH($K14,Lists!$G$3:$G$8,0),GPS!$G$6,GPS!$G$7,GPS!$G$8,GPS!$G$9,GPS!$G$10,GPS!$G$11),""),IFERROR(IF($N14="LSI",INDEX($I$109:$I$132,MATCH($K14,$C$109:$C$132,0)),IF($N14="L",INDEX($G$109:$G$132,MATCH($K14,$C$109:$C$132,0)),IF($N14="R",INDEX($H$109:$H$132,MATCH($K14,$C$109:$C$132,0)),IF(Dashboard!$K$5="L",INDEX($G$109:$G$132,MATCH($K14,$C$109:$C$132,0)),IF(Dashboard!$K$5="R",INDEX($H$109:$H$132,MATCH($K14,$C$109:$C$132,0)),""))))),"")))="",$P14=""),"",IF(IF($O14="≤",IF(OR($K14="",$K14="Manual"),"",IF(LEFT($K14,4)="GPS:",IFERROR(CHOOSE(MATCH($K14,Lists!$G$3:$G$8,0),GPS!$G$6,GPS!$G$7,GPS!$G$8,GPS!$G$9,GPS!$G$10,GPS!$G$11),""),IFERROR(IF($N14="LSI",INDEX($I$109:$I$132,MATCH($K14,$C$109:$C$132,0)),IF($N14="L",INDEX($G$109:$G$132,MATCH($K14,$C$109:$C$132,0)),IF($N14="R",INDEX($H$109:$H$132,MATCH($K14,$C$109:$C$132,0)),IF(Dashboard!$K$5="L",INDEX($G$109:$G$132,MATCH($K14,$C$109:$C$132,0)),IF(Dashboard!$K$5="R",INDEX($H$109:$H$132,MATCH($K14,$C$109:$C$132,0)),""))))),"")))&lt;=$P14,IF(OR($K14="",$K14="Manual"),"",IF(LEFT($K14,4)="GPS:",IFERROR(CHOOSE(MATCH($K14,Lists!$G$3:$G$8,0),GPS!$G$6,GPS!$G$7,GPS!$G$8,GPS!$G$9,GPS!$G$10,GPS!$G$11),""),IFERROR(IF($N14="LSI",INDEX($I$109:$I$132,MATCH($K14,$C$109:$C$132,0)),IF($N14="L",INDEX($G$109:$G$132,MATCH($K14,$C$109:$C$132,0)),IF($N14="R",INDEX($H$109:$H$132,MATCH($K14,$C$109:$C$132,0)),IF(Dashboard!$K$5="L",INDEX($G$109:$G$132,MATCH($K14,$C$109:$C$132,0)),IF(Dashboard!$K$5="R",INDEX($H$109:$H$132,MATCH($K14,$C$109:$C$132,0)),""))))),"")))&gt;=$P14),"MET","NOT MET"))</f>
        <v/>
      </c>
      <c r="T14" s="7"/>
      <c r="U14" s="68" t="str">
        <f aca="false">IF($T14&lt;&gt;"",$T14,IF($S14="MET","Y",IF($S14="NOT MET","N","")))</f>
        <v/>
      </c>
      <c r="V14" s="70" t="str">
        <f aca="false">IF($U14="Y",IFERROR(IF(LEFT($K14,4)="GPS:","",INDEX($J$109:$J$132,MATCH($K14,$C$109:$C$132,0))),""),"")</f>
        <v/>
      </c>
      <c r="W14" s="70"/>
      <c r="X14" s="58"/>
      <c r="Y14" s="58"/>
      <c r="Z14" s="58"/>
      <c r="AA14" s="58"/>
    </row>
    <row r="15" customFormat="false" ht="18" hidden="false" customHeight="true" outlineLevel="0" collapsed="false">
      <c r="A15" s="64" t="n">
        <v>10</v>
      </c>
      <c r="B15" s="65" t="s">
        <v>204</v>
      </c>
      <c r="C15" s="65"/>
      <c r="D15" s="58" t="s">
        <v>205</v>
      </c>
      <c r="E15" s="58"/>
      <c r="F15" s="58"/>
      <c r="G15" s="58"/>
      <c r="H15" s="58"/>
      <c r="I15" s="58"/>
      <c r="J15" s="58"/>
      <c r="K15" s="66" t="s">
        <v>200</v>
      </c>
      <c r="L15" s="66"/>
      <c r="M15" s="66"/>
      <c r="N15" s="67" t="s">
        <v>50</v>
      </c>
      <c r="O15" s="67" t="s">
        <v>108</v>
      </c>
      <c r="P15" s="67" t="n">
        <v>0.9</v>
      </c>
      <c r="Q15" s="68" t="str">
        <f aca="false">IF(IF(OR($K15="",$K15="Manual"),"",IF(LEFT($K15,4)="GPS:",IFERROR(CHOOSE(MATCH($K15,Lists!$G$3:$G$8,0),GPS!$G$6,GPS!$G$7,GPS!$G$8,GPS!$G$9,GPS!$G$10,GPS!$G$11),""),IFERROR(IF($N15="LSI",INDEX($I$109:$I$132,MATCH($K15,$C$109:$C$132,0)),IF($N15="L",INDEX($G$109:$G$132,MATCH($K15,$C$109:$C$132,0)),IF($N15="R",INDEX($H$109:$H$132,MATCH($K15,$C$109:$C$132,0)),IF(Dashboard!$K$5="L",INDEX($G$109:$G$132,MATCH($K15,$C$109:$C$132,0)),IF(Dashboard!$K$5="R",INDEX($H$109:$H$132,MATCH($K15,$C$109:$C$132,0)),""))))),"")))="","",IF(OR($N15="LSI",LEFT($K15,4)="GPS:"),TEXT(IF(OR($K15="",$K15="Manual"),"",IF(LEFT($K15,4)="GPS:",IFERROR(CHOOSE(MATCH($K15,Lists!$G$3:$G$8,0),GPS!$G$6,GPS!$G$7,GPS!$G$8,GPS!$G$9,GPS!$G$10,GPS!$G$11),""),IFERROR(IF($N15="LSI",INDEX($I$109:$I$132,MATCH($K15,$C$109:$C$132,0)),IF($N15="L",INDEX($G$109:$G$132,MATCH($K15,$C$109:$C$132,0)),IF($N15="R",INDEX($H$109:$H$132,MATCH($K15,$C$109:$C$132,0)),IF(Dashboard!$K$5="L",INDEX($G$109:$G$132,MATCH($K15,$C$109:$C$132,0)),IF(Dashboard!$K$5="R",INDEX($H$109:$H$132,MATCH($K15,$C$109:$C$132,0)),""))))),""))),"0%"),TEXT(IF(OR($K15="",$K15="Manual"),"",IF(LEFT($K15,4)="GPS:",IFERROR(CHOOSE(MATCH($K15,Lists!$G$3:$G$8,0),GPS!$G$6,GPS!$G$7,GPS!$G$8,GPS!$G$9,GPS!$G$10,GPS!$G$11),""),IFERROR(IF($N15="LSI",INDEX($I$109:$I$132,MATCH($K15,$C$109:$C$132,0)),IF($N15="L",INDEX($G$109:$G$132,MATCH($K15,$C$109:$C$132,0)),IF($N15="R",INDEX($H$109:$H$132,MATCH($K15,$C$109:$C$132,0)),IF(Dashboard!$K$5="L",INDEX($G$109:$G$132,MATCH($K15,$C$109:$C$132,0)),IF(Dashboard!$K$5="R",INDEX($H$109:$H$132,MATCH($K15,$C$109:$C$132,0)),""))))),""))),"0.0")))</f>
        <v/>
      </c>
      <c r="R15" s="68"/>
      <c r="S15" s="69" t="str">
        <f aca="false">IF(OR(IF(OR($K15="",$K15="Manual"),"",IF(LEFT($K15,4)="GPS:",IFERROR(CHOOSE(MATCH($K15,Lists!$G$3:$G$8,0),GPS!$G$6,GPS!$G$7,GPS!$G$8,GPS!$G$9,GPS!$G$10,GPS!$G$11),""),IFERROR(IF($N15="LSI",INDEX($I$109:$I$132,MATCH($K15,$C$109:$C$132,0)),IF($N15="L",INDEX($G$109:$G$132,MATCH($K15,$C$109:$C$132,0)),IF($N15="R",INDEX($H$109:$H$132,MATCH($K15,$C$109:$C$132,0)),IF(Dashboard!$K$5="L",INDEX($G$109:$G$132,MATCH($K15,$C$109:$C$132,0)),IF(Dashboard!$K$5="R",INDEX($H$109:$H$132,MATCH($K15,$C$109:$C$132,0)),""))))),"")))="",$P15=""),"",IF(IF($O15="≤",IF(OR($K15="",$K15="Manual"),"",IF(LEFT($K15,4)="GPS:",IFERROR(CHOOSE(MATCH($K15,Lists!$G$3:$G$8,0),GPS!$G$6,GPS!$G$7,GPS!$G$8,GPS!$G$9,GPS!$G$10,GPS!$G$11),""),IFERROR(IF($N15="LSI",INDEX($I$109:$I$132,MATCH($K15,$C$109:$C$132,0)),IF($N15="L",INDEX($G$109:$G$132,MATCH($K15,$C$109:$C$132,0)),IF($N15="R",INDEX($H$109:$H$132,MATCH($K15,$C$109:$C$132,0)),IF(Dashboard!$K$5="L",INDEX($G$109:$G$132,MATCH($K15,$C$109:$C$132,0)),IF(Dashboard!$K$5="R",INDEX($H$109:$H$132,MATCH($K15,$C$109:$C$132,0)),""))))),"")))&lt;=$P15,IF(OR($K15="",$K15="Manual"),"",IF(LEFT($K15,4)="GPS:",IFERROR(CHOOSE(MATCH($K15,Lists!$G$3:$G$8,0),GPS!$G$6,GPS!$G$7,GPS!$G$8,GPS!$G$9,GPS!$G$10,GPS!$G$11),""),IFERROR(IF($N15="LSI",INDEX($I$109:$I$132,MATCH($K15,$C$109:$C$132,0)),IF($N15="L",INDEX($G$109:$G$132,MATCH($K15,$C$109:$C$132,0)),IF($N15="R",INDEX($H$109:$H$132,MATCH($K15,$C$109:$C$132,0)),IF(Dashboard!$K$5="L",INDEX($G$109:$G$132,MATCH($K15,$C$109:$C$132,0)),IF(Dashboard!$K$5="R",INDEX($H$109:$H$132,MATCH($K15,$C$109:$C$132,0)),""))))),"")))&gt;=$P15),"MET","NOT MET"))</f>
        <v/>
      </c>
      <c r="T15" s="7"/>
      <c r="U15" s="68" t="str">
        <f aca="false">IF($T15&lt;&gt;"",$T15,IF($S15="MET","Y",IF($S15="NOT MET","N","")))</f>
        <v/>
      </c>
      <c r="V15" s="70" t="str">
        <f aca="false">IF($U15="Y",IFERROR(IF(LEFT($K15,4)="GPS:","",INDEX($J$109:$J$132,MATCH($K15,$C$109:$C$132,0))),""),"")</f>
        <v/>
      </c>
      <c r="W15" s="70"/>
      <c r="X15" s="58"/>
      <c r="Y15" s="58"/>
      <c r="Z15" s="58"/>
      <c r="AA15" s="58"/>
    </row>
    <row r="16" customFormat="false" ht="18" hidden="false" customHeight="true" outlineLevel="0" collapsed="false">
      <c r="A16" s="64" t="n">
        <v>11</v>
      </c>
      <c r="B16" s="65"/>
      <c r="C16" s="65"/>
      <c r="D16" s="58" t="s">
        <v>206</v>
      </c>
      <c r="E16" s="58"/>
      <c r="F16" s="58"/>
      <c r="G16" s="58"/>
      <c r="H16" s="58"/>
      <c r="I16" s="58"/>
      <c r="J16" s="58"/>
      <c r="K16" s="66" t="s">
        <v>207</v>
      </c>
      <c r="L16" s="66"/>
      <c r="M16" s="66"/>
      <c r="N16" s="67" t="s">
        <v>50</v>
      </c>
      <c r="O16" s="67" t="s">
        <v>108</v>
      </c>
      <c r="P16" s="67" t="n">
        <v>0.9</v>
      </c>
      <c r="Q16" s="68" t="str">
        <f aca="false">IF(IF(OR($K16="",$K16="Manual"),"",IF(LEFT($K16,4)="GPS:",IFERROR(CHOOSE(MATCH($K16,Lists!$G$3:$G$8,0),GPS!$G$6,GPS!$G$7,GPS!$G$8,GPS!$G$9,GPS!$G$10,GPS!$G$11),""),IFERROR(IF($N16="LSI",INDEX($I$109:$I$132,MATCH($K16,$C$109:$C$132,0)),IF($N16="L",INDEX($G$109:$G$132,MATCH($K16,$C$109:$C$132,0)),IF($N16="R",INDEX($H$109:$H$132,MATCH($K16,$C$109:$C$132,0)),IF(Dashboard!$K$5="L",INDEX($G$109:$G$132,MATCH($K16,$C$109:$C$132,0)),IF(Dashboard!$K$5="R",INDEX($H$109:$H$132,MATCH($K16,$C$109:$C$132,0)),""))))),"")))="","",IF(OR($N16="LSI",LEFT($K16,4)="GPS:"),TEXT(IF(OR($K16="",$K16="Manual"),"",IF(LEFT($K16,4)="GPS:",IFERROR(CHOOSE(MATCH($K16,Lists!$G$3:$G$8,0),GPS!$G$6,GPS!$G$7,GPS!$G$8,GPS!$G$9,GPS!$G$10,GPS!$G$11),""),IFERROR(IF($N16="LSI",INDEX($I$109:$I$132,MATCH($K16,$C$109:$C$132,0)),IF($N16="L",INDEX($G$109:$G$132,MATCH($K16,$C$109:$C$132,0)),IF($N16="R",INDEX($H$109:$H$132,MATCH($K16,$C$109:$C$132,0)),IF(Dashboard!$K$5="L",INDEX($G$109:$G$132,MATCH($K16,$C$109:$C$132,0)),IF(Dashboard!$K$5="R",INDEX($H$109:$H$132,MATCH($K16,$C$109:$C$132,0)),""))))),""))),"0%"),TEXT(IF(OR($K16="",$K16="Manual"),"",IF(LEFT($K16,4)="GPS:",IFERROR(CHOOSE(MATCH($K16,Lists!$G$3:$G$8,0),GPS!$G$6,GPS!$G$7,GPS!$G$8,GPS!$G$9,GPS!$G$10,GPS!$G$11),""),IFERROR(IF($N16="LSI",INDEX($I$109:$I$132,MATCH($K16,$C$109:$C$132,0)),IF($N16="L",INDEX($G$109:$G$132,MATCH($K16,$C$109:$C$132,0)),IF($N16="R",INDEX($H$109:$H$132,MATCH($K16,$C$109:$C$132,0)),IF(Dashboard!$K$5="L",INDEX($G$109:$G$132,MATCH($K16,$C$109:$C$132,0)),IF(Dashboard!$K$5="R",INDEX($H$109:$H$132,MATCH($K16,$C$109:$C$132,0)),""))))),""))),"0.0")))</f>
        <v/>
      </c>
      <c r="R16" s="68"/>
      <c r="S16" s="69" t="str">
        <f aca="false">IF(OR(IF(OR($K16="",$K16="Manual"),"",IF(LEFT($K16,4)="GPS:",IFERROR(CHOOSE(MATCH($K16,Lists!$G$3:$G$8,0),GPS!$G$6,GPS!$G$7,GPS!$G$8,GPS!$G$9,GPS!$G$10,GPS!$G$11),""),IFERROR(IF($N16="LSI",INDEX($I$109:$I$132,MATCH($K16,$C$109:$C$132,0)),IF($N16="L",INDEX($G$109:$G$132,MATCH($K16,$C$109:$C$132,0)),IF($N16="R",INDEX($H$109:$H$132,MATCH($K16,$C$109:$C$132,0)),IF(Dashboard!$K$5="L",INDEX($G$109:$G$132,MATCH($K16,$C$109:$C$132,0)),IF(Dashboard!$K$5="R",INDEX($H$109:$H$132,MATCH($K16,$C$109:$C$132,0)),""))))),"")))="",$P16=""),"",IF(IF($O16="≤",IF(OR($K16="",$K16="Manual"),"",IF(LEFT($K16,4)="GPS:",IFERROR(CHOOSE(MATCH($K16,Lists!$G$3:$G$8,0),GPS!$G$6,GPS!$G$7,GPS!$G$8,GPS!$G$9,GPS!$G$10,GPS!$G$11),""),IFERROR(IF($N16="LSI",INDEX($I$109:$I$132,MATCH($K16,$C$109:$C$132,0)),IF($N16="L",INDEX($G$109:$G$132,MATCH($K16,$C$109:$C$132,0)),IF($N16="R",INDEX($H$109:$H$132,MATCH($K16,$C$109:$C$132,0)),IF(Dashboard!$K$5="L",INDEX($G$109:$G$132,MATCH($K16,$C$109:$C$132,0)),IF(Dashboard!$K$5="R",INDEX($H$109:$H$132,MATCH($K16,$C$109:$C$132,0)),""))))),"")))&lt;=$P16,IF(OR($K16="",$K16="Manual"),"",IF(LEFT($K16,4)="GPS:",IFERROR(CHOOSE(MATCH($K16,Lists!$G$3:$G$8,0),GPS!$G$6,GPS!$G$7,GPS!$G$8,GPS!$G$9,GPS!$G$10,GPS!$G$11),""),IFERROR(IF($N16="LSI",INDEX($I$109:$I$132,MATCH($K16,$C$109:$C$132,0)),IF($N16="L",INDEX($G$109:$G$132,MATCH($K16,$C$109:$C$132,0)),IF($N16="R",INDEX($H$109:$H$132,MATCH($K16,$C$109:$C$132,0)),IF(Dashboard!$K$5="L",INDEX($G$109:$G$132,MATCH($K16,$C$109:$C$132,0)),IF(Dashboard!$K$5="R",INDEX($H$109:$H$132,MATCH($K16,$C$109:$C$132,0)),""))))),"")))&gt;=$P16),"MET","NOT MET"))</f>
        <v/>
      </c>
      <c r="T16" s="7"/>
      <c r="U16" s="68" t="str">
        <f aca="false">IF($T16&lt;&gt;"",$T16,IF($S16="MET","Y",IF($S16="NOT MET","N","")))</f>
        <v/>
      </c>
      <c r="V16" s="70" t="str">
        <f aca="false">IF($U16="Y",IFERROR(IF(LEFT($K16,4)="GPS:","",INDEX($J$109:$J$132,MATCH($K16,$C$109:$C$132,0))),""),"")</f>
        <v/>
      </c>
      <c r="W16" s="70"/>
      <c r="X16" s="58"/>
      <c r="Y16" s="58"/>
      <c r="Z16" s="58"/>
      <c r="AA16" s="58"/>
    </row>
    <row r="17" customFormat="false" ht="18" hidden="false" customHeight="true" outlineLevel="0" collapsed="false">
      <c r="A17" s="64" t="n">
        <v>12</v>
      </c>
      <c r="B17" s="65"/>
      <c r="C17" s="65"/>
      <c r="D17" s="58" t="s">
        <v>208</v>
      </c>
      <c r="E17" s="58"/>
      <c r="F17" s="58"/>
      <c r="G17" s="58"/>
      <c r="H17" s="58"/>
      <c r="I17" s="58"/>
      <c r="J17" s="58"/>
      <c r="K17" s="66" t="s">
        <v>181</v>
      </c>
      <c r="L17" s="66"/>
      <c r="M17" s="66"/>
      <c r="N17" s="67"/>
      <c r="O17" s="67" t="s">
        <v>108</v>
      </c>
      <c r="P17" s="67" t="n">
        <v>0.9</v>
      </c>
      <c r="Q17" s="68" t="str">
        <f aca="false">IF(IF(OR($K17="",$K17="Manual"),"",IF(LEFT($K17,4)="GPS:",IFERROR(CHOOSE(MATCH($K17,Lists!$G$3:$G$8,0),GPS!$G$6,GPS!$G$7,GPS!$G$8,GPS!$G$9,GPS!$G$10,GPS!$G$11),""),IFERROR(IF($N17="LSI",INDEX($I$109:$I$132,MATCH($K17,$C$109:$C$132,0)),IF($N17="L",INDEX($G$109:$G$132,MATCH($K17,$C$109:$C$132,0)),IF($N17="R",INDEX($H$109:$H$132,MATCH($K17,$C$109:$C$132,0)),IF(Dashboard!$K$5="L",INDEX($G$109:$G$132,MATCH($K17,$C$109:$C$132,0)),IF(Dashboard!$K$5="R",INDEX($H$109:$H$132,MATCH($K17,$C$109:$C$132,0)),""))))),"")))="","",IF(OR($N17="LSI",LEFT($K17,4)="GPS:"),TEXT(IF(OR($K17="",$K17="Manual"),"",IF(LEFT($K17,4)="GPS:",IFERROR(CHOOSE(MATCH($K17,Lists!$G$3:$G$8,0),GPS!$G$6,GPS!$G$7,GPS!$G$8,GPS!$G$9,GPS!$G$10,GPS!$G$11),""),IFERROR(IF($N17="LSI",INDEX($I$109:$I$132,MATCH($K17,$C$109:$C$132,0)),IF($N17="L",INDEX($G$109:$G$132,MATCH($K17,$C$109:$C$132,0)),IF($N17="R",INDEX($H$109:$H$132,MATCH($K17,$C$109:$C$132,0)),IF(Dashboard!$K$5="L",INDEX($G$109:$G$132,MATCH($K17,$C$109:$C$132,0)),IF(Dashboard!$K$5="R",INDEX($H$109:$H$132,MATCH($K17,$C$109:$C$132,0)),""))))),""))),"0%"),TEXT(IF(OR($K17="",$K17="Manual"),"",IF(LEFT($K17,4)="GPS:",IFERROR(CHOOSE(MATCH($K17,Lists!$G$3:$G$8,0),GPS!$G$6,GPS!$G$7,GPS!$G$8,GPS!$G$9,GPS!$G$10,GPS!$G$11),""),IFERROR(IF($N17="LSI",INDEX($I$109:$I$132,MATCH($K17,$C$109:$C$132,0)),IF($N17="L",INDEX($G$109:$G$132,MATCH($K17,$C$109:$C$132,0)),IF($N17="R",INDEX($H$109:$H$132,MATCH($K17,$C$109:$C$132,0)),IF(Dashboard!$K$5="L",INDEX($G$109:$G$132,MATCH($K17,$C$109:$C$132,0)),IF(Dashboard!$K$5="R",INDEX($H$109:$H$132,MATCH($K17,$C$109:$C$132,0)),""))))),""))),"0.0")))</f>
        <v>89%</v>
      </c>
      <c r="R17" s="68"/>
      <c r="S17" s="69" t="str">
        <f aca="false">IF(OR(IF(OR($K17="",$K17="Manual"),"",IF(LEFT($K17,4)="GPS:",IFERROR(CHOOSE(MATCH($K17,Lists!$G$3:$G$8,0),GPS!$G$6,GPS!$G$7,GPS!$G$8,GPS!$G$9,GPS!$G$10,GPS!$G$11),""),IFERROR(IF($N17="LSI",INDEX($I$109:$I$132,MATCH($K17,$C$109:$C$132,0)),IF($N17="L",INDEX($G$109:$G$132,MATCH($K17,$C$109:$C$132,0)),IF($N17="R",INDEX($H$109:$H$132,MATCH($K17,$C$109:$C$132,0)),IF(Dashboard!$K$5="L",INDEX($G$109:$G$132,MATCH($K17,$C$109:$C$132,0)),IF(Dashboard!$K$5="R",INDEX($H$109:$H$132,MATCH($K17,$C$109:$C$132,0)),""))))),"")))="",$P17=""),"",IF(IF($O17="≤",IF(OR($K17="",$K17="Manual"),"",IF(LEFT($K17,4)="GPS:",IFERROR(CHOOSE(MATCH($K17,Lists!$G$3:$G$8,0),GPS!$G$6,GPS!$G$7,GPS!$G$8,GPS!$G$9,GPS!$G$10,GPS!$G$11),""),IFERROR(IF($N17="LSI",INDEX($I$109:$I$132,MATCH($K17,$C$109:$C$132,0)),IF($N17="L",INDEX($G$109:$G$132,MATCH($K17,$C$109:$C$132,0)),IF($N17="R",INDEX($H$109:$H$132,MATCH($K17,$C$109:$C$132,0)),IF(Dashboard!$K$5="L",INDEX($G$109:$G$132,MATCH($K17,$C$109:$C$132,0)),IF(Dashboard!$K$5="R",INDEX($H$109:$H$132,MATCH($K17,$C$109:$C$132,0)),""))))),"")))&lt;=$P17,IF(OR($K17="",$K17="Manual"),"",IF(LEFT($K17,4)="GPS:",IFERROR(CHOOSE(MATCH($K17,Lists!$G$3:$G$8,0),GPS!$G$6,GPS!$G$7,GPS!$G$8,GPS!$G$9,GPS!$G$10,GPS!$G$11),""),IFERROR(IF($N17="LSI",INDEX($I$109:$I$132,MATCH($K17,$C$109:$C$132,0)),IF($N17="L",INDEX($G$109:$G$132,MATCH($K17,$C$109:$C$132,0)),IF($N17="R",INDEX($H$109:$H$132,MATCH($K17,$C$109:$C$132,0)),IF(Dashboard!$K$5="L",INDEX($G$109:$G$132,MATCH($K17,$C$109:$C$132,0)),IF(Dashboard!$K$5="R",INDEX($H$109:$H$132,MATCH($K17,$C$109:$C$132,0)),""))))),"")))&gt;=$P17),"MET","NOT MET"))</f>
        <v>NOT MET</v>
      </c>
      <c r="T17" s="7"/>
      <c r="U17" s="68" t="str">
        <f aca="false">IF($T17&lt;&gt;"",$T17,IF($S17="MET","Y",IF($S17="NOT MET","N","")))</f>
        <v>N</v>
      </c>
      <c r="V17" s="70" t="str">
        <f aca="false">IF($U17="Y",IFERROR(IF(LEFT($K17,4)="GPS:","",INDEX($J$109:$J$132,MATCH($K17,$C$109:$C$132,0))),""),"")</f>
        <v/>
      </c>
      <c r="W17" s="70"/>
      <c r="X17" s="58"/>
      <c r="Y17" s="58"/>
      <c r="Z17" s="58"/>
      <c r="AA17" s="58"/>
    </row>
    <row r="18" customFormat="false" ht="18" hidden="false" customHeight="true" outlineLevel="0" collapsed="false">
      <c r="A18" s="64" t="n">
        <v>13</v>
      </c>
      <c r="B18" s="65" t="s">
        <v>209</v>
      </c>
      <c r="C18" s="65"/>
      <c r="D18" s="58" t="s">
        <v>129</v>
      </c>
      <c r="E18" s="58"/>
      <c r="F18" s="58"/>
      <c r="G18" s="58"/>
      <c r="H18" s="58"/>
      <c r="I18" s="58"/>
      <c r="J18" s="58"/>
      <c r="K18" s="66" t="s">
        <v>130</v>
      </c>
      <c r="L18" s="66"/>
      <c r="M18" s="66"/>
      <c r="N18" s="67"/>
      <c r="O18" s="67" t="s">
        <v>108</v>
      </c>
      <c r="P18" s="67" t="n">
        <v>0.9</v>
      </c>
      <c r="Q18" s="68" t="str">
        <f aca="false">IF(IF(OR($K18="",$K18="Manual"),"",IF(LEFT($K18,4)="GPS:",IFERROR(CHOOSE(MATCH($K18,Lists!$G$3:$G$8,0),GPS!$G$6,GPS!$G$7,GPS!$G$8,GPS!$G$9,GPS!$G$10,GPS!$G$11),""),IFERROR(IF($N18="LSI",INDEX($I$109:$I$132,MATCH($K18,$C$109:$C$132,0)),IF($N18="L",INDEX($G$109:$G$132,MATCH($K18,$C$109:$C$132,0)),IF($N18="R",INDEX($H$109:$H$132,MATCH($K18,$C$109:$C$132,0)),IF(Dashboard!$K$5="L",INDEX($G$109:$G$132,MATCH($K18,$C$109:$C$132,0)),IF(Dashboard!$K$5="R",INDEX($H$109:$H$132,MATCH($K18,$C$109:$C$132,0)),""))))),"")))="","",IF(OR($N18="LSI",LEFT($K18,4)="GPS:"),TEXT(IF(OR($K18="",$K18="Manual"),"",IF(LEFT($K18,4)="GPS:",IFERROR(CHOOSE(MATCH($K18,Lists!$G$3:$G$8,0),GPS!$G$6,GPS!$G$7,GPS!$G$8,GPS!$G$9,GPS!$G$10,GPS!$G$11),""),IFERROR(IF($N18="LSI",INDEX($I$109:$I$132,MATCH($K18,$C$109:$C$132,0)),IF($N18="L",INDEX($G$109:$G$132,MATCH($K18,$C$109:$C$132,0)),IF($N18="R",INDEX($H$109:$H$132,MATCH($K18,$C$109:$C$132,0)),IF(Dashboard!$K$5="L",INDEX($G$109:$G$132,MATCH($K18,$C$109:$C$132,0)),IF(Dashboard!$K$5="R",INDEX($H$109:$H$132,MATCH($K18,$C$109:$C$132,0)),""))))),""))),"0%"),TEXT(IF(OR($K18="",$K18="Manual"),"",IF(LEFT($K18,4)="GPS:",IFERROR(CHOOSE(MATCH($K18,Lists!$G$3:$G$8,0),GPS!$G$6,GPS!$G$7,GPS!$G$8,GPS!$G$9,GPS!$G$10,GPS!$G$11),""),IFERROR(IF($N18="LSI",INDEX($I$109:$I$132,MATCH($K18,$C$109:$C$132,0)),IF($N18="L",INDEX($G$109:$G$132,MATCH($K18,$C$109:$C$132,0)),IF($N18="R",INDEX($H$109:$H$132,MATCH($K18,$C$109:$C$132,0)),IF(Dashboard!$K$5="L",INDEX($G$109:$G$132,MATCH($K18,$C$109:$C$132,0)),IF(Dashboard!$K$5="R",INDEX($H$109:$H$132,MATCH($K18,$C$109:$C$132,0)),""))))),""))),"0.0")))</f>
        <v>52%</v>
      </c>
      <c r="R18" s="68"/>
      <c r="S18" s="69" t="str">
        <f aca="false">IF(OR(IF(OR($K18="",$K18="Manual"),"",IF(LEFT($K18,4)="GPS:",IFERROR(CHOOSE(MATCH($K18,Lists!$G$3:$G$8,0),GPS!$G$6,GPS!$G$7,GPS!$G$8,GPS!$G$9,GPS!$G$10,GPS!$G$11),""),IFERROR(IF($N18="LSI",INDEX($I$109:$I$132,MATCH($K18,$C$109:$C$132,0)),IF($N18="L",INDEX($G$109:$G$132,MATCH($K18,$C$109:$C$132,0)),IF($N18="R",INDEX($H$109:$H$132,MATCH($K18,$C$109:$C$132,0)),IF(Dashboard!$K$5="L",INDEX($G$109:$G$132,MATCH($K18,$C$109:$C$132,0)),IF(Dashboard!$K$5="R",INDEX($H$109:$H$132,MATCH($K18,$C$109:$C$132,0)),""))))),"")))="",$P18=""),"",IF(IF($O18="≤",IF(OR($K18="",$K18="Manual"),"",IF(LEFT($K18,4)="GPS:",IFERROR(CHOOSE(MATCH($K18,Lists!$G$3:$G$8,0),GPS!$G$6,GPS!$G$7,GPS!$G$8,GPS!$G$9,GPS!$G$10,GPS!$G$11),""),IFERROR(IF($N18="LSI",INDEX($I$109:$I$132,MATCH($K18,$C$109:$C$132,0)),IF($N18="L",INDEX($G$109:$G$132,MATCH($K18,$C$109:$C$132,0)),IF($N18="R",INDEX($H$109:$H$132,MATCH($K18,$C$109:$C$132,0)),IF(Dashboard!$K$5="L",INDEX($G$109:$G$132,MATCH($K18,$C$109:$C$132,0)),IF(Dashboard!$K$5="R",INDEX($H$109:$H$132,MATCH($K18,$C$109:$C$132,0)),""))))),"")))&lt;=$P18,IF(OR($K18="",$K18="Manual"),"",IF(LEFT($K18,4)="GPS:",IFERROR(CHOOSE(MATCH($K18,Lists!$G$3:$G$8,0),GPS!$G$6,GPS!$G$7,GPS!$G$8,GPS!$G$9,GPS!$G$10,GPS!$G$11),""),IFERROR(IF($N18="LSI",INDEX($I$109:$I$132,MATCH($K18,$C$109:$C$132,0)),IF($N18="L",INDEX($G$109:$G$132,MATCH($K18,$C$109:$C$132,0)),IF($N18="R",INDEX($H$109:$H$132,MATCH($K18,$C$109:$C$132,0)),IF(Dashboard!$K$5="L",INDEX($G$109:$G$132,MATCH($K18,$C$109:$C$132,0)),IF(Dashboard!$K$5="R",INDEX($H$109:$H$132,MATCH($K18,$C$109:$C$132,0)),""))))),"")))&gt;=$P18),"MET","NOT MET"))</f>
        <v>NOT MET</v>
      </c>
      <c r="T18" s="7"/>
      <c r="U18" s="68" t="str">
        <f aca="false">IF($T18&lt;&gt;"",$T18,IF($S18="MET","Y",IF($S18="NOT MET","N","")))</f>
        <v>N</v>
      </c>
      <c r="V18" s="70" t="str">
        <f aca="false">IF($U18="Y",IFERROR(IF(LEFT($K18,4)="GPS:","",INDEX($J$109:$J$132,MATCH($K18,$C$109:$C$132,0))),""),"")</f>
        <v/>
      </c>
      <c r="W18" s="70"/>
      <c r="X18" s="58"/>
      <c r="Y18" s="58"/>
      <c r="Z18" s="58"/>
      <c r="AA18" s="58"/>
    </row>
    <row r="19" customFormat="false" ht="18" hidden="false" customHeight="true" outlineLevel="0" collapsed="false">
      <c r="A19" s="64" t="n">
        <v>14</v>
      </c>
      <c r="B19" s="65"/>
      <c r="C19" s="65"/>
      <c r="D19" s="58" t="s">
        <v>131</v>
      </c>
      <c r="E19" s="58"/>
      <c r="F19" s="58"/>
      <c r="G19" s="58"/>
      <c r="H19" s="58"/>
      <c r="I19" s="58"/>
      <c r="J19" s="58"/>
      <c r="K19" s="66" t="s">
        <v>132</v>
      </c>
      <c r="L19" s="66"/>
      <c r="M19" s="66"/>
      <c r="N19" s="67"/>
      <c r="O19" s="67" t="s">
        <v>108</v>
      </c>
      <c r="P19" s="67" t="n">
        <v>0.9</v>
      </c>
      <c r="Q19" s="68" t="str">
        <f aca="false">IF(IF(OR($K19="",$K19="Manual"),"",IF(LEFT($K19,4)="GPS:",IFERROR(CHOOSE(MATCH($K19,Lists!$G$3:$G$8,0),GPS!$G$6,GPS!$G$7,GPS!$G$8,GPS!$G$9,GPS!$G$10,GPS!$G$11),""),IFERROR(IF($N19="LSI",INDEX($I$109:$I$132,MATCH($K19,$C$109:$C$132,0)),IF($N19="L",INDEX($G$109:$G$132,MATCH($K19,$C$109:$C$132,0)),IF($N19="R",INDEX($H$109:$H$132,MATCH($K19,$C$109:$C$132,0)),IF(Dashboard!$K$5="L",INDEX($G$109:$G$132,MATCH($K19,$C$109:$C$132,0)),IF(Dashboard!$K$5="R",INDEX($H$109:$H$132,MATCH($K19,$C$109:$C$132,0)),""))))),"")))="","",IF(OR($N19="LSI",LEFT($K19,4)="GPS:"),TEXT(IF(OR($K19="",$K19="Manual"),"",IF(LEFT($K19,4)="GPS:",IFERROR(CHOOSE(MATCH($K19,Lists!$G$3:$G$8,0),GPS!$G$6,GPS!$G$7,GPS!$G$8,GPS!$G$9,GPS!$G$10,GPS!$G$11),""),IFERROR(IF($N19="LSI",INDEX($I$109:$I$132,MATCH($K19,$C$109:$C$132,0)),IF($N19="L",INDEX($G$109:$G$132,MATCH($K19,$C$109:$C$132,0)),IF($N19="R",INDEX($H$109:$H$132,MATCH($K19,$C$109:$C$132,0)),IF(Dashboard!$K$5="L",INDEX($G$109:$G$132,MATCH($K19,$C$109:$C$132,0)),IF(Dashboard!$K$5="R",INDEX($H$109:$H$132,MATCH($K19,$C$109:$C$132,0)),""))))),""))),"0%"),TEXT(IF(OR($K19="",$K19="Manual"),"",IF(LEFT($K19,4)="GPS:",IFERROR(CHOOSE(MATCH($K19,Lists!$G$3:$G$8,0),GPS!$G$6,GPS!$G$7,GPS!$G$8,GPS!$G$9,GPS!$G$10,GPS!$G$11),""),IFERROR(IF($N19="LSI",INDEX($I$109:$I$132,MATCH($K19,$C$109:$C$132,0)),IF($N19="L",INDEX($G$109:$G$132,MATCH($K19,$C$109:$C$132,0)),IF($N19="R",INDEX($H$109:$H$132,MATCH($K19,$C$109:$C$132,0)),IF(Dashboard!$K$5="L",INDEX($G$109:$G$132,MATCH($K19,$C$109:$C$132,0)),IF(Dashboard!$K$5="R",INDEX($H$109:$H$132,MATCH($K19,$C$109:$C$132,0)),""))))),""))),"0.0")))</f>
        <v>59%</v>
      </c>
      <c r="R19" s="68"/>
      <c r="S19" s="69" t="str">
        <f aca="false">IF(OR(IF(OR($K19="",$K19="Manual"),"",IF(LEFT($K19,4)="GPS:",IFERROR(CHOOSE(MATCH($K19,Lists!$G$3:$G$8,0),GPS!$G$6,GPS!$G$7,GPS!$G$8,GPS!$G$9,GPS!$G$10,GPS!$G$11),""),IFERROR(IF($N19="LSI",INDEX($I$109:$I$132,MATCH($K19,$C$109:$C$132,0)),IF($N19="L",INDEX($G$109:$G$132,MATCH($K19,$C$109:$C$132,0)),IF($N19="R",INDEX($H$109:$H$132,MATCH($K19,$C$109:$C$132,0)),IF(Dashboard!$K$5="L",INDEX($G$109:$G$132,MATCH($K19,$C$109:$C$132,0)),IF(Dashboard!$K$5="R",INDEX($H$109:$H$132,MATCH($K19,$C$109:$C$132,0)),""))))),"")))="",$P19=""),"",IF(IF($O19="≤",IF(OR($K19="",$K19="Manual"),"",IF(LEFT($K19,4)="GPS:",IFERROR(CHOOSE(MATCH($K19,Lists!$G$3:$G$8,0),GPS!$G$6,GPS!$G$7,GPS!$G$8,GPS!$G$9,GPS!$G$10,GPS!$G$11),""),IFERROR(IF($N19="LSI",INDEX($I$109:$I$132,MATCH($K19,$C$109:$C$132,0)),IF($N19="L",INDEX($G$109:$G$132,MATCH($K19,$C$109:$C$132,0)),IF($N19="R",INDEX($H$109:$H$132,MATCH($K19,$C$109:$C$132,0)),IF(Dashboard!$K$5="L",INDEX($G$109:$G$132,MATCH($K19,$C$109:$C$132,0)),IF(Dashboard!$K$5="R",INDEX($H$109:$H$132,MATCH($K19,$C$109:$C$132,0)),""))))),"")))&lt;=$P19,IF(OR($K19="",$K19="Manual"),"",IF(LEFT($K19,4)="GPS:",IFERROR(CHOOSE(MATCH($K19,Lists!$G$3:$G$8,0),GPS!$G$6,GPS!$G$7,GPS!$G$8,GPS!$G$9,GPS!$G$10,GPS!$G$11),""),IFERROR(IF($N19="LSI",INDEX($I$109:$I$132,MATCH($K19,$C$109:$C$132,0)),IF($N19="L",INDEX($G$109:$G$132,MATCH($K19,$C$109:$C$132,0)),IF($N19="R",INDEX($H$109:$H$132,MATCH($K19,$C$109:$C$132,0)),IF(Dashboard!$K$5="L",INDEX($G$109:$G$132,MATCH($K19,$C$109:$C$132,0)),IF(Dashboard!$K$5="R",INDEX($H$109:$H$132,MATCH($K19,$C$109:$C$132,0)),""))))),"")))&gt;=$P19),"MET","NOT MET"))</f>
        <v>NOT MET</v>
      </c>
      <c r="T19" s="7"/>
      <c r="U19" s="68" t="str">
        <f aca="false">IF($T19&lt;&gt;"",$T19,IF($S19="MET","Y",IF($S19="NOT MET","N","")))</f>
        <v>N</v>
      </c>
      <c r="V19" s="70" t="str">
        <f aca="false">IF($U19="Y",IFERROR(IF(LEFT($K19,4)="GPS:","",INDEX($J$109:$J$132,MATCH($K19,$C$109:$C$132,0))),""),"")</f>
        <v/>
      </c>
      <c r="W19" s="70"/>
      <c r="X19" s="58"/>
      <c r="Y19" s="58"/>
      <c r="Z19" s="58"/>
      <c r="AA19" s="58"/>
    </row>
    <row r="20" customFormat="false" ht="18" hidden="false" customHeight="true" outlineLevel="0" collapsed="false">
      <c r="A20" s="64" t="n">
        <v>15</v>
      </c>
      <c r="B20" s="65"/>
      <c r="C20" s="65"/>
      <c r="D20" s="58" t="s">
        <v>133</v>
      </c>
      <c r="E20" s="58"/>
      <c r="F20" s="58"/>
      <c r="G20" s="58"/>
      <c r="H20" s="58"/>
      <c r="I20" s="58"/>
      <c r="J20" s="58"/>
      <c r="K20" s="66" t="s">
        <v>107</v>
      </c>
      <c r="L20" s="66"/>
      <c r="M20" s="66"/>
      <c r="N20" s="67"/>
      <c r="O20" s="67" t="s">
        <v>108</v>
      </c>
      <c r="P20" s="67"/>
      <c r="Q20" s="68" t="str">
        <f aca="false">IF(IF(OR($K20="",$K20="Manual"),"",IF(LEFT($K20,4)="GPS:",IFERROR(CHOOSE(MATCH($K20,Lists!$G$3:$G$8,0),GPS!$G$6,GPS!$G$7,GPS!$G$8,GPS!$G$9,GPS!$G$10,GPS!$G$11),""),IFERROR(IF($N20="LSI",INDEX($I$109:$I$132,MATCH($K20,$C$109:$C$132,0)),IF($N20="L",INDEX($G$109:$G$132,MATCH($K20,$C$109:$C$132,0)),IF($N20="R",INDEX($H$109:$H$132,MATCH($K20,$C$109:$C$132,0)),IF(Dashboard!$K$5="L",INDEX($G$109:$G$132,MATCH($K20,$C$109:$C$132,0)),IF(Dashboard!$K$5="R",INDEX($H$109:$H$132,MATCH($K20,$C$109:$C$132,0)),""))))),"")))="","",IF(OR($N20="LSI",LEFT($K20,4)="GPS:"),TEXT(IF(OR($K20="",$K20="Manual"),"",IF(LEFT($K20,4)="GPS:",IFERROR(CHOOSE(MATCH($K20,Lists!$G$3:$G$8,0),GPS!$G$6,GPS!$G$7,GPS!$G$8,GPS!$G$9,GPS!$G$10,GPS!$G$11),""),IFERROR(IF($N20="LSI",INDEX($I$109:$I$132,MATCH($K20,$C$109:$C$132,0)),IF($N20="L",INDEX($G$109:$G$132,MATCH($K20,$C$109:$C$132,0)),IF($N20="R",INDEX($H$109:$H$132,MATCH($K20,$C$109:$C$132,0)),IF(Dashboard!$K$5="L",INDEX($G$109:$G$132,MATCH($K20,$C$109:$C$132,0)),IF(Dashboard!$K$5="R",INDEX($H$109:$H$132,MATCH($K20,$C$109:$C$132,0)),""))))),""))),"0%"),TEXT(IF(OR($K20="",$K20="Manual"),"",IF(LEFT($K20,4)="GPS:",IFERROR(CHOOSE(MATCH($K20,Lists!$G$3:$G$8,0),GPS!$G$6,GPS!$G$7,GPS!$G$8,GPS!$G$9,GPS!$G$10,GPS!$G$11),""),IFERROR(IF($N20="LSI",INDEX($I$109:$I$132,MATCH($K20,$C$109:$C$132,0)),IF($N20="L",INDEX($G$109:$G$132,MATCH($K20,$C$109:$C$132,0)),IF($N20="R",INDEX($H$109:$H$132,MATCH($K20,$C$109:$C$132,0)),IF(Dashboard!$K$5="L",INDEX($G$109:$G$132,MATCH($K20,$C$109:$C$132,0)),IF(Dashboard!$K$5="R",INDEX($H$109:$H$132,MATCH($K20,$C$109:$C$132,0)),""))))),""))),"0.0")))</f>
        <v/>
      </c>
      <c r="R20" s="68"/>
      <c r="S20" s="69" t="str">
        <f aca="false">IF(OR(IF(OR($K20="",$K20="Manual"),"",IF(LEFT($K20,4)="GPS:",IFERROR(CHOOSE(MATCH($K20,Lists!$G$3:$G$8,0),GPS!$G$6,GPS!$G$7,GPS!$G$8,GPS!$G$9,GPS!$G$10,GPS!$G$11),""),IFERROR(IF($N20="LSI",INDEX($I$109:$I$132,MATCH($K20,$C$109:$C$132,0)),IF($N20="L",INDEX($G$109:$G$132,MATCH($K20,$C$109:$C$132,0)),IF($N20="R",INDEX($H$109:$H$132,MATCH($K20,$C$109:$C$132,0)),IF(Dashboard!$K$5="L",INDEX($G$109:$G$132,MATCH($K20,$C$109:$C$132,0)),IF(Dashboard!$K$5="R",INDEX($H$109:$H$132,MATCH($K20,$C$109:$C$132,0)),""))))),"")))="",$P20=""),"",IF(IF($O20="≤",IF(OR($K20="",$K20="Manual"),"",IF(LEFT($K20,4)="GPS:",IFERROR(CHOOSE(MATCH($K20,Lists!$G$3:$G$8,0),GPS!$G$6,GPS!$G$7,GPS!$G$8,GPS!$G$9,GPS!$G$10,GPS!$G$11),""),IFERROR(IF($N20="LSI",INDEX($I$109:$I$132,MATCH($K20,$C$109:$C$132,0)),IF($N20="L",INDEX($G$109:$G$132,MATCH($K20,$C$109:$C$132,0)),IF($N20="R",INDEX($H$109:$H$132,MATCH($K20,$C$109:$C$132,0)),IF(Dashboard!$K$5="L",INDEX($G$109:$G$132,MATCH($K20,$C$109:$C$132,0)),IF(Dashboard!$K$5="R",INDEX($H$109:$H$132,MATCH($K20,$C$109:$C$132,0)),""))))),"")))&lt;=$P20,IF(OR($K20="",$K20="Manual"),"",IF(LEFT($K20,4)="GPS:",IFERROR(CHOOSE(MATCH($K20,Lists!$G$3:$G$8,0),GPS!$G$6,GPS!$G$7,GPS!$G$8,GPS!$G$9,GPS!$G$10,GPS!$G$11),""),IFERROR(IF($N20="LSI",INDEX($I$109:$I$132,MATCH($K20,$C$109:$C$132,0)),IF($N20="L",INDEX($G$109:$G$132,MATCH($K20,$C$109:$C$132,0)),IF($N20="R",INDEX($H$109:$H$132,MATCH($K20,$C$109:$C$132,0)),IF(Dashboard!$K$5="L",INDEX($G$109:$G$132,MATCH($K20,$C$109:$C$132,0)),IF(Dashboard!$K$5="R",INDEX($H$109:$H$132,MATCH($K20,$C$109:$C$132,0)),""))))),"")))&gt;=$P20),"MET","NOT MET"))</f>
        <v/>
      </c>
      <c r="T20" s="7"/>
      <c r="U20" s="68" t="str">
        <f aca="false">IF($T20&lt;&gt;"",$T20,IF($S20="MET","Y",IF($S20="NOT MET","N","")))</f>
        <v/>
      </c>
      <c r="V20" s="70" t="str">
        <f aca="false">IF($U20="Y",IFERROR(IF(LEFT($K20,4)="GPS:","",INDEX($J$109:$J$132,MATCH($K20,$C$109:$C$132,0))),""),"")</f>
        <v/>
      </c>
      <c r="W20" s="70"/>
      <c r="X20" s="58"/>
      <c r="Y20" s="58"/>
      <c r="Z20" s="58"/>
      <c r="AA20" s="58"/>
    </row>
    <row r="21" customFormat="false" ht="18" hidden="false" customHeight="true" outlineLevel="0" collapsed="false">
      <c r="A21" s="64" t="n">
        <v>16</v>
      </c>
      <c r="B21" s="65" t="s">
        <v>210</v>
      </c>
      <c r="C21" s="65"/>
      <c r="D21" s="58" t="s">
        <v>135</v>
      </c>
      <c r="E21" s="58"/>
      <c r="F21" s="58"/>
      <c r="G21" s="58"/>
      <c r="H21" s="58"/>
      <c r="I21" s="58"/>
      <c r="J21" s="58"/>
      <c r="K21" s="66" t="s">
        <v>130</v>
      </c>
      <c r="L21" s="66"/>
      <c r="M21" s="66"/>
      <c r="N21" s="67"/>
      <c r="O21" s="67" t="s">
        <v>108</v>
      </c>
      <c r="P21" s="67" t="n">
        <v>1</v>
      </c>
      <c r="Q21" s="68" t="str">
        <f aca="false">IF(IF(OR($K21="",$K21="Manual"),"",IF(LEFT($K21,4)="GPS:",IFERROR(CHOOSE(MATCH($K21,Lists!$G$3:$G$8,0),GPS!$G$6,GPS!$G$7,GPS!$G$8,GPS!$G$9,GPS!$G$10,GPS!$G$11),""),IFERROR(IF($N21="LSI",INDEX($I$109:$I$132,MATCH($K21,$C$109:$C$132,0)),IF($N21="L",INDEX($G$109:$G$132,MATCH($K21,$C$109:$C$132,0)),IF($N21="R",INDEX($H$109:$H$132,MATCH($K21,$C$109:$C$132,0)),IF(Dashboard!$K$5="L",INDEX($G$109:$G$132,MATCH($K21,$C$109:$C$132,0)),IF(Dashboard!$K$5="R",INDEX($H$109:$H$132,MATCH($K21,$C$109:$C$132,0)),""))))),"")))="","",IF(OR($N21="LSI",LEFT($K21,4)="GPS:"),TEXT(IF(OR($K21="",$K21="Manual"),"",IF(LEFT($K21,4)="GPS:",IFERROR(CHOOSE(MATCH($K21,Lists!$G$3:$G$8,0),GPS!$G$6,GPS!$G$7,GPS!$G$8,GPS!$G$9,GPS!$G$10,GPS!$G$11),""),IFERROR(IF($N21="LSI",INDEX($I$109:$I$132,MATCH($K21,$C$109:$C$132,0)),IF($N21="L",INDEX($G$109:$G$132,MATCH($K21,$C$109:$C$132,0)),IF($N21="R",INDEX($H$109:$H$132,MATCH($K21,$C$109:$C$132,0)),IF(Dashboard!$K$5="L",INDEX($G$109:$G$132,MATCH($K21,$C$109:$C$132,0)),IF(Dashboard!$K$5="R",INDEX($H$109:$H$132,MATCH($K21,$C$109:$C$132,0)),""))))),""))),"0%"),TEXT(IF(OR($K21="",$K21="Manual"),"",IF(LEFT($K21,4)="GPS:",IFERROR(CHOOSE(MATCH($K21,Lists!$G$3:$G$8,0),GPS!$G$6,GPS!$G$7,GPS!$G$8,GPS!$G$9,GPS!$G$10,GPS!$G$11),""),IFERROR(IF($N21="LSI",INDEX($I$109:$I$132,MATCH($K21,$C$109:$C$132,0)),IF($N21="L",INDEX($G$109:$G$132,MATCH($K21,$C$109:$C$132,0)),IF($N21="R",INDEX($H$109:$H$132,MATCH($K21,$C$109:$C$132,0)),IF(Dashboard!$K$5="L",INDEX($G$109:$G$132,MATCH($K21,$C$109:$C$132,0)),IF(Dashboard!$K$5="R",INDEX($H$109:$H$132,MATCH($K21,$C$109:$C$132,0)),""))))),""))),"0.0")))</f>
        <v>52%</v>
      </c>
      <c r="R21" s="68"/>
      <c r="S21" s="69" t="str">
        <f aca="false">IF(OR(IF(OR($K21="",$K21="Manual"),"",IF(LEFT($K21,4)="GPS:",IFERROR(CHOOSE(MATCH($K21,Lists!$G$3:$G$8,0),GPS!$G$6,GPS!$G$7,GPS!$G$8,GPS!$G$9,GPS!$G$10,GPS!$G$11),""),IFERROR(IF($N21="LSI",INDEX($I$109:$I$132,MATCH($K21,$C$109:$C$132,0)),IF($N21="L",INDEX($G$109:$G$132,MATCH($K21,$C$109:$C$132,0)),IF($N21="R",INDEX($H$109:$H$132,MATCH($K21,$C$109:$C$132,0)),IF(Dashboard!$K$5="L",INDEX($G$109:$G$132,MATCH($K21,$C$109:$C$132,0)),IF(Dashboard!$K$5="R",INDEX($H$109:$H$132,MATCH($K21,$C$109:$C$132,0)),""))))),"")))="",$P21=""),"",IF(IF($O21="≤",IF(OR($K21="",$K21="Manual"),"",IF(LEFT($K21,4)="GPS:",IFERROR(CHOOSE(MATCH($K21,Lists!$G$3:$G$8,0),GPS!$G$6,GPS!$G$7,GPS!$G$8,GPS!$G$9,GPS!$G$10,GPS!$G$11),""),IFERROR(IF($N21="LSI",INDEX($I$109:$I$132,MATCH($K21,$C$109:$C$132,0)),IF($N21="L",INDEX($G$109:$G$132,MATCH($K21,$C$109:$C$132,0)),IF($N21="R",INDEX($H$109:$H$132,MATCH($K21,$C$109:$C$132,0)),IF(Dashboard!$K$5="L",INDEX($G$109:$G$132,MATCH($K21,$C$109:$C$132,0)),IF(Dashboard!$K$5="R",INDEX($H$109:$H$132,MATCH($K21,$C$109:$C$132,0)),""))))),"")))&lt;=$P21,IF(OR($K21="",$K21="Manual"),"",IF(LEFT($K21,4)="GPS:",IFERROR(CHOOSE(MATCH($K21,Lists!$G$3:$G$8,0),GPS!$G$6,GPS!$G$7,GPS!$G$8,GPS!$G$9,GPS!$G$10,GPS!$G$11),""),IFERROR(IF($N21="LSI",INDEX($I$109:$I$132,MATCH($K21,$C$109:$C$132,0)),IF($N21="L",INDEX($G$109:$G$132,MATCH($K21,$C$109:$C$132,0)),IF($N21="R",INDEX($H$109:$H$132,MATCH($K21,$C$109:$C$132,0)),IF(Dashboard!$K$5="L",INDEX($G$109:$G$132,MATCH($K21,$C$109:$C$132,0)),IF(Dashboard!$K$5="R",INDEX($H$109:$H$132,MATCH($K21,$C$109:$C$132,0)),""))))),"")))&gt;=$P21),"MET","NOT MET"))</f>
        <v>NOT MET</v>
      </c>
      <c r="T21" s="7"/>
      <c r="U21" s="68" t="str">
        <f aca="false">IF($T21&lt;&gt;"",$T21,IF($S21="MET","Y",IF($S21="NOT MET","N","")))</f>
        <v>N</v>
      </c>
      <c r="V21" s="70" t="str">
        <f aca="false">IF($U21="Y",IFERROR(IF(LEFT($K21,4)="GPS:","",INDEX($J$109:$J$132,MATCH($K21,$C$109:$C$132,0))),""),"")</f>
        <v/>
      </c>
      <c r="W21" s="70"/>
      <c r="X21" s="58"/>
      <c r="Y21" s="58"/>
      <c r="Z21" s="58"/>
      <c r="AA21" s="58"/>
    </row>
    <row r="22" customFormat="false" ht="18" hidden="false" customHeight="true" outlineLevel="0" collapsed="false">
      <c r="A22" s="64" t="n">
        <v>17</v>
      </c>
      <c r="B22" s="65"/>
      <c r="C22" s="65"/>
      <c r="D22" s="58" t="s">
        <v>136</v>
      </c>
      <c r="E22" s="58"/>
      <c r="F22" s="58"/>
      <c r="G22" s="58"/>
      <c r="H22" s="58"/>
      <c r="I22" s="58"/>
      <c r="J22" s="58"/>
      <c r="K22" s="66" t="s">
        <v>137</v>
      </c>
      <c r="L22" s="66"/>
      <c r="M22" s="66"/>
      <c r="N22" s="67"/>
      <c r="O22" s="67" t="s">
        <v>108</v>
      </c>
      <c r="P22" s="67" t="n">
        <v>0.95</v>
      </c>
      <c r="Q22" s="68" t="str">
        <f aca="false">IF(IF(OR($K22="",$K22="Manual"),"",IF(LEFT($K22,4)="GPS:",IFERROR(CHOOSE(MATCH($K22,Lists!$G$3:$G$8,0),GPS!$G$6,GPS!$G$7,GPS!$G$8,GPS!$G$9,GPS!$G$10,GPS!$G$11),""),IFERROR(IF($N22="LSI",INDEX($I$109:$I$132,MATCH($K22,$C$109:$C$132,0)),IF($N22="L",INDEX($G$109:$G$132,MATCH($K22,$C$109:$C$132,0)),IF($N22="R",INDEX($H$109:$H$132,MATCH($K22,$C$109:$C$132,0)),IF(Dashboard!$K$5="L",INDEX($G$109:$G$132,MATCH($K22,$C$109:$C$132,0)),IF(Dashboard!$K$5="R",INDEX($H$109:$H$132,MATCH($K22,$C$109:$C$132,0)),""))))),"")))="","",IF(OR($N22="LSI",LEFT($K22,4)="GPS:"),TEXT(IF(OR($K22="",$K22="Manual"),"",IF(LEFT($K22,4)="GPS:",IFERROR(CHOOSE(MATCH($K22,Lists!$G$3:$G$8,0),GPS!$G$6,GPS!$G$7,GPS!$G$8,GPS!$G$9,GPS!$G$10,GPS!$G$11),""),IFERROR(IF($N22="LSI",INDEX($I$109:$I$132,MATCH($K22,$C$109:$C$132,0)),IF($N22="L",INDEX($G$109:$G$132,MATCH($K22,$C$109:$C$132,0)),IF($N22="R",INDEX($H$109:$H$132,MATCH($K22,$C$109:$C$132,0)),IF(Dashboard!$K$5="L",INDEX($G$109:$G$132,MATCH($K22,$C$109:$C$132,0)),IF(Dashboard!$K$5="R",INDEX($H$109:$H$132,MATCH($K22,$C$109:$C$132,0)),""))))),""))),"0%"),TEXT(IF(OR($K22="",$K22="Manual"),"",IF(LEFT($K22,4)="GPS:",IFERROR(CHOOSE(MATCH($K22,Lists!$G$3:$G$8,0),GPS!$G$6,GPS!$G$7,GPS!$G$8,GPS!$G$9,GPS!$G$10,GPS!$G$11),""),IFERROR(IF($N22="LSI",INDEX($I$109:$I$132,MATCH($K22,$C$109:$C$132,0)),IF($N22="L",INDEX($G$109:$G$132,MATCH($K22,$C$109:$C$132,0)),IF($N22="R",INDEX($H$109:$H$132,MATCH($K22,$C$109:$C$132,0)),IF(Dashboard!$K$5="L",INDEX($G$109:$G$132,MATCH($K22,$C$109:$C$132,0)),IF(Dashboard!$K$5="R",INDEX($H$109:$H$132,MATCH($K22,$C$109:$C$132,0)),""))))),""))),"0.0")))</f>
        <v>42%</v>
      </c>
      <c r="R22" s="68"/>
      <c r="S22" s="69" t="str">
        <f aca="false">IF(OR(IF(OR($K22="",$K22="Manual"),"",IF(LEFT($K22,4)="GPS:",IFERROR(CHOOSE(MATCH($K22,Lists!$G$3:$G$8,0),GPS!$G$6,GPS!$G$7,GPS!$G$8,GPS!$G$9,GPS!$G$10,GPS!$G$11),""),IFERROR(IF($N22="LSI",INDEX($I$109:$I$132,MATCH($K22,$C$109:$C$132,0)),IF($N22="L",INDEX($G$109:$G$132,MATCH($K22,$C$109:$C$132,0)),IF($N22="R",INDEX($H$109:$H$132,MATCH($K22,$C$109:$C$132,0)),IF(Dashboard!$K$5="L",INDEX($G$109:$G$132,MATCH($K22,$C$109:$C$132,0)),IF(Dashboard!$K$5="R",INDEX($H$109:$H$132,MATCH($K22,$C$109:$C$132,0)),""))))),"")))="",$P22=""),"",IF(IF($O22="≤",IF(OR($K22="",$K22="Manual"),"",IF(LEFT($K22,4)="GPS:",IFERROR(CHOOSE(MATCH($K22,Lists!$G$3:$G$8,0),GPS!$G$6,GPS!$G$7,GPS!$G$8,GPS!$G$9,GPS!$G$10,GPS!$G$11),""),IFERROR(IF($N22="LSI",INDEX($I$109:$I$132,MATCH($K22,$C$109:$C$132,0)),IF($N22="L",INDEX($G$109:$G$132,MATCH($K22,$C$109:$C$132,0)),IF($N22="R",INDEX($H$109:$H$132,MATCH($K22,$C$109:$C$132,0)),IF(Dashboard!$K$5="L",INDEX($G$109:$G$132,MATCH($K22,$C$109:$C$132,0)),IF(Dashboard!$K$5="R",INDEX($H$109:$H$132,MATCH($K22,$C$109:$C$132,0)),""))))),"")))&lt;=$P22,IF(OR($K22="",$K22="Manual"),"",IF(LEFT($K22,4)="GPS:",IFERROR(CHOOSE(MATCH($K22,Lists!$G$3:$G$8,0),GPS!$G$6,GPS!$G$7,GPS!$G$8,GPS!$G$9,GPS!$G$10,GPS!$G$11),""),IFERROR(IF($N22="LSI",INDEX($I$109:$I$132,MATCH($K22,$C$109:$C$132,0)),IF($N22="L",INDEX($G$109:$G$132,MATCH($K22,$C$109:$C$132,0)),IF($N22="R",INDEX($H$109:$H$132,MATCH($K22,$C$109:$C$132,0)),IF(Dashboard!$K$5="L",INDEX($G$109:$G$132,MATCH($K22,$C$109:$C$132,0)),IF(Dashboard!$K$5="R",INDEX($H$109:$H$132,MATCH($K22,$C$109:$C$132,0)),""))))),"")))&gt;=$P22),"MET","NOT MET"))</f>
        <v>NOT MET</v>
      </c>
      <c r="T22" s="7"/>
      <c r="U22" s="68" t="str">
        <f aca="false">IF($T22&lt;&gt;"",$T22,IF($S22="MET","Y",IF($S22="NOT MET","N","")))</f>
        <v>N</v>
      </c>
      <c r="V22" s="70" t="str">
        <f aca="false">IF($U22="Y",IFERROR(IF(LEFT($K22,4)="GPS:","",INDEX($J$109:$J$132,MATCH($K22,$C$109:$C$132,0))),""),"")</f>
        <v/>
      </c>
      <c r="W22" s="70"/>
      <c r="X22" s="58"/>
      <c r="Y22" s="58"/>
      <c r="Z22" s="58"/>
      <c r="AA22" s="58"/>
    </row>
    <row r="23" customFormat="false" ht="18" hidden="false" customHeight="true" outlineLevel="0" collapsed="false">
      <c r="A23" s="64" t="n">
        <v>18</v>
      </c>
      <c r="B23" s="65"/>
      <c r="C23" s="65"/>
      <c r="D23" s="58" t="s">
        <v>211</v>
      </c>
      <c r="E23" s="58"/>
      <c r="F23" s="58"/>
      <c r="G23" s="58"/>
      <c r="H23" s="58"/>
      <c r="I23" s="58"/>
      <c r="J23" s="58"/>
      <c r="K23" s="66" t="s">
        <v>107</v>
      </c>
      <c r="L23" s="66"/>
      <c r="M23" s="66"/>
      <c r="N23" s="67"/>
      <c r="O23" s="67" t="s">
        <v>108</v>
      </c>
      <c r="P23" s="67"/>
      <c r="Q23" s="68" t="str">
        <f aca="false">IF(IF(OR($K23="",$K23="Manual"),"",IF(LEFT($K23,4)="GPS:",IFERROR(CHOOSE(MATCH($K23,Lists!$G$3:$G$8,0),GPS!$G$6,GPS!$G$7,GPS!$G$8,GPS!$G$9,GPS!$G$10,GPS!$G$11),""),IFERROR(IF($N23="LSI",INDEX($I$109:$I$132,MATCH($K23,$C$109:$C$132,0)),IF($N23="L",INDEX($G$109:$G$132,MATCH($K23,$C$109:$C$132,0)),IF($N23="R",INDEX($H$109:$H$132,MATCH($K23,$C$109:$C$132,0)),IF(Dashboard!$K$5="L",INDEX($G$109:$G$132,MATCH($K23,$C$109:$C$132,0)),IF(Dashboard!$K$5="R",INDEX($H$109:$H$132,MATCH($K23,$C$109:$C$132,0)),""))))),"")))="","",IF(OR($N23="LSI",LEFT($K23,4)="GPS:"),TEXT(IF(OR($K23="",$K23="Manual"),"",IF(LEFT($K23,4)="GPS:",IFERROR(CHOOSE(MATCH($K23,Lists!$G$3:$G$8,0),GPS!$G$6,GPS!$G$7,GPS!$G$8,GPS!$G$9,GPS!$G$10,GPS!$G$11),""),IFERROR(IF($N23="LSI",INDEX($I$109:$I$132,MATCH($K23,$C$109:$C$132,0)),IF($N23="L",INDEX($G$109:$G$132,MATCH($K23,$C$109:$C$132,0)),IF($N23="R",INDEX($H$109:$H$132,MATCH($K23,$C$109:$C$132,0)),IF(Dashboard!$K$5="L",INDEX($G$109:$G$132,MATCH($K23,$C$109:$C$132,0)),IF(Dashboard!$K$5="R",INDEX($H$109:$H$132,MATCH($K23,$C$109:$C$132,0)),""))))),""))),"0%"),TEXT(IF(OR($K23="",$K23="Manual"),"",IF(LEFT($K23,4)="GPS:",IFERROR(CHOOSE(MATCH($K23,Lists!$G$3:$G$8,0),GPS!$G$6,GPS!$G$7,GPS!$G$8,GPS!$G$9,GPS!$G$10,GPS!$G$11),""),IFERROR(IF($N23="LSI",INDEX($I$109:$I$132,MATCH($K23,$C$109:$C$132,0)),IF($N23="L",INDEX($G$109:$G$132,MATCH($K23,$C$109:$C$132,0)),IF($N23="R",INDEX($H$109:$H$132,MATCH($K23,$C$109:$C$132,0)),IF(Dashboard!$K$5="L",INDEX($G$109:$G$132,MATCH($K23,$C$109:$C$132,0)),IF(Dashboard!$K$5="R",INDEX($H$109:$H$132,MATCH($K23,$C$109:$C$132,0)),""))))),""))),"0.0")))</f>
        <v/>
      </c>
      <c r="R23" s="68"/>
      <c r="S23" s="69" t="str">
        <f aca="false">IF(OR(IF(OR($K23="",$K23="Manual"),"",IF(LEFT($K23,4)="GPS:",IFERROR(CHOOSE(MATCH($K23,Lists!$G$3:$G$8,0),GPS!$G$6,GPS!$G$7,GPS!$G$8,GPS!$G$9,GPS!$G$10,GPS!$G$11),""),IFERROR(IF($N23="LSI",INDEX($I$109:$I$132,MATCH($K23,$C$109:$C$132,0)),IF($N23="L",INDEX($G$109:$G$132,MATCH($K23,$C$109:$C$132,0)),IF($N23="R",INDEX($H$109:$H$132,MATCH($K23,$C$109:$C$132,0)),IF(Dashboard!$K$5="L",INDEX($G$109:$G$132,MATCH($K23,$C$109:$C$132,0)),IF(Dashboard!$K$5="R",INDEX($H$109:$H$132,MATCH($K23,$C$109:$C$132,0)),""))))),"")))="",$P23=""),"",IF(IF($O23="≤",IF(OR($K23="",$K23="Manual"),"",IF(LEFT($K23,4)="GPS:",IFERROR(CHOOSE(MATCH($K23,Lists!$G$3:$G$8,0),GPS!$G$6,GPS!$G$7,GPS!$G$8,GPS!$G$9,GPS!$G$10,GPS!$G$11),""),IFERROR(IF($N23="LSI",INDEX($I$109:$I$132,MATCH($K23,$C$109:$C$132,0)),IF($N23="L",INDEX($G$109:$G$132,MATCH($K23,$C$109:$C$132,0)),IF($N23="R",INDEX($H$109:$H$132,MATCH($K23,$C$109:$C$132,0)),IF(Dashboard!$K$5="L",INDEX($G$109:$G$132,MATCH($K23,$C$109:$C$132,0)),IF(Dashboard!$K$5="R",INDEX($H$109:$H$132,MATCH($K23,$C$109:$C$132,0)),""))))),"")))&lt;=$P23,IF(OR($K23="",$K23="Manual"),"",IF(LEFT($K23,4)="GPS:",IFERROR(CHOOSE(MATCH($K23,Lists!$G$3:$G$8,0),GPS!$G$6,GPS!$G$7,GPS!$G$8,GPS!$G$9,GPS!$G$10,GPS!$G$11),""),IFERROR(IF($N23="LSI",INDEX($I$109:$I$132,MATCH($K23,$C$109:$C$132,0)),IF($N23="L",INDEX($G$109:$G$132,MATCH($K23,$C$109:$C$132,0)),IF($N23="R",INDEX($H$109:$H$132,MATCH($K23,$C$109:$C$132,0)),IF(Dashboard!$K$5="L",INDEX($G$109:$G$132,MATCH($K23,$C$109:$C$132,0)),IF(Dashboard!$K$5="R",INDEX($H$109:$H$132,MATCH($K23,$C$109:$C$132,0)),""))))),"")))&gt;=$P23),"MET","NOT MET"))</f>
        <v/>
      </c>
      <c r="T23" s="7"/>
      <c r="U23" s="68" t="str">
        <f aca="false">IF($T23&lt;&gt;"",$T23,IF($S23="MET","Y",IF($S23="NOT MET","N","")))</f>
        <v/>
      </c>
      <c r="V23" s="70" t="str">
        <f aca="false">IF($U23="Y",IFERROR(IF(LEFT($K23,4)="GPS:","",INDEX($J$109:$J$132,MATCH($K23,$C$109:$C$132,0))),""),"")</f>
        <v/>
      </c>
      <c r="W23" s="70"/>
      <c r="X23" s="58"/>
      <c r="Y23" s="58"/>
      <c r="Z23" s="58"/>
      <c r="AA23" s="58"/>
    </row>
    <row r="24" customFormat="false" ht="15.75" hidden="false" customHeight="true" outlineLevel="0" collapsed="false">
      <c r="A24" s="33"/>
      <c r="B24" s="33" t="s">
        <v>94</v>
      </c>
      <c r="C24" s="33"/>
      <c r="D24" s="33" t="s">
        <v>139</v>
      </c>
      <c r="E24" s="33"/>
      <c r="F24" s="33"/>
      <c r="G24" s="33"/>
      <c r="H24" s="33"/>
      <c r="I24" s="33"/>
      <c r="J24" s="33"/>
      <c r="K24" s="33" t="s">
        <v>140</v>
      </c>
      <c r="L24" s="33"/>
      <c r="M24" s="33"/>
      <c r="N24" s="33" t="s">
        <v>141</v>
      </c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 customFormat="false" ht="15" hidden="false" customHeight="true" outlineLevel="0" collapsed="false">
      <c r="A25" s="57" t="n">
        <v>1</v>
      </c>
      <c r="B25" s="71" t="s">
        <v>189</v>
      </c>
      <c r="C25" s="71"/>
      <c r="D25" s="72" t="str">
        <f aca="false">IF(COUNTA($D$6:$D$8)=0,"No criteria defined",COUNTIFS($D$6:$D$8,"&lt;&gt;",$U$6:$U$8,"Y")&amp;" / "&amp;COUNTA($D$6:$D$8))</f>
        <v>0 / 2</v>
      </c>
      <c r="E25" s="72"/>
      <c r="F25" s="72"/>
      <c r="G25" s="72"/>
      <c r="H25" s="72"/>
      <c r="I25" s="72"/>
      <c r="J25" s="72"/>
      <c r="K25" s="68" t="str">
        <f aca="false">IF(AND(COUNTA($D$6:$D$8)&gt;0,COUNTIFS($D$6:$D$8,"&lt;&gt;",$U$6:$U$8,"Y")=COUNTA($D$6:$D$8)),"Y","N")</f>
        <v>N</v>
      </c>
      <c r="L25" s="68"/>
      <c r="M25" s="68"/>
      <c r="N25" s="73" t="str">
        <f aca="false">IF(K25="Y","—",IF(AND($D$6&lt;&gt;"",$U$6&lt;&gt;"Y"),$D$6,IF(AND($D$7&lt;&gt;"",$U$7&lt;&gt;"Y"),$D$7,IF(AND($D$8&lt;&gt;"",$U$8&lt;&gt;"Y"),$D$8,""))))</f>
        <v>Pain-free walking &amp; ADLs</v>
      </c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</row>
    <row r="26" customFormat="false" ht="15" hidden="false" customHeight="true" outlineLevel="0" collapsed="false">
      <c r="A26" s="57" t="n">
        <v>2</v>
      </c>
      <c r="B26" s="71" t="s">
        <v>193</v>
      </c>
      <c r="C26" s="71"/>
      <c r="D26" s="72" t="str">
        <f aca="false">IF(COUNTA($D$9:$D$11)=0,"No criteria defined",COUNTIFS($D$9:$D$11,"&lt;&gt;",$U$9:$U$11,"Y")&amp;" / "&amp;COUNTA($D$9:$D$11))</f>
        <v>0 / 3</v>
      </c>
      <c r="E26" s="72"/>
      <c r="F26" s="72"/>
      <c r="G26" s="72"/>
      <c r="H26" s="72"/>
      <c r="I26" s="72"/>
      <c r="J26" s="72"/>
      <c r="K26" s="68" t="str">
        <f aca="false">IF(AND(COUNTA($D$9:$D$11)&gt;0,COUNTIFS($D$9:$D$11,"&lt;&gt;",$U$9:$U$11,"Y")=COUNTA($D$9:$D$11)),"Y","N")</f>
        <v>N</v>
      </c>
      <c r="L26" s="68"/>
      <c r="M26" s="68"/>
      <c r="N26" s="73" t="str">
        <f aca="false">IF(K26="Y","—",IF(AND($D$9&lt;&gt;"",$U$9&lt;&gt;"Y"),$D$9,IF(AND($D$10&lt;&gt;"",$U$10&lt;&gt;"Y"),$D$10,IF(AND($D$11&lt;&gt;"",$U$11&lt;&gt;"Y"),$D$11,""))))</f>
        <v>Iso 90/90 ≥ 80% LSI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</row>
    <row r="27" customFormat="false" ht="15" hidden="false" customHeight="true" outlineLevel="0" collapsed="false">
      <c r="A27" s="57" t="n">
        <v>3</v>
      </c>
      <c r="B27" s="71" t="s">
        <v>198</v>
      </c>
      <c r="C27" s="71"/>
      <c r="D27" s="72" t="str">
        <f aca="false">IF(COUNTA($D$12:$D$14)=0,"No criteria defined",COUNTIFS($D$12:$D$14,"&lt;&gt;",$U$12:$U$14,"Y")&amp;" / "&amp;COUNTA($D$12:$D$14))</f>
        <v>0 / 3</v>
      </c>
      <c r="E27" s="72"/>
      <c r="F27" s="72"/>
      <c r="G27" s="72"/>
      <c r="H27" s="72"/>
      <c r="I27" s="72"/>
      <c r="J27" s="72"/>
      <c r="K27" s="68" t="str">
        <f aca="false">IF(AND(COUNTA($D$12:$D$14)&gt;0,COUNTIFS($D$12:$D$14,"&lt;&gt;",$U$12:$U$14,"Y")=COUNTA($D$12:$D$14)),"Y","N")</f>
        <v>N</v>
      </c>
      <c r="L27" s="68"/>
      <c r="M27" s="68"/>
      <c r="N27" s="73" t="str">
        <f aca="false">IF(K27="Y","—",IF(AND($D$12&lt;&gt;"",$U$12&lt;&gt;"Y"),$D$12,IF(AND($D$13&lt;&gt;"",$U$13&lt;&gt;"Y"),$D$13,IF(AND($D$14&lt;&gt;"",$U$14&lt;&gt;"Y"),$D$14,""))))</f>
        <v>NordBord eccentric ≥ 80% LSI</v>
      </c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</row>
    <row r="28" customFormat="false" ht="15" hidden="false" customHeight="true" outlineLevel="0" collapsed="false">
      <c r="A28" s="57" t="n">
        <v>4</v>
      </c>
      <c r="B28" s="71" t="s">
        <v>204</v>
      </c>
      <c r="C28" s="71"/>
      <c r="D28" s="72" t="str">
        <f aca="false">IF(COUNTA($D$15:$D$17)=0,"No criteria defined",COUNTIFS($D$15:$D$17,"&lt;&gt;",$U$15:$U$17,"Y")&amp;" / "&amp;COUNTA($D$15:$D$17))</f>
        <v>0 / 3</v>
      </c>
      <c r="E28" s="72"/>
      <c r="F28" s="72"/>
      <c r="G28" s="72"/>
      <c r="H28" s="72"/>
      <c r="I28" s="72"/>
      <c r="J28" s="72"/>
      <c r="K28" s="68" t="str">
        <f aca="false">IF(AND(COUNTA($D$15:$D$17)&gt;0,COUNTIFS($D$15:$D$17,"&lt;&gt;",$U$15:$U$17,"Y")=COUNTA($D$15:$D$17)),"Y","N")</f>
        <v>N</v>
      </c>
      <c r="L28" s="68"/>
      <c r="M28" s="68"/>
      <c r="N28" s="73" t="str">
        <f aca="false">IF(K28="Y","—",IF(AND($D$15&lt;&gt;"",$U$15&lt;&gt;"Y"),$D$15,IF(AND($D$16&lt;&gt;"",$U$16&lt;&gt;"Y"),$D$16,IF(AND($D$17&lt;&gt;"",$U$17&lt;&gt;"Y"),$D$17,""))))</f>
        <v>NordBord eccentric ≥ 90% LSI</v>
      </c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</row>
    <row r="29" customFormat="false" ht="15" hidden="false" customHeight="true" outlineLevel="0" collapsed="false">
      <c r="A29" s="57" t="n">
        <v>5</v>
      </c>
      <c r="B29" s="71" t="s">
        <v>209</v>
      </c>
      <c r="C29" s="71"/>
      <c r="D29" s="72" t="str">
        <f aca="false">IF(COUNTA($D$18:$D$20)=0,"No criteria defined",COUNTIFS($D$18:$D$20,"&lt;&gt;",$U$18:$U$20,"Y")&amp;" / "&amp;COUNTA($D$18:$D$20))</f>
        <v>0 / 3</v>
      </c>
      <c r="E29" s="72"/>
      <c r="F29" s="72"/>
      <c r="G29" s="72"/>
      <c r="H29" s="72"/>
      <c r="I29" s="72"/>
      <c r="J29" s="72"/>
      <c r="K29" s="68" t="str">
        <f aca="false">IF(AND(COUNTA($D$18:$D$20)&gt;0,COUNTIFS($D$18:$D$20,"&lt;&gt;",$U$18:$U$20,"Y")=COUNTA($D$18:$D$20)),"Y","N")</f>
        <v>N</v>
      </c>
      <c r="L29" s="68"/>
      <c r="M29" s="68"/>
      <c r="N29" s="73" t="str">
        <f aca="false">IF(K29="Y","—",IF(AND($D$18&lt;&gt;"",$U$18&lt;&gt;"Y"),$D$18,IF(AND($D$19&lt;&gt;"",$U$19&lt;&gt;"Y"),$D$19,IF(AND($D$20&lt;&gt;"",$U$20&lt;&gt;"Y"),$D$20,""))))</f>
        <v>Total distance ≥ 90% of baseline</v>
      </c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</row>
    <row r="30" customFormat="false" ht="15" hidden="false" customHeight="true" outlineLevel="0" collapsed="false">
      <c r="A30" s="57" t="n">
        <v>6</v>
      </c>
      <c r="B30" s="71" t="s">
        <v>210</v>
      </c>
      <c r="C30" s="71"/>
      <c r="D30" s="72" t="str">
        <f aca="false">IF(COUNTA($D$21:$D$23)=0,"No criteria defined",COUNTIFS($D$21:$D$23,"&lt;&gt;",$U$21:$U$23,"Y")&amp;" / "&amp;COUNTA($D$21:$D$23))</f>
        <v>0 / 3</v>
      </c>
      <c r="E30" s="72"/>
      <c r="F30" s="72"/>
      <c r="G30" s="72"/>
      <c r="H30" s="72"/>
      <c r="I30" s="72"/>
      <c r="J30" s="72"/>
      <c r="K30" s="68" t="str">
        <f aca="false">IF(AND(COUNTA($D$21:$D$23)&gt;0,COUNTIFS($D$21:$D$23,"&lt;&gt;",$U$21:$U$23,"Y")=COUNTA($D$21:$D$23)),"Y","N")</f>
        <v>N</v>
      </c>
      <c r="L30" s="68"/>
      <c r="M30" s="68"/>
      <c r="N30" s="73" t="str">
        <f aca="false">IF(K30="Y","—",IF(AND($D$21&lt;&gt;"",$U$21&lt;&gt;"Y"),$D$21,IF(AND($D$22&lt;&gt;"",$U$22&lt;&gt;"Y"),$D$22,IF(AND($D$23&lt;&gt;"",$U$23&lt;&gt;"Y"),$D$23,""))))</f>
        <v>Total distance ≥ 100% of baseline</v>
      </c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</row>
    <row r="31" customFormat="false" ht="30" hidden="false" customHeight="true" outlineLevel="0" collapsed="false">
      <c r="A31" s="74" t="s">
        <v>41</v>
      </c>
      <c r="B31" s="74"/>
      <c r="C31" s="74"/>
      <c r="D31" s="74"/>
      <c r="E31" s="75" t="str">
        <f aca="false">IFERROR(INDEX($B$25:$B$30,MATCH("N",$K$25:$K$30,0)),"Rehab complete — RTP")</f>
        <v>1. Foundation</v>
      </c>
      <c r="F31" s="75"/>
      <c r="G31" s="75"/>
      <c r="H31" s="75"/>
      <c r="I31" s="75"/>
      <c r="J31" s="75"/>
      <c r="K31" s="65" t="s">
        <v>142</v>
      </c>
      <c r="L31" s="65"/>
      <c r="M31" s="65"/>
      <c r="N31" s="65"/>
      <c r="O31" s="68" t="str">
        <f aca="false">COUNTIF($K$25:$K$30,"Y")&amp;" / 6"</f>
        <v>0 / 6</v>
      </c>
      <c r="P31" s="68"/>
      <c r="Q31" s="68"/>
      <c r="R31" s="69" t="str">
        <f aca="false">IF(COUNTIF($K$25:$K$30,"Y")&gt;=6,"COMPLETE",IF(COUNTIF($K$25:$K$30,"Y")=0,"NOT STARTED","IN PROGRESS"))</f>
        <v>NOT STARTED</v>
      </c>
      <c r="S31" s="76" t="s">
        <v>143</v>
      </c>
      <c r="T31" s="60" t="str">
        <f aca="false">IFERROR(_xlfn.TEXTJOIN("   ·   ",TRUE(),IF(AND(INDEX($D$6:$D$23,((MATCH("N",$K$25:$K$30,0))-1)*3+1)&lt;&gt;"",INDEX($U$6:$U$23,((MATCH("N",$K$25:$K$30,0))-1)*3+1)&lt;&gt;"Y"),INDEX($D$6:$D$23,((MATCH("N",$K$25:$K$30,0))-1)*3+1),""),IF(AND(INDEX($D$6:$D$23,((MATCH("N",$K$25:$K$30,0))-1)*3+2)&lt;&gt;"",INDEX($U$6:$U$23,((MATCH("N",$K$25:$K$30,0))-1)*3+2)&lt;&gt;"Y"),INDEX($D$6:$D$23,((MATCH("N",$K$25:$K$30,0))-1)*3+2),""),IF(AND(INDEX($D$6:$D$23,((MATCH("N",$K$25:$K$30,0))-1)*3+3)&lt;&gt;"",INDEX($U$6:$U$23,((MATCH("N",$K$25:$K$30,0))-1)*3+3)&lt;&gt;"Y"),INDEX($D$6:$D$23,((MATCH("N",$K$25:$K$30,0))-1)*3+3),"")),"")</f>
        <v>Pain-free walking &amp; ADLs   ·   AKE ≥ 80% of other side</v>
      </c>
      <c r="U31" s="60"/>
      <c r="V31" s="60"/>
      <c r="W31" s="60"/>
      <c r="X31" s="60"/>
      <c r="Y31" s="60"/>
      <c r="Z31" s="60"/>
      <c r="AA31" s="60"/>
    </row>
    <row r="33" customFormat="false" ht="19.5" hidden="false" customHeight="true" outlineLevel="0" collapsed="false">
      <c r="A33" s="62" t="s">
        <v>144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</row>
    <row r="34" customFormat="false" ht="31.5" hidden="false" customHeight="true" outlineLevel="0" collapsed="false">
      <c r="A34" s="55" t="s">
        <v>52</v>
      </c>
      <c r="B34" s="55" t="s">
        <v>75</v>
      </c>
      <c r="C34" s="77" t="s">
        <v>192</v>
      </c>
      <c r="D34" s="77"/>
      <c r="E34" s="77"/>
      <c r="F34" s="77" t="s">
        <v>212</v>
      </c>
      <c r="G34" s="77"/>
      <c r="H34" s="77"/>
      <c r="I34" s="77" t="s">
        <v>112</v>
      </c>
      <c r="J34" s="77"/>
      <c r="K34" s="77"/>
      <c r="L34" s="78" t="s">
        <v>150</v>
      </c>
      <c r="M34" s="78"/>
      <c r="N34" s="78"/>
      <c r="O34" s="78" t="s">
        <v>150</v>
      </c>
      <c r="P34" s="78"/>
      <c r="Q34" s="78"/>
      <c r="R34" s="78" t="s">
        <v>150</v>
      </c>
      <c r="S34" s="78"/>
      <c r="T34" s="78"/>
      <c r="U34" s="78" t="s">
        <v>150</v>
      </c>
      <c r="V34" s="78"/>
      <c r="W34" s="78"/>
      <c r="X34" s="78" t="s">
        <v>150</v>
      </c>
      <c r="Y34" s="78"/>
      <c r="Z34" s="78"/>
      <c r="AA34" s="55" t="s">
        <v>84</v>
      </c>
    </row>
    <row r="35" customFormat="false" ht="15.75" hidden="false" customHeight="true" outlineLevel="0" collapsed="false">
      <c r="A35" s="55"/>
      <c r="B35" s="55"/>
      <c r="C35" s="55" t="s">
        <v>12</v>
      </c>
      <c r="D35" s="55" t="s">
        <v>49</v>
      </c>
      <c r="E35" s="55" t="s">
        <v>50</v>
      </c>
      <c r="F35" s="55" t="s">
        <v>12</v>
      </c>
      <c r="G35" s="55" t="s">
        <v>49</v>
      </c>
      <c r="H35" s="55" t="s">
        <v>50</v>
      </c>
      <c r="I35" s="55" t="s">
        <v>12</v>
      </c>
      <c r="J35" s="55" t="s">
        <v>49</v>
      </c>
      <c r="K35" s="55" t="s">
        <v>50</v>
      </c>
      <c r="L35" s="55" t="s">
        <v>12</v>
      </c>
      <c r="M35" s="55" t="s">
        <v>49</v>
      </c>
      <c r="N35" s="55" t="s">
        <v>50</v>
      </c>
      <c r="O35" s="55" t="s">
        <v>12</v>
      </c>
      <c r="P35" s="55" t="s">
        <v>49</v>
      </c>
      <c r="Q35" s="55" t="s">
        <v>50</v>
      </c>
      <c r="R35" s="55" t="s">
        <v>12</v>
      </c>
      <c r="S35" s="55" t="s">
        <v>49</v>
      </c>
      <c r="T35" s="55" t="s">
        <v>50</v>
      </c>
      <c r="U35" s="55" t="s">
        <v>12</v>
      </c>
      <c r="V35" s="55" t="s">
        <v>49</v>
      </c>
      <c r="W35" s="55" t="s">
        <v>50</v>
      </c>
      <c r="X35" s="55" t="s">
        <v>12</v>
      </c>
      <c r="Y35" s="55" t="s">
        <v>49</v>
      </c>
      <c r="Z35" s="55" t="s">
        <v>50</v>
      </c>
      <c r="AA35" s="55"/>
    </row>
    <row r="36" customFormat="false" ht="15" hidden="false" customHeight="false" outlineLevel="0" collapsed="false">
      <c r="A36" s="56"/>
      <c r="B36" s="57" t="str">
        <f aca="false">IF(A36="","",IF(Dashboard!$L$5="","",INT((A36-Dashboard!$L$5)/7)+1))</f>
        <v/>
      </c>
      <c r="C36" s="67"/>
      <c r="D36" s="67"/>
      <c r="E36" s="79" t="str">
        <f aca="false">IFERROR(IF(OR(C36="",D36=""),"",IF(Dashboard!$K$5="L",IF(D36=0,"",C36/D36),IF(Dashboard!$K$5="R",IF(C36=0,"",D36/C36),IF(MAX(C36,D36)=0,"",MIN(C36,D36)/MAX(C36,D36))))),"")</f>
        <v/>
      </c>
      <c r="F36" s="67"/>
      <c r="G36" s="67"/>
      <c r="H36" s="79" t="str">
        <f aca="false">IFERROR(IF(OR(F36="",G36=""),"",IF(Dashboard!$K$5="L",IF(G36=0,"",F36/G36),IF(Dashboard!$K$5="R",IF(F36=0,"",G36/F36),IF(MAX(F36,G36)=0,"",MIN(F36,G36)/MAX(F36,G36))))),"")</f>
        <v/>
      </c>
      <c r="I36" s="67"/>
      <c r="J36" s="67"/>
      <c r="K36" s="79" t="str">
        <f aca="false">IFERROR(IF(OR(I36="",J36=""),"",IF(Dashboard!$K$5="L",IF(J36=0,"",I36/J36),IF(Dashboard!$K$5="R",IF(I36=0,"",J36/I36),IF(MAX(I36,J36)=0,"",MIN(I36,J36)/MAX(I36,J36))))),"")</f>
        <v/>
      </c>
      <c r="L36" s="67"/>
      <c r="M36" s="67"/>
      <c r="N36" s="79" t="str">
        <f aca="false">IFERROR(IF(OR(L36="",M36=""),"",IF(Dashboard!$K$5="L",IF(M36=0,"",L36/M36),IF(Dashboard!$K$5="R",IF(L36=0,"",M36/L36),IF(MAX(L36,M36)=0,"",MIN(L36,M36)/MAX(L36,M36))))),"")</f>
        <v/>
      </c>
      <c r="O36" s="67"/>
      <c r="P36" s="67"/>
      <c r="Q36" s="79" t="str">
        <f aca="false">IFERROR(IF(OR(O36="",P36=""),"",IF(Dashboard!$K$5="L",IF(P36=0,"",O36/P36),IF(Dashboard!$K$5="R",IF(O36=0,"",P36/O36),IF(MAX(O36,P36)=0,"",MIN(O36,P36)/MAX(O36,P36))))),"")</f>
        <v/>
      </c>
      <c r="R36" s="67"/>
      <c r="S36" s="67"/>
      <c r="T36" s="79" t="str">
        <f aca="false">IFERROR(IF(OR(R36="",S36=""),"",IF(Dashboard!$K$5="L",IF(S36=0,"",R36/S36),IF(Dashboard!$K$5="R",IF(R36=0,"",S36/R36),IF(MAX(R36,S36)=0,"",MIN(R36,S36)/MAX(R36,S36))))),"")</f>
        <v/>
      </c>
      <c r="U36" s="67"/>
      <c r="V36" s="67"/>
      <c r="W36" s="79" t="str">
        <f aca="false">IFERROR(IF(OR(U36="",V36=""),"",IF(Dashboard!$K$5="L",IF(V36=0,"",U36/V36),IF(Dashboard!$K$5="R",IF(U36=0,"",V36/U36),IF(MAX(U36,V36)=0,"",MIN(U36,V36)/MAX(U36,V36))))),"")</f>
        <v/>
      </c>
      <c r="X36" s="67"/>
      <c r="Y36" s="67"/>
      <c r="Z36" s="79" t="str">
        <f aca="false">IFERROR(IF(OR(X36="",Y36=""),"",IF(Dashboard!$K$5="L",IF(Y36=0,"",X36/Y36),IF(Dashboard!$K$5="R",IF(X36=0,"",Y36/X36),IF(MAX(X36,Y36)=0,"",MIN(X36,Y36)/MAX(X36,Y36))))),"")</f>
        <v/>
      </c>
      <c r="AA36" s="58"/>
    </row>
    <row r="37" customFormat="false" ht="15" hidden="false" customHeight="false" outlineLevel="0" collapsed="false">
      <c r="A37" s="56"/>
      <c r="B37" s="57" t="str">
        <f aca="false">IF(A37="","",IF(Dashboard!$L$5="","",INT((A37-Dashboard!$L$5)/7)+1))</f>
        <v/>
      </c>
      <c r="C37" s="67"/>
      <c r="D37" s="67"/>
      <c r="E37" s="79" t="str">
        <f aca="false">IFERROR(IF(OR(C37="",D37=""),"",IF(Dashboard!$K$5="L",IF(D37=0,"",C37/D37),IF(Dashboard!$K$5="R",IF(C37=0,"",D37/C37),IF(MAX(C37,D37)=0,"",MIN(C37,D37)/MAX(C37,D37))))),"")</f>
        <v/>
      </c>
      <c r="F37" s="67"/>
      <c r="G37" s="67"/>
      <c r="H37" s="79" t="str">
        <f aca="false">IFERROR(IF(OR(F37="",G37=""),"",IF(Dashboard!$K$5="L",IF(G37=0,"",F37/G37),IF(Dashboard!$K$5="R",IF(F37=0,"",G37/F37),IF(MAX(F37,G37)=0,"",MIN(F37,G37)/MAX(F37,G37))))),"")</f>
        <v/>
      </c>
      <c r="I37" s="67"/>
      <c r="J37" s="67"/>
      <c r="K37" s="79" t="str">
        <f aca="false">IFERROR(IF(OR(I37="",J37=""),"",IF(Dashboard!$K$5="L",IF(J37=0,"",I37/J37),IF(Dashboard!$K$5="R",IF(I37=0,"",J37/I37),IF(MAX(I37,J37)=0,"",MIN(I37,J37)/MAX(I37,J37))))),"")</f>
        <v/>
      </c>
      <c r="L37" s="67"/>
      <c r="M37" s="67"/>
      <c r="N37" s="79" t="str">
        <f aca="false">IFERROR(IF(OR(L37="",M37=""),"",IF(Dashboard!$K$5="L",IF(M37=0,"",L37/M37),IF(Dashboard!$K$5="R",IF(L37=0,"",M37/L37),IF(MAX(L37,M37)=0,"",MIN(L37,M37)/MAX(L37,M37))))),"")</f>
        <v/>
      </c>
      <c r="O37" s="67"/>
      <c r="P37" s="67"/>
      <c r="Q37" s="79" t="str">
        <f aca="false">IFERROR(IF(OR(O37="",P37=""),"",IF(Dashboard!$K$5="L",IF(P37=0,"",O37/P37),IF(Dashboard!$K$5="R",IF(O37=0,"",P37/O37),IF(MAX(O37,P37)=0,"",MIN(O37,P37)/MAX(O37,P37))))),"")</f>
        <v/>
      </c>
      <c r="R37" s="67"/>
      <c r="S37" s="67"/>
      <c r="T37" s="79" t="str">
        <f aca="false">IFERROR(IF(OR(R37="",S37=""),"",IF(Dashboard!$K$5="L",IF(S37=0,"",R37/S37),IF(Dashboard!$K$5="R",IF(R37=0,"",S37/R37),IF(MAX(R37,S37)=0,"",MIN(R37,S37)/MAX(R37,S37))))),"")</f>
        <v/>
      </c>
      <c r="U37" s="67"/>
      <c r="V37" s="67"/>
      <c r="W37" s="79" t="str">
        <f aca="false">IFERROR(IF(OR(U37="",V37=""),"",IF(Dashboard!$K$5="L",IF(V37=0,"",U37/V37),IF(Dashboard!$K$5="R",IF(U37=0,"",V37/U37),IF(MAX(U37,V37)=0,"",MIN(U37,V37)/MAX(U37,V37))))),"")</f>
        <v/>
      </c>
      <c r="X37" s="67"/>
      <c r="Y37" s="67"/>
      <c r="Z37" s="79" t="str">
        <f aca="false">IFERROR(IF(OR(X37="",Y37=""),"",IF(Dashboard!$K$5="L",IF(Y37=0,"",X37/Y37),IF(Dashboard!$K$5="R",IF(X37=0,"",Y37/X37),IF(MAX(X37,Y37)=0,"",MIN(X37,Y37)/MAX(X37,Y37))))),"")</f>
        <v/>
      </c>
      <c r="AA37" s="58"/>
    </row>
    <row r="38" customFormat="false" ht="15" hidden="false" customHeight="false" outlineLevel="0" collapsed="false">
      <c r="A38" s="56"/>
      <c r="B38" s="57" t="str">
        <f aca="false">IF(A38="","",IF(Dashboard!$L$5="","",INT((A38-Dashboard!$L$5)/7)+1))</f>
        <v/>
      </c>
      <c r="C38" s="67"/>
      <c r="D38" s="67"/>
      <c r="E38" s="79" t="str">
        <f aca="false">IFERROR(IF(OR(C38="",D38=""),"",IF(Dashboard!$K$5="L",IF(D38=0,"",C38/D38),IF(Dashboard!$K$5="R",IF(C38=0,"",D38/C38),IF(MAX(C38,D38)=0,"",MIN(C38,D38)/MAX(C38,D38))))),"")</f>
        <v/>
      </c>
      <c r="F38" s="67"/>
      <c r="G38" s="67"/>
      <c r="H38" s="79" t="str">
        <f aca="false">IFERROR(IF(OR(F38="",G38=""),"",IF(Dashboard!$K$5="L",IF(G38=0,"",F38/G38),IF(Dashboard!$K$5="R",IF(F38=0,"",G38/F38),IF(MAX(F38,G38)=0,"",MIN(F38,G38)/MAX(F38,G38))))),"")</f>
        <v/>
      </c>
      <c r="I38" s="67"/>
      <c r="J38" s="67"/>
      <c r="K38" s="79" t="str">
        <f aca="false">IFERROR(IF(OR(I38="",J38=""),"",IF(Dashboard!$K$5="L",IF(J38=0,"",I38/J38),IF(Dashboard!$K$5="R",IF(I38=0,"",J38/I38),IF(MAX(I38,J38)=0,"",MIN(I38,J38)/MAX(I38,J38))))),"")</f>
        <v/>
      </c>
      <c r="L38" s="67"/>
      <c r="M38" s="67"/>
      <c r="N38" s="79" t="str">
        <f aca="false">IFERROR(IF(OR(L38="",M38=""),"",IF(Dashboard!$K$5="L",IF(M38=0,"",L38/M38),IF(Dashboard!$K$5="R",IF(L38=0,"",M38/L38),IF(MAX(L38,M38)=0,"",MIN(L38,M38)/MAX(L38,M38))))),"")</f>
        <v/>
      </c>
      <c r="O38" s="67"/>
      <c r="P38" s="67"/>
      <c r="Q38" s="79" t="str">
        <f aca="false">IFERROR(IF(OR(O38="",P38=""),"",IF(Dashboard!$K$5="L",IF(P38=0,"",O38/P38),IF(Dashboard!$K$5="R",IF(O38=0,"",P38/O38),IF(MAX(O38,P38)=0,"",MIN(O38,P38)/MAX(O38,P38))))),"")</f>
        <v/>
      </c>
      <c r="R38" s="67"/>
      <c r="S38" s="67"/>
      <c r="T38" s="79" t="str">
        <f aca="false">IFERROR(IF(OR(R38="",S38=""),"",IF(Dashboard!$K$5="L",IF(S38=0,"",R38/S38),IF(Dashboard!$K$5="R",IF(R38=0,"",S38/R38),IF(MAX(R38,S38)=0,"",MIN(R38,S38)/MAX(R38,S38))))),"")</f>
        <v/>
      </c>
      <c r="U38" s="67"/>
      <c r="V38" s="67"/>
      <c r="W38" s="79" t="str">
        <f aca="false">IFERROR(IF(OR(U38="",V38=""),"",IF(Dashboard!$K$5="L",IF(V38=0,"",U38/V38),IF(Dashboard!$K$5="R",IF(U38=0,"",V38/U38),IF(MAX(U38,V38)=0,"",MIN(U38,V38)/MAX(U38,V38))))),"")</f>
        <v/>
      </c>
      <c r="X38" s="67"/>
      <c r="Y38" s="67"/>
      <c r="Z38" s="79" t="str">
        <f aca="false">IFERROR(IF(OR(X38="",Y38=""),"",IF(Dashboard!$K$5="L",IF(Y38=0,"",X38/Y38),IF(Dashboard!$K$5="R",IF(X38=0,"",Y38/X38),IF(MAX(X38,Y38)=0,"",MIN(X38,Y38)/MAX(X38,Y38))))),"")</f>
        <v/>
      </c>
      <c r="AA38" s="58"/>
    </row>
    <row r="39" customFormat="false" ht="15" hidden="false" customHeight="false" outlineLevel="0" collapsed="false">
      <c r="A39" s="56"/>
      <c r="B39" s="57" t="str">
        <f aca="false">IF(A39="","",IF(Dashboard!$L$5="","",INT((A39-Dashboard!$L$5)/7)+1))</f>
        <v/>
      </c>
      <c r="C39" s="67"/>
      <c r="D39" s="67"/>
      <c r="E39" s="79" t="str">
        <f aca="false">IFERROR(IF(OR(C39="",D39=""),"",IF(Dashboard!$K$5="L",IF(D39=0,"",C39/D39),IF(Dashboard!$K$5="R",IF(C39=0,"",D39/C39),IF(MAX(C39,D39)=0,"",MIN(C39,D39)/MAX(C39,D39))))),"")</f>
        <v/>
      </c>
      <c r="F39" s="67"/>
      <c r="G39" s="67"/>
      <c r="H39" s="79" t="str">
        <f aca="false">IFERROR(IF(OR(F39="",G39=""),"",IF(Dashboard!$K$5="L",IF(G39=0,"",F39/G39),IF(Dashboard!$K$5="R",IF(F39=0,"",G39/F39),IF(MAX(F39,G39)=0,"",MIN(F39,G39)/MAX(F39,G39))))),"")</f>
        <v/>
      </c>
      <c r="I39" s="67"/>
      <c r="J39" s="67"/>
      <c r="K39" s="79" t="str">
        <f aca="false">IFERROR(IF(OR(I39="",J39=""),"",IF(Dashboard!$K$5="L",IF(J39=0,"",I39/J39),IF(Dashboard!$K$5="R",IF(I39=0,"",J39/I39),IF(MAX(I39,J39)=0,"",MIN(I39,J39)/MAX(I39,J39))))),"")</f>
        <v/>
      </c>
      <c r="L39" s="67"/>
      <c r="M39" s="67"/>
      <c r="N39" s="79" t="str">
        <f aca="false">IFERROR(IF(OR(L39="",M39=""),"",IF(Dashboard!$K$5="L",IF(M39=0,"",L39/M39),IF(Dashboard!$K$5="R",IF(L39=0,"",M39/L39),IF(MAX(L39,M39)=0,"",MIN(L39,M39)/MAX(L39,M39))))),"")</f>
        <v/>
      </c>
      <c r="O39" s="67"/>
      <c r="P39" s="67"/>
      <c r="Q39" s="79" t="str">
        <f aca="false">IFERROR(IF(OR(O39="",P39=""),"",IF(Dashboard!$K$5="L",IF(P39=0,"",O39/P39),IF(Dashboard!$K$5="R",IF(O39=0,"",P39/O39),IF(MAX(O39,P39)=0,"",MIN(O39,P39)/MAX(O39,P39))))),"")</f>
        <v/>
      </c>
      <c r="R39" s="67"/>
      <c r="S39" s="67"/>
      <c r="T39" s="79" t="str">
        <f aca="false">IFERROR(IF(OR(R39="",S39=""),"",IF(Dashboard!$K$5="L",IF(S39=0,"",R39/S39),IF(Dashboard!$K$5="R",IF(R39=0,"",S39/R39),IF(MAX(R39,S39)=0,"",MIN(R39,S39)/MAX(R39,S39))))),"")</f>
        <v/>
      </c>
      <c r="U39" s="67"/>
      <c r="V39" s="67"/>
      <c r="W39" s="79" t="str">
        <f aca="false">IFERROR(IF(OR(U39="",V39=""),"",IF(Dashboard!$K$5="L",IF(V39=0,"",U39/V39),IF(Dashboard!$K$5="R",IF(U39=0,"",V39/U39),IF(MAX(U39,V39)=0,"",MIN(U39,V39)/MAX(U39,V39))))),"")</f>
        <v/>
      </c>
      <c r="X39" s="67"/>
      <c r="Y39" s="67"/>
      <c r="Z39" s="79" t="str">
        <f aca="false">IFERROR(IF(OR(X39="",Y39=""),"",IF(Dashboard!$K$5="L",IF(Y39=0,"",X39/Y39),IF(Dashboard!$K$5="R",IF(X39=0,"",Y39/X39),IF(MAX(X39,Y39)=0,"",MIN(X39,Y39)/MAX(X39,Y39))))),"")</f>
        <v/>
      </c>
      <c r="AA39" s="58"/>
    </row>
    <row r="40" customFormat="false" ht="15" hidden="false" customHeight="false" outlineLevel="0" collapsed="false">
      <c r="A40" s="56"/>
      <c r="B40" s="57" t="str">
        <f aca="false">IF(A40="","",IF(Dashboard!$L$5="","",INT((A40-Dashboard!$L$5)/7)+1))</f>
        <v/>
      </c>
      <c r="C40" s="67"/>
      <c r="D40" s="67"/>
      <c r="E40" s="79" t="str">
        <f aca="false">IFERROR(IF(OR(C40="",D40=""),"",IF(Dashboard!$K$5="L",IF(D40=0,"",C40/D40),IF(Dashboard!$K$5="R",IF(C40=0,"",D40/C40),IF(MAX(C40,D40)=0,"",MIN(C40,D40)/MAX(C40,D40))))),"")</f>
        <v/>
      </c>
      <c r="F40" s="67"/>
      <c r="G40" s="67"/>
      <c r="H40" s="79" t="str">
        <f aca="false">IFERROR(IF(OR(F40="",G40=""),"",IF(Dashboard!$K$5="L",IF(G40=0,"",F40/G40),IF(Dashboard!$K$5="R",IF(F40=0,"",G40/F40),IF(MAX(F40,G40)=0,"",MIN(F40,G40)/MAX(F40,G40))))),"")</f>
        <v/>
      </c>
      <c r="I40" s="67"/>
      <c r="J40" s="67"/>
      <c r="K40" s="79" t="str">
        <f aca="false">IFERROR(IF(OR(I40="",J40=""),"",IF(Dashboard!$K$5="L",IF(J40=0,"",I40/J40),IF(Dashboard!$K$5="R",IF(I40=0,"",J40/I40),IF(MAX(I40,J40)=0,"",MIN(I40,J40)/MAX(I40,J40))))),"")</f>
        <v/>
      </c>
      <c r="L40" s="67"/>
      <c r="M40" s="67"/>
      <c r="N40" s="79" t="str">
        <f aca="false">IFERROR(IF(OR(L40="",M40=""),"",IF(Dashboard!$K$5="L",IF(M40=0,"",L40/M40),IF(Dashboard!$K$5="R",IF(L40=0,"",M40/L40),IF(MAX(L40,M40)=0,"",MIN(L40,M40)/MAX(L40,M40))))),"")</f>
        <v/>
      </c>
      <c r="O40" s="67"/>
      <c r="P40" s="67"/>
      <c r="Q40" s="79" t="str">
        <f aca="false">IFERROR(IF(OR(O40="",P40=""),"",IF(Dashboard!$K$5="L",IF(P40=0,"",O40/P40),IF(Dashboard!$K$5="R",IF(O40=0,"",P40/O40),IF(MAX(O40,P40)=0,"",MIN(O40,P40)/MAX(O40,P40))))),"")</f>
        <v/>
      </c>
      <c r="R40" s="67"/>
      <c r="S40" s="67"/>
      <c r="T40" s="79" t="str">
        <f aca="false">IFERROR(IF(OR(R40="",S40=""),"",IF(Dashboard!$K$5="L",IF(S40=0,"",R40/S40),IF(Dashboard!$K$5="R",IF(R40=0,"",S40/R40),IF(MAX(R40,S40)=0,"",MIN(R40,S40)/MAX(R40,S40))))),"")</f>
        <v/>
      </c>
      <c r="U40" s="67"/>
      <c r="V40" s="67"/>
      <c r="W40" s="79" t="str">
        <f aca="false">IFERROR(IF(OR(U40="",V40=""),"",IF(Dashboard!$K$5="L",IF(V40=0,"",U40/V40),IF(Dashboard!$K$5="R",IF(U40=0,"",V40/U40),IF(MAX(U40,V40)=0,"",MIN(U40,V40)/MAX(U40,V40))))),"")</f>
        <v/>
      </c>
      <c r="X40" s="67"/>
      <c r="Y40" s="67"/>
      <c r="Z40" s="79" t="str">
        <f aca="false">IFERROR(IF(OR(X40="",Y40=""),"",IF(Dashboard!$K$5="L",IF(Y40=0,"",X40/Y40),IF(Dashboard!$K$5="R",IF(X40=0,"",Y40/X40),IF(MAX(X40,Y40)=0,"",MIN(X40,Y40)/MAX(X40,Y40))))),"")</f>
        <v/>
      </c>
      <c r="AA40" s="58"/>
    </row>
    <row r="41" customFormat="false" ht="15" hidden="false" customHeight="false" outlineLevel="0" collapsed="false">
      <c r="A41" s="56"/>
      <c r="B41" s="57" t="str">
        <f aca="false">IF(A41="","",IF(Dashboard!$L$5="","",INT((A41-Dashboard!$L$5)/7)+1))</f>
        <v/>
      </c>
      <c r="C41" s="67"/>
      <c r="D41" s="67"/>
      <c r="E41" s="79" t="str">
        <f aca="false">IFERROR(IF(OR(C41="",D41=""),"",IF(Dashboard!$K$5="L",IF(D41=0,"",C41/D41),IF(Dashboard!$K$5="R",IF(C41=0,"",D41/C41),IF(MAX(C41,D41)=0,"",MIN(C41,D41)/MAX(C41,D41))))),"")</f>
        <v/>
      </c>
      <c r="F41" s="67"/>
      <c r="G41" s="67"/>
      <c r="H41" s="79" t="str">
        <f aca="false">IFERROR(IF(OR(F41="",G41=""),"",IF(Dashboard!$K$5="L",IF(G41=0,"",F41/G41),IF(Dashboard!$K$5="R",IF(F41=0,"",G41/F41),IF(MAX(F41,G41)=0,"",MIN(F41,G41)/MAX(F41,G41))))),"")</f>
        <v/>
      </c>
      <c r="I41" s="67"/>
      <c r="J41" s="67"/>
      <c r="K41" s="79" t="str">
        <f aca="false">IFERROR(IF(OR(I41="",J41=""),"",IF(Dashboard!$K$5="L",IF(J41=0,"",I41/J41),IF(Dashboard!$K$5="R",IF(I41=0,"",J41/I41),IF(MAX(I41,J41)=0,"",MIN(I41,J41)/MAX(I41,J41))))),"")</f>
        <v/>
      </c>
      <c r="L41" s="67"/>
      <c r="M41" s="67"/>
      <c r="N41" s="79" t="str">
        <f aca="false">IFERROR(IF(OR(L41="",M41=""),"",IF(Dashboard!$K$5="L",IF(M41=0,"",L41/M41),IF(Dashboard!$K$5="R",IF(L41=0,"",M41/L41),IF(MAX(L41,M41)=0,"",MIN(L41,M41)/MAX(L41,M41))))),"")</f>
        <v/>
      </c>
      <c r="O41" s="67"/>
      <c r="P41" s="67"/>
      <c r="Q41" s="79" t="str">
        <f aca="false">IFERROR(IF(OR(O41="",P41=""),"",IF(Dashboard!$K$5="L",IF(P41=0,"",O41/P41),IF(Dashboard!$K$5="R",IF(O41=0,"",P41/O41),IF(MAX(O41,P41)=0,"",MIN(O41,P41)/MAX(O41,P41))))),"")</f>
        <v/>
      </c>
      <c r="R41" s="67"/>
      <c r="S41" s="67"/>
      <c r="T41" s="79" t="str">
        <f aca="false">IFERROR(IF(OR(R41="",S41=""),"",IF(Dashboard!$K$5="L",IF(S41=0,"",R41/S41),IF(Dashboard!$K$5="R",IF(R41=0,"",S41/R41),IF(MAX(R41,S41)=0,"",MIN(R41,S41)/MAX(R41,S41))))),"")</f>
        <v/>
      </c>
      <c r="U41" s="67"/>
      <c r="V41" s="67"/>
      <c r="W41" s="79" t="str">
        <f aca="false">IFERROR(IF(OR(U41="",V41=""),"",IF(Dashboard!$K$5="L",IF(V41=0,"",U41/V41),IF(Dashboard!$K$5="R",IF(U41=0,"",V41/U41),IF(MAX(U41,V41)=0,"",MIN(U41,V41)/MAX(U41,V41))))),"")</f>
        <v/>
      </c>
      <c r="X41" s="67"/>
      <c r="Y41" s="67"/>
      <c r="Z41" s="79" t="str">
        <f aca="false">IFERROR(IF(OR(X41="",Y41=""),"",IF(Dashboard!$K$5="L",IF(Y41=0,"",X41/Y41),IF(Dashboard!$K$5="R",IF(X41=0,"",Y41/X41),IF(MAX(X41,Y41)=0,"",MIN(X41,Y41)/MAX(X41,Y41))))),"")</f>
        <v/>
      </c>
      <c r="AA41" s="58"/>
    </row>
    <row r="42" customFormat="false" ht="15" hidden="false" customHeight="false" outlineLevel="0" collapsed="false">
      <c r="A42" s="56"/>
      <c r="B42" s="57" t="str">
        <f aca="false">IF(A42="","",IF(Dashboard!$L$5="","",INT((A42-Dashboard!$L$5)/7)+1))</f>
        <v/>
      </c>
      <c r="C42" s="67"/>
      <c r="D42" s="67"/>
      <c r="E42" s="79" t="str">
        <f aca="false">IFERROR(IF(OR(C42="",D42=""),"",IF(Dashboard!$K$5="L",IF(D42=0,"",C42/D42),IF(Dashboard!$K$5="R",IF(C42=0,"",D42/C42),IF(MAX(C42,D42)=0,"",MIN(C42,D42)/MAX(C42,D42))))),"")</f>
        <v/>
      </c>
      <c r="F42" s="67"/>
      <c r="G42" s="67"/>
      <c r="H42" s="79" t="str">
        <f aca="false">IFERROR(IF(OR(F42="",G42=""),"",IF(Dashboard!$K$5="L",IF(G42=0,"",F42/G42),IF(Dashboard!$K$5="R",IF(F42=0,"",G42/F42),IF(MAX(F42,G42)=0,"",MIN(F42,G42)/MAX(F42,G42))))),"")</f>
        <v/>
      </c>
      <c r="I42" s="67"/>
      <c r="J42" s="67"/>
      <c r="K42" s="79" t="str">
        <f aca="false">IFERROR(IF(OR(I42="",J42=""),"",IF(Dashboard!$K$5="L",IF(J42=0,"",I42/J42),IF(Dashboard!$K$5="R",IF(I42=0,"",J42/I42),IF(MAX(I42,J42)=0,"",MIN(I42,J42)/MAX(I42,J42))))),"")</f>
        <v/>
      </c>
      <c r="L42" s="67"/>
      <c r="M42" s="67"/>
      <c r="N42" s="79" t="str">
        <f aca="false">IFERROR(IF(OR(L42="",M42=""),"",IF(Dashboard!$K$5="L",IF(M42=0,"",L42/M42),IF(Dashboard!$K$5="R",IF(L42=0,"",M42/L42),IF(MAX(L42,M42)=0,"",MIN(L42,M42)/MAX(L42,M42))))),"")</f>
        <v/>
      </c>
      <c r="O42" s="67"/>
      <c r="P42" s="67"/>
      <c r="Q42" s="79" t="str">
        <f aca="false">IFERROR(IF(OR(O42="",P42=""),"",IF(Dashboard!$K$5="L",IF(P42=0,"",O42/P42),IF(Dashboard!$K$5="R",IF(O42=0,"",P42/O42),IF(MAX(O42,P42)=0,"",MIN(O42,P42)/MAX(O42,P42))))),"")</f>
        <v/>
      </c>
      <c r="R42" s="67"/>
      <c r="S42" s="67"/>
      <c r="T42" s="79" t="str">
        <f aca="false">IFERROR(IF(OR(R42="",S42=""),"",IF(Dashboard!$K$5="L",IF(S42=0,"",R42/S42),IF(Dashboard!$K$5="R",IF(R42=0,"",S42/R42),IF(MAX(R42,S42)=0,"",MIN(R42,S42)/MAX(R42,S42))))),"")</f>
        <v/>
      </c>
      <c r="U42" s="67"/>
      <c r="V42" s="67"/>
      <c r="W42" s="79" t="str">
        <f aca="false">IFERROR(IF(OR(U42="",V42=""),"",IF(Dashboard!$K$5="L",IF(V42=0,"",U42/V42),IF(Dashboard!$K$5="R",IF(U42=0,"",V42/U42),IF(MAX(U42,V42)=0,"",MIN(U42,V42)/MAX(U42,V42))))),"")</f>
        <v/>
      </c>
      <c r="X42" s="67"/>
      <c r="Y42" s="67"/>
      <c r="Z42" s="79" t="str">
        <f aca="false">IFERROR(IF(OR(X42="",Y42=""),"",IF(Dashboard!$K$5="L",IF(Y42=0,"",X42/Y42),IF(Dashboard!$K$5="R",IF(X42=0,"",Y42/X42),IF(MAX(X42,Y42)=0,"",MIN(X42,Y42)/MAX(X42,Y42))))),"")</f>
        <v/>
      </c>
      <c r="AA42" s="58"/>
    </row>
    <row r="43" customFormat="false" ht="15" hidden="false" customHeight="false" outlineLevel="0" collapsed="false">
      <c r="A43" s="56"/>
      <c r="B43" s="57" t="str">
        <f aca="false">IF(A43="","",IF(Dashboard!$L$5="","",INT((A43-Dashboard!$L$5)/7)+1))</f>
        <v/>
      </c>
      <c r="C43" s="67"/>
      <c r="D43" s="67"/>
      <c r="E43" s="79" t="str">
        <f aca="false">IFERROR(IF(OR(C43="",D43=""),"",IF(Dashboard!$K$5="L",IF(D43=0,"",C43/D43),IF(Dashboard!$K$5="R",IF(C43=0,"",D43/C43),IF(MAX(C43,D43)=0,"",MIN(C43,D43)/MAX(C43,D43))))),"")</f>
        <v/>
      </c>
      <c r="F43" s="67"/>
      <c r="G43" s="67"/>
      <c r="H43" s="79" t="str">
        <f aca="false">IFERROR(IF(OR(F43="",G43=""),"",IF(Dashboard!$K$5="L",IF(G43=0,"",F43/G43),IF(Dashboard!$K$5="R",IF(F43=0,"",G43/F43),IF(MAX(F43,G43)=0,"",MIN(F43,G43)/MAX(F43,G43))))),"")</f>
        <v/>
      </c>
      <c r="I43" s="67"/>
      <c r="J43" s="67"/>
      <c r="K43" s="79" t="str">
        <f aca="false">IFERROR(IF(OR(I43="",J43=""),"",IF(Dashboard!$K$5="L",IF(J43=0,"",I43/J43),IF(Dashboard!$K$5="R",IF(I43=0,"",J43/I43),IF(MAX(I43,J43)=0,"",MIN(I43,J43)/MAX(I43,J43))))),"")</f>
        <v/>
      </c>
      <c r="L43" s="67"/>
      <c r="M43" s="67"/>
      <c r="N43" s="79" t="str">
        <f aca="false">IFERROR(IF(OR(L43="",M43=""),"",IF(Dashboard!$K$5="L",IF(M43=0,"",L43/M43),IF(Dashboard!$K$5="R",IF(L43=0,"",M43/L43),IF(MAX(L43,M43)=0,"",MIN(L43,M43)/MAX(L43,M43))))),"")</f>
        <v/>
      </c>
      <c r="O43" s="67"/>
      <c r="P43" s="67"/>
      <c r="Q43" s="79" t="str">
        <f aca="false">IFERROR(IF(OR(O43="",P43=""),"",IF(Dashboard!$K$5="L",IF(P43=0,"",O43/P43),IF(Dashboard!$K$5="R",IF(O43=0,"",P43/O43),IF(MAX(O43,P43)=0,"",MIN(O43,P43)/MAX(O43,P43))))),"")</f>
        <v/>
      </c>
      <c r="R43" s="67"/>
      <c r="S43" s="67"/>
      <c r="T43" s="79" t="str">
        <f aca="false">IFERROR(IF(OR(R43="",S43=""),"",IF(Dashboard!$K$5="L",IF(S43=0,"",R43/S43),IF(Dashboard!$K$5="R",IF(R43=0,"",S43/R43),IF(MAX(R43,S43)=0,"",MIN(R43,S43)/MAX(R43,S43))))),"")</f>
        <v/>
      </c>
      <c r="U43" s="67"/>
      <c r="V43" s="67"/>
      <c r="W43" s="79" t="str">
        <f aca="false">IFERROR(IF(OR(U43="",V43=""),"",IF(Dashboard!$K$5="L",IF(V43=0,"",U43/V43),IF(Dashboard!$K$5="R",IF(U43=0,"",V43/U43),IF(MAX(U43,V43)=0,"",MIN(U43,V43)/MAX(U43,V43))))),"")</f>
        <v/>
      </c>
      <c r="X43" s="67"/>
      <c r="Y43" s="67"/>
      <c r="Z43" s="79" t="str">
        <f aca="false">IFERROR(IF(OR(X43="",Y43=""),"",IF(Dashboard!$K$5="L",IF(Y43=0,"",X43/Y43),IF(Dashboard!$K$5="R",IF(X43=0,"",Y43/X43),IF(MAX(X43,Y43)=0,"",MIN(X43,Y43)/MAX(X43,Y43))))),"")</f>
        <v/>
      </c>
      <c r="AA43" s="58"/>
    </row>
    <row r="44" customFormat="false" ht="15" hidden="false" customHeight="false" outlineLevel="0" collapsed="false">
      <c r="A44" s="56"/>
      <c r="B44" s="57" t="str">
        <f aca="false">IF(A44="","",IF(Dashboard!$L$5="","",INT((A44-Dashboard!$L$5)/7)+1))</f>
        <v/>
      </c>
      <c r="C44" s="67"/>
      <c r="D44" s="67"/>
      <c r="E44" s="79" t="str">
        <f aca="false">IFERROR(IF(OR(C44="",D44=""),"",IF(Dashboard!$K$5="L",IF(D44=0,"",C44/D44),IF(Dashboard!$K$5="R",IF(C44=0,"",D44/C44),IF(MAX(C44,D44)=0,"",MIN(C44,D44)/MAX(C44,D44))))),"")</f>
        <v/>
      </c>
      <c r="F44" s="67"/>
      <c r="G44" s="67"/>
      <c r="H44" s="79" t="str">
        <f aca="false">IFERROR(IF(OR(F44="",G44=""),"",IF(Dashboard!$K$5="L",IF(G44=0,"",F44/G44),IF(Dashboard!$K$5="R",IF(F44=0,"",G44/F44),IF(MAX(F44,G44)=0,"",MIN(F44,G44)/MAX(F44,G44))))),"")</f>
        <v/>
      </c>
      <c r="I44" s="67"/>
      <c r="J44" s="67"/>
      <c r="K44" s="79" t="str">
        <f aca="false">IFERROR(IF(OR(I44="",J44=""),"",IF(Dashboard!$K$5="L",IF(J44=0,"",I44/J44),IF(Dashboard!$K$5="R",IF(I44=0,"",J44/I44),IF(MAX(I44,J44)=0,"",MIN(I44,J44)/MAX(I44,J44))))),"")</f>
        <v/>
      </c>
      <c r="L44" s="67"/>
      <c r="M44" s="67"/>
      <c r="N44" s="79" t="str">
        <f aca="false">IFERROR(IF(OR(L44="",M44=""),"",IF(Dashboard!$K$5="L",IF(M44=0,"",L44/M44),IF(Dashboard!$K$5="R",IF(L44=0,"",M44/L44),IF(MAX(L44,M44)=0,"",MIN(L44,M44)/MAX(L44,M44))))),"")</f>
        <v/>
      </c>
      <c r="O44" s="67"/>
      <c r="P44" s="67"/>
      <c r="Q44" s="79" t="str">
        <f aca="false">IFERROR(IF(OR(O44="",P44=""),"",IF(Dashboard!$K$5="L",IF(P44=0,"",O44/P44),IF(Dashboard!$K$5="R",IF(O44=0,"",P44/O44),IF(MAX(O44,P44)=0,"",MIN(O44,P44)/MAX(O44,P44))))),"")</f>
        <v/>
      </c>
      <c r="R44" s="67"/>
      <c r="S44" s="67"/>
      <c r="T44" s="79" t="str">
        <f aca="false">IFERROR(IF(OR(R44="",S44=""),"",IF(Dashboard!$K$5="L",IF(S44=0,"",R44/S44),IF(Dashboard!$K$5="R",IF(R44=0,"",S44/R44),IF(MAX(R44,S44)=0,"",MIN(R44,S44)/MAX(R44,S44))))),"")</f>
        <v/>
      </c>
      <c r="U44" s="67"/>
      <c r="V44" s="67"/>
      <c r="W44" s="79" t="str">
        <f aca="false">IFERROR(IF(OR(U44="",V44=""),"",IF(Dashboard!$K$5="L",IF(V44=0,"",U44/V44),IF(Dashboard!$K$5="R",IF(U44=0,"",V44/U44),IF(MAX(U44,V44)=0,"",MIN(U44,V44)/MAX(U44,V44))))),"")</f>
        <v/>
      </c>
      <c r="X44" s="67"/>
      <c r="Y44" s="67"/>
      <c r="Z44" s="79" t="str">
        <f aca="false">IFERROR(IF(OR(X44="",Y44=""),"",IF(Dashboard!$K$5="L",IF(Y44=0,"",X44/Y44),IF(Dashboard!$K$5="R",IF(X44=0,"",Y44/X44),IF(MAX(X44,Y44)=0,"",MIN(X44,Y44)/MAX(X44,Y44))))),"")</f>
        <v/>
      </c>
      <c r="AA44" s="58"/>
    </row>
    <row r="45" customFormat="false" ht="15" hidden="false" customHeight="false" outlineLevel="0" collapsed="false">
      <c r="A45" s="56"/>
      <c r="B45" s="57" t="str">
        <f aca="false">IF(A45="","",IF(Dashboard!$L$5="","",INT((A45-Dashboard!$L$5)/7)+1))</f>
        <v/>
      </c>
      <c r="C45" s="67"/>
      <c r="D45" s="67"/>
      <c r="E45" s="79" t="str">
        <f aca="false">IFERROR(IF(OR(C45="",D45=""),"",IF(Dashboard!$K$5="L",IF(D45=0,"",C45/D45),IF(Dashboard!$K$5="R",IF(C45=0,"",D45/C45),IF(MAX(C45,D45)=0,"",MIN(C45,D45)/MAX(C45,D45))))),"")</f>
        <v/>
      </c>
      <c r="F45" s="67"/>
      <c r="G45" s="67"/>
      <c r="H45" s="79" t="str">
        <f aca="false">IFERROR(IF(OR(F45="",G45=""),"",IF(Dashboard!$K$5="L",IF(G45=0,"",F45/G45),IF(Dashboard!$K$5="R",IF(F45=0,"",G45/F45),IF(MAX(F45,G45)=0,"",MIN(F45,G45)/MAX(F45,G45))))),"")</f>
        <v/>
      </c>
      <c r="I45" s="67"/>
      <c r="J45" s="67"/>
      <c r="K45" s="79" t="str">
        <f aca="false">IFERROR(IF(OR(I45="",J45=""),"",IF(Dashboard!$K$5="L",IF(J45=0,"",I45/J45),IF(Dashboard!$K$5="R",IF(I45=0,"",J45/I45),IF(MAX(I45,J45)=0,"",MIN(I45,J45)/MAX(I45,J45))))),"")</f>
        <v/>
      </c>
      <c r="L45" s="67"/>
      <c r="M45" s="67"/>
      <c r="N45" s="79" t="str">
        <f aca="false">IFERROR(IF(OR(L45="",M45=""),"",IF(Dashboard!$K$5="L",IF(M45=0,"",L45/M45),IF(Dashboard!$K$5="R",IF(L45=0,"",M45/L45),IF(MAX(L45,M45)=0,"",MIN(L45,M45)/MAX(L45,M45))))),"")</f>
        <v/>
      </c>
      <c r="O45" s="67"/>
      <c r="P45" s="67"/>
      <c r="Q45" s="79" t="str">
        <f aca="false">IFERROR(IF(OR(O45="",P45=""),"",IF(Dashboard!$K$5="L",IF(P45=0,"",O45/P45),IF(Dashboard!$K$5="R",IF(O45=0,"",P45/O45),IF(MAX(O45,P45)=0,"",MIN(O45,P45)/MAX(O45,P45))))),"")</f>
        <v/>
      </c>
      <c r="R45" s="67"/>
      <c r="S45" s="67"/>
      <c r="T45" s="79" t="str">
        <f aca="false">IFERROR(IF(OR(R45="",S45=""),"",IF(Dashboard!$K$5="L",IF(S45=0,"",R45/S45),IF(Dashboard!$K$5="R",IF(R45=0,"",S45/R45),IF(MAX(R45,S45)=0,"",MIN(R45,S45)/MAX(R45,S45))))),"")</f>
        <v/>
      </c>
      <c r="U45" s="67"/>
      <c r="V45" s="67"/>
      <c r="W45" s="79" t="str">
        <f aca="false">IFERROR(IF(OR(U45="",V45=""),"",IF(Dashboard!$K$5="L",IF(V45=0,"",U45/V45),IF(Dashboard!$K$5="R",IF(U45=0,"",V45/U45),IF(MAX(U45,V45)=0,"",MIN(U45,V45)/MAX(U45,V45))))),"")</f>
        <v/>
      </c>
      <c r="X45" s="67"/>
      <c r="Y45" s="67"/>
      <c r="Z45" s="79" t="str">
        <f aca="false">IFERROR(IF(OR(X45="",Y45=""),"",IF(Dashboard!$K$5="L",IF(Y45=0,"",X45/Y45),IF(Dashboard!$K$5="R",IF(X45=0,"",Y45/X45),IF(MAX(X45,Y45)=0,"",MIN(X45,Y45)/MAX(X45,Y45))))),"")</f>
        <v/>
      </c>
      <c r="AA45" s="58"/>
    </row>
    <row r="46" customFormat="false" ht="15" hidden="false" customHeight="false" outlineLevel="0" collapsed="false">
      <c r="A46" s="56"/>
      <c r="B46" s="57" t="str">
        <f aca="false">IF(A46="","",IF(Dashboard!$L$5="","",INT((A46-Dashboard!$L$5)/7)+1))</f>
        <v/>
      </c>
      <c r="C46" s="67"/>
      <c r="D46" s="67"/>
      <c r="E46" s="79" t="str">
        <f aca="false">IFERROR(IF(OR(C46="",D46=""),"",IF(Dashboard!$K$5="L",IF(D46=0,"",C46/D46),IF(Dashboard!$K$5="R",IF(C46=0,"",D46/C46),IF(MAX(C46,D46)=0,"",MIN(C46,D46)/MAX(C46,D46))))),"")</f>
        <v/>
      </c>
      <c r="F46" s="67"/>
      <c r="G46" s="67"/>
      <c r="H46" s="79" t="str">
        <f aca="false">IFERROR(IF(OR(F46="",G46=""),"",IF(Dashboard!$K$5="L",IF(G46=0,"",F46/G46),IF(Dashboard!$K$5="R",IF(F46=0,"",G46/F46),IF(MAX(F46,G46)=0,"",MIN(F46,G46)/MAX(F46,G46))))),"")</f>
        <v/>
      </c>
      <c r="I46" s="67"/>
      <c r="J46" s="67"/>
      <c r="K46" s="79" t="str">
        <f aca="false">IFERROR(IF(OR(I46="",J46=""),"",IF(Dashboard!$K$5="L",IF(J46=0,"",I46/J46),IF(Dashboard!$K$5="R",IF(I46=0,"",J46/I46),IF(MAX(I46,J46)=0,"",MIN(I46,J46)/MAX(I46,J46))))),"")</f>
        <v/>
      </c>
      <c r="L46" s="67"/>
      <c r="M46" s="67"/>
      <c r="N46" s="79" t="str">
        <f aca="false">IFERROR(IF(OR(L46="",M46=""),"",IF(Dashboard!$K$5="L",IF(M46=0,"",L46/M46),IF(Dashboard!$K$5="R",IF(L46=0,"",M46/L46),IF(MAX(L46,M46)=0,"",MIN(L46,M46)/MAX(L46,M46))))),"")</f>
        <v/>
      </c>
      <c r="O46" s="67"/>
      <c r="P46" s="67"/>
      <c r="Q46" s="79" t="str">
        <f aca="false">IFERROR(IF(OR(O46="",P46=""),"",IF(Dashboard!$K$5="L",IF(P46=0,"",O46/P46),IF(Dashboard!$K$5="R",IF(O46=0,"",P46/O46),IF(MAX(O46,P46)=0,"",MIN(O46,P46)/MAX(O46,P46))))),"")</f>
        <v/>
      </c>
      <c r="R46" s="67"/>
      <c r="S46" s="67"/>
      <c r="T46" s="79" t="str">
        <f aca="false">IFERROR(IF(OR(R46="",S46=""),"",IF(Dashboard!$K$5="L",IF(S46=0,"",R46/S46),IF(Dashboard!$K$5="R",IF(R46=0,"",S46/R46),IF(MAX(R46,S46)=0,"",MIN(R46,S46)/MAX(R46,S46))))),"")</f>
        <v/>
      </c>
      <c r="U46" s="67"/>
      <c r="V46" s="67"/>
      <c r="W46" s="79" t="str">
        <f aca="false">IFERROR(IF(OR(U46="",V46=""),"",IF(Dashboard!$K$5="L",IF(V46=0,"",U46/V46),IF(Dashboard!$K$5="R",IF(U46=0,"",V46/U46),IF(MAX(U46,V46)=0,"",MIN(U46,V46)/MAX(U46,V46))))),"")</f>
        <v/>
      </c>
      <c r="X46" s="67"/>
      <c r="Y46" s="67"/>
      <c r="Z46" s="79" t="str">
        <f aca="false">IFERROR(IF(OR(X46="",Y46=""),"",IF(Dashboard!$K$5="L",IF(Y46=0,"",X46/Y46),IF(Dashboard!$K$5="R",IF(X46=0,"",Y46/X46),IF(MAX(X46,Y46)=0,"",MIN(X46,Y46)/MAX(X46,Y46))))),"")</f>
        <v/>
      </c>
      <c r="AA46" s="58"/>
    </row>
    <row r="47" customFormat="false" ht="15" hidden="false" customHeight="false" outlineLevel="0" collapsed="false">
      <c r="A47" s="56"/>
      <c r="B47" s="57" t="str">
        <f aca="false">IF(A47="","",IF(Dashboard!$L$5="","",INT((A47-Dashboard!$L$5)/7)+1))</f>
        <v/>
      </c>
      <c r="C47" s="67"/>
      <c r="D47" s="67"/>
      <c r="E47" s="79" t="str">
        <f aca="false">IFERROR(IF(OR(C47="",D47=""),"",IF(Dashboard!$K$5="L",IF(D47=0,"",C47/D47),IF(Dashboard!$K$5="R",IF(C47=0,"",D47/C47),IF(MAX(C47,D47)=0,"",MIN(C47,D47)/MAX(C47,D47))))),"")</f>
        <v/>
      </c>
      <c r="F47" s="67"/>
      <c r="G47" s="67"/>
      <c r="H47" s="79" t="str">
        <f aca="false">IFERROR(IF(OR(F47="",G47=""),"",IF(Dashboard!$K$5="L",IF(G47=0,"",F47/G47),IF(Dashboard!$K$5="R",IF(F47=0,"",G47/F47),IF(MAX(F47,G47)=0,"",MIN(F47,G47)/MAX(F47,G47))))),"")</f>
        <v/>
      </c>
      <c r="I47" s="67"/>
      <c r="J47" s="67"/>
      <c r="K47" s="79" t="str">
        <f aca="false">IFERROR(IF(OR(I47="",J47=""),"",IF(Dashboard!$K$5="L",IF(J47=0,"",I47/J47),IF(Dashboard!$K$5="R",IF(I47=0,"",J47/I47),IF(MAX(I47,J47)=0,"",MIN(I47,J47)/MAX(I47,J47))))),"")</f>
        <v/>
      </c>
      <c r="L47" s="67"/>
      <c r="M47" s="67"/>
      <c r="N47" s="79" t="str">
        <f aca="false">IFERROR(IF(OR(L47="",M47=""),"",IF(Dashboard!$K$5="L",IF(M47=0,"",L47/M47),IF(Dashboard!$K$5="R",IF(L47=0,"",M47/L47),IF(MAX(L47,M47)=0,"",MIN(L47,M47)/MAX(L47,M47))))),"")</f>
        <v/>
      </c>
      <c r="O47" s="67"/>
      <c r="P47" s="67"/>
      <c r="Q47" s="79" t="str">
        <f aca="false">IFERROR(IF(OR(O47="",P47=""),"",IF(Dashboard!$K$5="L",IF(P47=0,"",O47/P47),IF(Dashboard!$K$5="R",IF(O47=0,"",P47/O47),IF(MAX(O47,P47)=0,"",MIN(O47,P47)/MAX(O47,P47))))),"")</f>
        <v/>
      </c>
      <c r="R47" s="67"/>
      <c r="S47" s="67"/>
      <c r="T47" s="79" t="str">
        <f aca="false">IFERROR(IF(OR(R47="",S47=""),"",IF(Dashboard!$K$5="L",IF(S47=0,"",R47/S47),IF(Dashboard!$K$5="R",IF(R47=0,"",S47/R47),IF(MAX(R47,S47)=0,"",MIN(R47,S47)/MAX(R47,S47))))),"")</f>
        <v/>
      </c>
      <c r="U47" s="67"/>
      <c r="V47" s="67"/>
      <c r="W47" s="79" t="str">
        <f aca="false">IFERROR(IF(OR(U47="",V47=""),"",IF(Dashboard!$K$5="L",IF(V47=0,"",U47/V47),IF(Dashboard!$K$5="R",IF(U47=0,"",V47/U47),IF(MAX(U47,V47)=0,"",MIN(U47,V47)/MAX(U47,V47))))),"")</f>
        <v/>
      </c>
      <c r="X47" s="67"/>
      <c r="Y47" s="67"/>
      <c r="Z47" s="79" t="str">
        <f aca="false">IFERROR(IF(OR(X47="",Y47=""),"",IF(Dashboard!$K$5="L",IF(Y47=0,"",X47/Y47),IF(Dashboard!$K$5="R",IF(X47=0,"",Y47/X47),IF(MAX(X47,Y47)=0,"",MIN(X47,Y47)/MAX(X47,Y47))))),"")</f>
        <v/>
      </c>
      <c r="AA47" s="58"/>
    </row>
    <row r="48" customFormat="false" ht="18" hidden="false" customHeight="true" outlineLevel="0" collapsed="false">
      <c r="A48" s="77" t="s">
        <v>151</v>
      </c>
      <c r="B48" s="77"/>
      <c r="C48" s="77" t="str">
        <f aca="false">IF(COUNT(C36:C47)=0,"",INDEX(C36:C47,SUMPRODUCT(MAX(ISNUMBER(C36:C47)*(($A$36:$A$47)=SUMPRODUCT(MAX(ISNUMBER(C36:C47)*($A$36:$A$47))))*(ROW(C36:C47)-ROW(C$36)+1)))))</f>
        <v/>
      </c>
      <c r="D48" s="77" t="str">
        <f aca="false">IF(COUNT(D36:D47)=0,"",INDEX(D36:D47,SUMPRODUCT(MAX(ISNUMBER(D36:D47)*(($A$36:$A$47)=SUMPRODUCT(MAX(ISNUMBER(D36:D47)*($A$36:$A$47))))*(ROW(D36:D47)-ROW(D$36)+1)))))</f>
        <v/>
      </c>
      <c r="E48" s="80" t="str">
        <f aca="false">IF(COUNT(E36:E47)=0,"",INDEX(E36:E47,SUMPRODUCT(MAX(ISNUMBER(E36:E47)*(($A$36:$A$47)=SUMPRODUCT(MAX(ISNUMBER(E36:E47)*($A$36:$A$47))))*(ROW(E36:E47)-ROW(E$36)+1)))))</f>
        <v/>
      </c>
      <c r="F48" s="77" t="str">
        <f aca="false">IF(COUNT(F36:F47)=0,"",INDEX(F36:F47,SUMPRODUCT(MAX(ISNUMBER(F36:F47)*(($A$36:$A$47)=SUMPRODUCT(MAX(ISNUMBER(F36:F47)*($A$36:$A$47))))*(ROW(F36:F47)-ROW(F$36)+1)))))</f>
        <v/>
      </c>
      <c r="G48" s="77" t="str">
        <f aca="false">IF(COUNT(G36:G47)=0,"",INDEX(G36:G47,SUMPRODUCT(MAX(ISNUMBER(G36:G47)*(($A$36:$A$47)=SUMPRODUCT(MAX(ISNUMBER(G36:G47)*($A$36:$A$47))))*(ROW(G36:G47)-ROW(G$36)+1)))))</f>
        <v/>
      </c>
      <c r="H48" s="80" t="str">
        <f aca="false">IF(COUNT(H36:H47)=0,"",INDEX(H36:H47,SUMPRODUCT(MAX(ISNUMBER(H36:H47)*(($A$36:$A$47)=SUMPRODUCT(MAX(ISNUMBER(H36:H47)*($A$36:$A$47))))*(ROW(H36:H47)-ROW(H$36)+1)))))</f>
        <v/>
      </c>
      <c r="I48" s="77" t="str">
        <f aca="false">IF(COUNT(I36:I47)=0,"",INDEX(I36:I47,SUMPRODUCT(MAX(ISNUMBER(I36:I47)*(($A$36:$A$47)=SUMPRODUCT(MAX(ISNUMBER(I36:I47)*($A$36:$A$47))))*(ROW(I36:I47)-ROW(I$36)+1)))))</f>
        <v/>
      </c>
      <c r="J48" s="77" t="str">
        <f aca="false">IF(COUNT(J36:J47)=0,"",INDEX(J36:J47,SUMPRODUCT(MAX(ISNUMBER(J36:J47)*(($A$36:$A$47)=SUMPRODUCT(MAX(ISNUMBER(J36:J47)*($A$36:$A$47))))*(ROW(J36:J47)-ROW(J$36)+1)))))</f>
        <v/>
      </c>
      <c r="K48" s="80" t="str">
        <f aca="false">IF(COUNT(K36:K47)=0,"",INDEX(K36:K47,SUMPRODUCT(MAX(ISNUMBER(K36:K47)*(($A$36:$A$47)=SUMPRODUCT(MAX(ISNUMBER(K36:K47)*($A$36:$A$47))))*(ROW(K36:K47)-ROW(K$36)+1)))))</f>
        <v/>
      </c>
      <c r="L48" s="77" t="str">
        <f aca="false">IF(COUNT(L36:L47)=0,"",INDEX(L36:L47,SUMPRODUCT(MAX(ISNUMBER(L36:L47)*(($A$36:$A$47)=SUMPRODUCT(MAX(ISNUMBER(L36:L47)*($A$36:$A$47))))*(ROW(L36:L47)-ROW(L$36)+1)))))</f>
        <v/>
      </c>
      <c r="M48" s="77" t="str">
        <f aca="false">IF(COUNT(M36:M47)=0,"",INDEX(M36:M47,SUMPRODUCT(MAX(ISNUMBER(M36:M47)*(($A$36:$A$47)=SUMPRODUCT(MAX(ISNUMBER(M36:M47)*($A$36:$A$47))))*(ROW(M36:M47)-ROW(M$36)+1)))))</f>
        <v/>
      </c>
      <c r="N48" s="80" t="str">
        <f aca="false">IF(COUNT(N36:N47)=0,"",INDEX(N36:N47,SUMPRODUCT(MAX(ISNUMBER(N36:N47)*(($A$36:$A$47)=SUMPRODUCT(MAX(ISNUMBER(N36:N47)*($A$36:$A$47))))*(ROW(N36:N47)-ROW(N$36)+1)))))</f>
        <v/>
      </c>
      <c r="O48" s="77" t="str">
        <f aca="false">IF(COUNT(O36:O47)=0,"",INDEX(O36:O47,SUMPRODUCT(MAX(ISNUMBER(O36:O47)*(($A$36:$A$47)=SUMPRODUCT(MAX(ISNUMBER(O36:O47)*($A$36:$A$47))))*(ROW(O36:O47)-ROW(O$36)+1)))))</f>
        <v/>
      </c>
      <c r="P48" s="77" t="str">
        <f aca="false">IF(COUNT(P36:P47)=0,"",INDEX(P36:P47,SUMPRODUCT(MAX(ISNUMBER(P36:P47)*(($A$36:$A$47)=SUMPRODUCT(MAX(ISNUMBER(P36:P47)*($A$36:$A$47))))*(ROW(P36:P47)-ROW(P$36)+1)))))</f>
        <v/>
      </c>
      <c r="Q48" s="80" t="str">
        <f aca="false">IF(COUNT(Q36:Q47)=0,"",INDEX(Q36:Q47,SUMPRODUCT(MAX(ISNUMBER(Q36:Q47)*(($A$36:$A$47)=SUMPRODUCT(MAX(ISNUMBER(Q36:Q47)*($A$36:$A$47))))*(ROW(Q36:Q47)-ROW(Q$36)+1)))))</f>
        <v/>
      </c>
      <c r="R48" s="77" t="str">
        <f aca="false">IF(COUNT(R36:R47)=0,"",INDEX(R36:R47,SUMPRODUCT(MAX(ISNUMBER(R36:R47)*(($A$36:$A$47)=SUMPRODUCT(MAX(ISNUMBER(R36:R47)*($A$36:$A$47))))*(ROW(R36:R47)-ROW(R$36)+1)))))</f>
        <v/>
      </c>
      <c r="S48" s="77" t="str">
        <f aca="false">IF(COUNT(S36:S47)=0,"",INDEX(S36:S47,SUMPRODUCT(MAX(ISNUMBER(S36:S47)*(($A$36:$A$47)=SUMPRODUCT(MAX(ISNUMBER(S36:S47)*($A$36:$A$47))))*(ROW(S36:S47)-ROW(S$36)+1)))))</f>
        <v/>
      </c>
      <c r="T48" s="80" t="str">
        <f aca="false">IF(COUNT(T36:T47)=0,"",INDEX(T36:T47,SUMPRODUCT(MAX(ISNUMBER(T36:T47)*(($A$36:$A$47)=SUMPRODUCT(MAX(ISNUMBER(T36:T47)*($A$36:$A$47))))*(ROW(T36:T47)-ROW(T$36)+1)))))</f>
        <v/>
      </c>
      <c r="U48" s="77" t="str">
        <f aca="false">IF(COUNT(U36:U47)=0,"",INDEX(U36:U47,SUMPRODUCT(MAX(ISNUMBER(U36:U47)*(($A$36:$A$47)=SUMPRODUCT(MAX(ISNUMBER(U36:U47)*($A$36:$A$47))))*(ROW(U36:U47)-ROW(U$36)+1)))))</f>
        <v/>
      </c>
      <c r="V48" s="77" t="str">
        <f aca="false">IF(COUNT(V36:V47)=0,"",INDEX(V36:V47,SUMPRODUCT(MAX(ISNUMBER(V36:V47)*(($A$36:$A$47)=SUMPRODUCT(MAX(ISNUMBER(V36:V47)*($A$36:$A$47))))*(ROW(V36:V47)-ROW(V$36)+1)))))</f>
        <v/>
      </c>
      <c r="W48" s="80" t="str">
        <f aca="false">IF(COUNT(W36:W47)=0,"",INDEX(W36:W47,SUMPRODUCT(MAX(ISNUMBER(W36:W47)*(($A$36:$A$47)=SUMPRODUCT(MAX(ISNUMBER(W36:W47)*($A$36:$A$47))))*(ROW(W36:W47)-ROW(W$36)+1)))))</f>
        <v/>
      </c>
      <c r="X48" s="77" t="str">
        <f aca="false">IF(COUNT(X36:X47)=0,"",INDEX(X36:X47,SUMPRODUCT(MAX(ISNUMBER(X36:X47)*(($A$36:$A$47)=SUMPRODUCT(MAX(ISNUMBER(X36:X47)*($A$36:$A$47))))*(ROW(X36:X47)-ROW(X$36)+1)))))</f>
        <v/>
      </c>
      <c r="Y48" s="77" t="str">
        <f aca="false">IF(COUNT(Y36:Y47)=0,"",INDEX(Y36:Y47,SUMPRODUCT(MAX(ISNUMBER(Y36:Y47)*(($A$36:$A$47)=SUMPRODUCT(MAX(ISNUMBER(Y36:Y47)*($A$36:$A$47))))*(ROW(Y36:Y47)-ROW(Y$36)+1)))))</f>
        <v/>
      </c>
      <c r="Z48" s="80" t="str">
        <f aca="false">IF(COUNT(Z36:Z47)=0,"",INDEX(Z36:Z47,SUMPRODUCT(MAX(ISNUMBER(Z36:Z47)*(($A$36:$A$47)=SUMPRODUCT(MAX(ISNUMBER(Z36:Z47)*($A$36:$A$47))))*(ROW(Z36:Z47)-ROW(Z$36)+1)))))</f>
        <v/>
      </c>
      <c r="AA48" s="81" t="s">
        <v>152</v>
      </c>
    </row>
    <row r="49" customFormat="false" ht="15" hidden="false" customHeight="true" outlineLevel="0" collapsed="false">
      <c r="A49" s="65" t="s">
        <v>153</v>
      </c>
      <c r="B49" s="65"/>
      <c r="C49" s="70" t="str">
        <f aca="false">IF(OR(COUNT(C36:C47)=0,SUMPRODUCT(MAX(ISNUMBER(C36:C47)*($A$36:$A$47)))=0),"",SUMPRODUCT(MAX(ISNUMBER(C36:C47)*($A$36:$A$47))))</f>
        <v/>
      </c>
      <c r="D49" s="70"/>
      <c r="E49" s="70"/>
      <c r="F49" s="70" t="str">
        <f aca="false">IF(OR(COUNT(F36:F47)=0,SUMPRODUCT(MAX(ISNUMBER(F36:F47)*($A$36:$A$47)))=0),"",SUMPRODUCT(MAX(ISNUMBER(F36:F47)*($A$36:$A$47))))</f>
        <v/>
      </c>
      <c r="G49" s="70"/>
      <c r="H49" s="70"/>
      <c r="I49" s="70" t="str">
        <f aca="false">IF(OR(COUNT(I36:I47)=0,SUMPRODUCT(MAX(ISNUMBER(I36:I47)*($A$36:$A$47)))=0),"",SUMPRODUCT(MAX(ISNUMBER(I36:I47)*($A$36:$A$47))))</f>
        <v/>
      </c>
      <c r="J49" s="70"/>
      <c r="K49" s="70"/>
      <c r="L49" s="70" t="str">
        <f aca="false">IF(OR(COUNT(L36:L47)=0,SUMPRODUCT(MAX(ISNUMBER(L36:L47)*($A$36:$A$47)))=0),"",SUMPRODUCT(MAX(ISNUMBER(L36:L47)*($A$36:$A$47))))</f>
        <v/>
      </c>
      <c r="M49" s="70"/>
      <c r="N49" s="70"/>
      <c r="O49" s="70" t="str">
        <f aca="false">IF(OR(COUNT(O36:O47)=0,SUMPRODUCT(MAX(ISNUMBER(O36:O47)*($A$36:$A$47)))=0),"",SUMPRODUCT(MAX(ISNUMBER(O36:O47)*($A$36:$A$47))))</f>
        <v/>
      </c>
      <c r="P49" s="70"/>
      <c r="Q49" s="70"/>
      <c r="R49" s="70" t="str">
        <f aca="false">IF(OR(COUNT(R36:R47)=0,SUMPRODUCT(MAX(ISNUMBER(R36:R47)*($A$36:$A$47)))=0),"",SUMPRODUCT(MAX(ISNUMBER(R36:R47)*($A$36:$A$47))))</f>
        <v/>
      </c>
      <c r="S49" s="70"/>
      <c r="T49" s="70"/>
      <c r="U49" s="70" t="str">
        <f aca="false">IF(OR(COUNT(U36:U47)=0,SUMPRODUCT(MAX(ISNUMBER(U36:U47)*($A$36:$A$47)))=0),"",SUMPRODUCT(MAX(ISNUMBER(U36:U47)*($A$36:$A$47))))</f>
        <v/>
      </c>
      <c r="V49" s="70"/>
      <c r="W49" s="70"/>
      <c r="X49" s="70" t="str">
        <f aca="false">IF(OR(COUNT(X36:X47)=0,SUMPRODUCT(MAX(ISNUMBER(X36:X47)*($A$36:$A$47)))=0),"",SUMPRODUCT(MAX(ISNUMBER(X36:X47)*($A$36:$A$47))))</f>
        <v/>
      </c>
      <c r="Y49" s="70"/>
      <c r="Z49" s="70"/>
      <c r="AA49" s="82"/>
    </row>
    <row r="51" customFormat="false" ht="19.5" hidden="false" customHeight="true" outlineLevel="0" collapsed="false">
      <c r="A51" s="62" t="s">
        <v>213</v>
      </c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</row>
    <row r="52" customFormat="false" ht="31.5" hidden="false" customHeight="true" outlineLevel="0" collapsed="false">
      <c r="A52" s="55" t="s">
        <v>52</v>
      </c>
      <c r="B52" s="55" t="s">
        <v>75</v>
      </c>
      <c r="C52" s="77" t="s">
        <v>200</v>
      </c>
      <c r="D52" s="77"/>
      <c r="E52" s="77"/>
      <c r="F52" s="77" t="s">
        <v>195</v>
      </c>
      <c r="G52" s="77"/>
      <c r="H52" s="77"/>
      <c r="I52" s="77" t="s">
        <v>202</v>
      </c>
      <c r="J52" s="77"/>
      <c r="K52" s="77"/>
      <c r="L52" s="77" t="s">
        <v>207</v>
      </c>
      <c r="M52" s="77"/>
      <c r="N52" s="77"/>
      <c r="O52" s="77" t="s">
        <v>214</v>
      </c>
      <c r="P52" s="77"/>
      <c r="Q52" s="77"/>
      <c r="R52" s="78" t="s">
        <v>150</v>
      </c>
      <c r="S52" s="78"/>
      <c r="T52" s="78"/>
      <c r="U52" s="78" t="s">
        <v>150</v>
      </c>
      <c r="V52" s="78"/>
      <c r="W52" s="78"/>
      <c r="X52" s="78" t="s">
        <v>150</v>
      </c>
      <c r="Y52" s="78"/>
      <c r="Z52" s="78"/>
      <c r="AA52" s="55" t="s">
        <v>84</v>
      </c>
    </row>
    <row r="53" customFormat="false" ht="15.75" hidden="false" customHeight="true" outlineLevel="0" collapsed="false">
      <c r="A53" s="55"/>
      <c r="B53" s="55"/>
      <c r="C53" s="55" t="s">
        <v>12</v>
      </c>
      <c r="D53" s="55" t="s">
        <v>49</v>
      </c>
      <c r="E53" s="55" t="s">
        <v>50</v>
      </c>
      <c r="F53" s="55" t="s">
        <v>12</v>
      </c>
      <c r="G53" s="55" t="s">
        <v>49</v>
      </c>
      <c r="H53" s="55" t="s">
        <v>50</v>
      </c>
      <c r="I53" s="55" t="s">
        <v>12</v>
      </c>
      <c r="J53" s="55" t="s">
        <v>49</v>
      </c>
      <c r="K53" s="55" t="s">
        <v>50</v>
      </c>
      <c r="L53" s="55" t="s">
        <v>12</v>
      </c>
      <c r="M53" s="55" t="s">
        <v>49</v>
      </c>
      <c r="N53" s="55" t="s">
        <v>50</v>
      </c>
      <c r="O53" s="55" t="s">
        <v>12</v>
      </c>
      <c r="P53" s="55" t="s">
        <v>49</v>
      </c>
      <c r="Q53" s="55" t="s">
        <v>50</v>
      </c>
      <c r="R53" s="55" t="s">
        <v>12</v>
      </c>
      <c r="S53" s="55" t="s">
        <v>49</v>
      </c>
      <c r="T53" s="55" t="s">
        <v>50</v>
      </c>
      <c r="U53" s="55" t="s">
        <v>12</v>
      </c>
      <c r="V53" s="55" t="s">
        <v>49</v>
      </c>
      <c r="W53" s="55" t="s">
        <v>50</v>
      </c>
      <c r="X53" s="55" t="s">
        <v>12</v>
      </c>
      <c r="Y53" s="55" t="s">
        <v>49</v>
      </c>
      <c r="Z53" s="55" t="s">
        <v>50</v>
      </c>
      <c r="AA53" s="55"/>
    </row>
    <row r="54" customFormat="false" ht="15" hidden="false" customHeight="false" outlineLevel="0" collapsed="false">
      <c r="A54" s="56"/>
      <c r="B54" s="57" t="str">
        <f aca="false">IF(A54="","",IF(Dashboard!$L$5="","",INT((A54-Dashboard!$L$5)/7)+1))</f>
        <v/>
      </c>
      <c r="C54" s="67"/>
      <c r="D54" s="67"/>
      <c r="E54" s="79" t="str">
        <f aca="false">IFERROR(IF(OR(C54="",D54=""),"",IF(Dashboard!$K$5="L",IF(D54=0,"",C54/D54),IF(Dashboard!$K$5="R",IF(C54=0,"",D54/C54),IF(MAX(C54,D54)=0,"",MIN(C54,D54)/MAX(C54,D54))))),"")</f>
        <v/>
      </c>
      <c r="F54" s="67"/>
      <c r="G54" s="67"/>
      <c r="H54" s="79" t="str">
        <f aca="false">IFERROR(IF(OR(F54="",G54=""),"",IF(Dashboard!$K$5="L",IF(G54=0,"",F54/G54),IF(Dashboard!$K$5="R",IF(F54=0,"",G54/F54),IF(MAX(F54,G54)=0,"",MIN(F54,G54)/MAX(F54,G54))))),"")</f>
        <v/>
      </c>
      <c r="I54" s="67"/>
      <c r="J54" s="67"/>
      <c r="K54" s="79" t="str">
        <f aca="false">IFERROR(IF(OR(I54="",J54=""),"",IF(Dashboard!$K$5="L",IF(J54=0,"",I54/J54),IF(Dashboard!$K$5="R",IF(I54=0,"",J54/I54),IF(MAX(I54,J54)=0,"",MIN(I54,J54)/MAX(I54,J54))))),"")</f>
        <v/>
      </c>
      <c r="L54" s="67"/>
      <c r="M54" s="67"/>
      <c r="N54" s="79" t="str">
        <f aca="false">IFERROR(IF(OR(L54="",M54=""),"",IF(Dashboard!$K$5="L",IF(M54=0,"",L54/M54),IF(Dashboard!$K$5="R",IF(L54=0,"",M54/L54),IF(MAX(L54,M54)=0,"",MIN(L54,M54)/MAX(L54,M54))))),"")</f>
        <v/>
      </c>
      <c r="O54" s="67"/>
      <c r="P54" s="67"/>
      <c r="Q54" s="79" t="str">
        <f aca="false">IFERROR(IF(OR(O54="",P54=""),"",IF(Dashboard!$K$5="L",IF(P54=0,"",O54/P54),IF(Dashboard!$K$5="R",IF(O54=0,"",P54/O54),IF(MAX(O54,P54)=0,"",MIN(O54,P54)/MAX(O54,P54))))),"")</f>
        <v/>
      </c>
      <c r="R54" s="67"/>
      <c r="S54" s="67"/>
      <c r="T54" s="79" t="str">
        <f aca="false">IFERROR(IF(OR(R54="",S54=""),"",IF(Dashboard!$K$5="L",IF(S54=0,"",R54/S54),IF(Dashboard!$K$5="R",IF(R54=0,"",S54/R54),IF(MAX(R54,S54)=0,"",MIN(R54,S54)/MAX(R54,S54))))),"")</f>
        <v/>
      </c>
      <c r="U54" s="67"/>
      <c r="V54" s="67"/>
      <c r="W54" s="79" t="str">
        <f aca="false">IFERROR(IF(OR(U54="",V54=""),"",IF(Dashboard!$K$5="L",IF(V54=0,"",U54/V54),IF(Dashboard!$K$5="R",IF(U54=0,"",V54/U54),IF(MAX(U54,V54)=0,"",MIN(U54,V54)/MAX(U54,V54))))),"")</f>
        <v/>
      </c>
      <c r="X54" s="67"/>
      <c r="Y54" s="67"/>
      <c r="Z54" s="79" t="str">
        <f aca="false">IFERROR(IF(OR(X54="",Y54=""),"",IF(Dashboard!$K$5="L",IF(Y54=0,"",X54/Y54),IF(Dashboard!$K$5="R",IF(X54=0,"",Y54/X54),IF(MAX(X54,Y54)=0,"",MIN(X54,Y54)/MAX(X54,Y54))))),"")</f>
        <v/>
      </c>
      <c r="AA54" s="58"/>
    </row>
    <row r="55" customFormat="false" ht="15" hidden="false" customHeight="false" outlineLevel="0" collapsed="false">
      <c r="A55" s="56"/>
      <c r="B55" s="57" t="str">
        <f aca="false">IF(A55="","",IF(Dashboard!$L$5="","",INT((A55-Dashboard!$L$5)/7)+1))</f>
        <v/>
      </c>
      <c r="C55" s="67"/>
      <c r="D55" s="67"/>
      <c r="E55" s="79" t="str">
        <f aca="false">IFERROR(IF(OR(C55="",D55=""),"",IF(Dashboard!$K$5="L",IF(D55=0,"",C55/D55),IF(Dashboard!$K$5="R",IF(C55=0,"",D55/C55),IF(MAX(C55,D55)=0,"",MIN(C55,D55)/MAX(C55,D55))))),"")</f>
        <v/>
      </c>
      <c r="F55" s="67"/>
      <c r="G55" s="67"/>
      <c r="H55" s="79" t="str">
        <f aca="false">IFERROR(IF(OR(F55="",G55=""),"",IF(Dashboard!$K$5="L",IF(G55=0,"",F55/G55),IF(Dashboard!$K$5="R",IF(F55=0,"",G55/F55),IF(MAX(F55,G55)=0,"",MIN(F55,G55)/MAX(F55,G55))))),"")</f>
        <v/>
      </c>
      <c r="I55" s="67"/>
      <c r="J55" s="67"/>
      <c r="K55" s="79" t="str">
        <f aca="false">IFERROR(IF(OR(I55="",J55=""),"",IF(Dashboard!$K$5="L",IF(J55=0,"",I55/J55),IF(Dashboard!$K$5="R",IF(I55=0,"",J55/I55),IF(MAX(I55,J55)=0,"",MIN(I55,J55)/MAX(I55,J55))))),"")</f>
        <v/>
      </c>
      <c r="L55" s="67"/>
      <c r="M55" s="67"/>
      <c r="N55" s="79" t="str">
        <f aca="false">IFERROR(IF(OR(L55="",M55=""),"",IF(Dashboard!$K$5="L",IF(M55=0,"",L55/M55),IF(Dashboard!$K$5="R",IF(L55=0,"",M55/L55),IF(MAX(L55,M55)=0,"",MIN(L55,M55)/MAX(L55,M55))))),"")</f>
        <v/>
      </c>
      <c r="O55" s="67"/>
      <c r="P55" s="67"/>
      <c r="Q55" s="79" t="str">
        <f aca="false">IFERROR(IF(OR(O55="",P55=""),"",IF(Dashboard!$K$5="L",IF(P55=0,"",O55/P55),IF(Dashboard!$K$5="R",IF(O55=0,"",P55/O55),IF(MAX(O55,P55)=0,"",MIN(O55,P55)/MAX(O55,P55))))),"")</f>
        <v/>
      </c>
      <c r="R55" s="67"/>
      <c r="S55" s="67"/>
      <c r="T55" s="79" t="str">
        <f aca="false">IFERROR(IF(OR(R55="",S55=""),"",IF(Dashboard!$K$5="L",IF(S55=0,"",R55/S55),IF(Dashboard!$K$5="R",IF(R55=0,"",S55/R55),IF(MAX(R55,S55)=0,"",MIN(R55,S55)/MAX(R55,S55))))),"")</f>
        <v/>
      </c>
      <c r="U55" s="67"/>
      <c r="V55" s="67"/>
      <c r="W55" s="79" t="str">
        <f aca="false">IFERROR(IF(OR(U55="",V55=""),"",IF(Dashboard!$K$5="L",IF(V55=0,"",U55/V55),IF(Dashboard!$K$5="R",IF(U55=0,"",V55/U55),IF(MAX(U55,V55)=0,"",MIN(U55,V55)/MAX(U55,V55))))),"")</f>
        <v/>
      </c>
      <c r="X55" s="67"/>
      <c r="Y55" s="67"/>
      <c r="Z55" s="79" t="str">
        <f aca="false">IFERROR(IF(OR(X55="",Y55=""),"",IF(Dashboard!$K$5="L",IF(Y55=0,"",X55/Y55),IF(Dashboard!$K$5="R",IF(X55=0,"",Y55/X55),IF(MAX(X55,Y55)=0,"",MIN(X55,Y55)/MAX(X55,Y55))))),"")</f>
        <v/>
      </c>
      <c r="AA55" s="58"/>
    </row>
    <row r="56" customFormat="false" ht="15" hidden="false" customHeight="false" outlineLevel="0" collapsed="false">
      <c r="A56" s="56"/>
      <c r="B56" s="57" t="str">
        <f aca="false">IF(A56="","",IF(Dashboard!$L$5="","",INT((A56-Dashboard!$L$5)/7)+1))</f>
        <v/>
      </c>
      <c r="C56" s="67"/>
      <c r="D56" s="67"/>
      <c r="E56" s="79" t="str">
        <f aca="false">IFERROR(IF(OR(C56="",D56=""),"",IF(Dashboard!$K$5="L",IF(D56=0,"",C56/D56),IF(Dashboard!$K$5="R",IF(C56=0,"",D56/C56),IF(MAX(C56,D56)=0,"",MIN(C56,D56)/MAX(C56,D56))))),"")</f>
        <v/>
      </c>
      <c r="F56" s="67"/>
      <c r="G56" s="67"/>
      <c r="H56" s="79" t="str">
        <f aca="false">IFERROR(IF(OR(F56="",G56=""),"",IF(Dashboard!$K$5="L",IF(G56=0,"",F56/G56),IF(Dashboard!$K$5="R",IF(F56=0,"",G56/F56),IF(MAX(F56,G56)=0,"",MIN(F56,G56)/MAX(F56,G56))))),"")</f>
        <v/>
      </c>
      <c r="I56" s="67"/>
      <c r="J56" s="67"/>
      <c r="K56" s="79" t="str">
        <f aca="false">IFERROR(IF(OR(I56="",J56=""),"",IF(Dashboard!$K$5="L",IF(J56=0,"",I56/J56),IF(Dashboard!$K$5="R",IF(I56=0,"",J56/I56),IF(MAX(I56,J56)=0,"",MIN(I56,J56)/MAX(I56,J56))))),"")</f>
        <v/>
      </c>
      <c r="L56" s="67"/>
      <c r="M56" s="67"/>
      <c r="N56" s="79" t="str">
        <f aca="false">IFERROR(IF(OR(L56="",M56=""),"",IF(Dashboard!$K$5="L",IF(M56=0,"",L56/M56),IF(Dashboard!$K$5="R",IF(L56=0,"",M56/L56),IF(MAX(L56,M56)=0,"",MIN(L56,M56)/MAX(L56,M56))))),"")</f>
        <v/>
      </c>
      <c r="O56" s="67"/>
      <c r="P56" s="67"/>
      <c r="Q56" s="79" t="str">
        <f aca="false">IFERROR(IF(OR(O56="",P56=""),"",IF(Dashboard!$K$5="L",IF(P56=0,"",O56/P56),IF(Dashboard!$K$5="R",IF(O56=0,"",P56/O56),IF(MAX(O56,P56)=0,"",MIN(O56,P56)/MAX(O56,P56))))),"")</f>
        <v/>
      </c>
      <c r="R56" s="67"/>
      <c r="S56" s="67"/>
      <c r="T56" s="79" t="str">
        <f aca="false">IFERROR(IF(OR(R56="",S56=""),"",IF(Dashboard!$K$5="L",IF(S56=0,"",R56/S56),IF(Dashboard!$K$5="R",IF(R56=0,"",S56/R56),IF(MAX(R56,S56)=0,"",MIN(R56,S56)/MAX(R56,S56))))),"")</f>
        <v/>
      </c>
      <c r="U56" s="67"/>
      <c r="V56" s="67"/>
      <c r="W56" s="79" t="str">
        <f aca="false">IFERROR(IF(OR(U56="",V56=""),"",IF(Dashboard!$K$5="L",IF(V56=0,"",U56/V56),IF(Dashboard!$K$5="R",IF(U56=0,"",V56/U56),IF(MAX(U56,V56)=0,"",MIN(U56,V56)/MAX(U56,V56))))),"")</f>
        <v/>
      </c>
      <c r="X56" s="67"/>
      <c r="Y56" s="67"/>
      <c r="Z56" s="79" t="str">
        <f aca="false">IFERROR(IF(OR(X56="",Y56=""),"",IF(Dashboard!$K$5="L",IF(Y56=0,"",X56/Y56),IF(Dashboard!$K$5="R",IF(X56=0,"",Y56/X56),IF(MAX(X56,Y56)=0,"",MIN(X56,Y56)/MAX(X56,Y56))))),"")</f>
        <v/>
      </c>
      <c r="AA56" s="58"/>
    </row>
    <row r="57" customFormat="false" ht="15" hidden="false" customHeight="false" outlineLevel="0" collapsed="false">
      <c r="A57" s="56"/>
      <c r="B57" s="57" t="str">
        <f aca="false">IF(A57="","",IF(Dashboard!$L$5="","",INT((A57-Dashboard!$L$5)/7)+1))</f>
        <v/>
      </c>
      <c r="C57" s="67"/>
      <c r="D57" s="67"/>
      <c r="E57" s="79" t="str">
        <f aca="false">IFERROR(IF(OR(C57="",D57=""),"",IF(Dashboard!$K$5="L",IF(D57=0,"",C57/D57),IF(Dashboard!$K$5="R",IF(C57=0,"",D57/C57),IF(MAX(C57,D57)=0,"",MIN(C57,D57)/MAX(C57,D57))))),"")</f>
        <v/>
      </c>
      <c r="F57" s="67"/>
      <c r="G57" s="67"/>
      <c r="H57" s="79" t="str">
        <f aca="false">IFERROR(IF(OR(F57="",G57=""),"",IF(Dashboard!$K$5="L",IF(G57=0,"",F57/G57),IF(Dashboard!$K$5="R",IF(F57=0,"",G57/F57),IF(MAX(F57,G57)=0,"",MIN(F57,G57)/MAX(F57,G57))))),"")</f>
        <v/>
      </c>
      <c r="I57" s="67"/>
      <c r="J57" s="67"/>
      <c r="K57" s="79" t="str">
        <f aca="false">IFERROR(IF(OR(I57="",J57=""),"",IF(Dashboard!$K$5="L",IF(J57=0,"",I57/J57),IF(Dashboard!$K$5="R",IF(I57=0,"",J57/I57),IF(MAX(I57,J57)=0,"",MIN(I57,J57)/MAX(I57,J57))))),"")</f>
        <v/>
      </c>
      <c r="L57" s="67"/>
      <c r="M57" s="67"/>
      <c r="N57" s="79" t="str">
        <f aca="false">IFERROR(IF(OR(L57="",M57=""),"",IF(Dashboard!$K$5="L",IF(M57=0,"",L57/M57),IF(Dashboard!$K$5="R",IF(L57=0,"",M57/L57),IF(MAX(L57,M57)=0,"",MIN(L57,M57)/MAX(L57,M57))))),"")</f>
        <v/>
      </c>
      <c r="O57" s="67"/>
      <c r="P57" s="67"/>
      <c r="Q57" s="79" t="str">
        <f aca="false">IFERROR(IF(OR(O57="",P57=""),"",IF(Dashboard!$K$5="L",IF(P57=0,"",O57/P57),IF(Dashboard!$K$5="R",IF(O57=0,"",P57/O57),IF(MAX(O57,P57)=0,"",MIN(O57,P57)/MAX(O57,P57))))),"")</f>
        <v/>
      </c>
      <c r="R57" s="67"/>
      <c r="S57" s="67"/>
      <c r="T57" s="79" t="str">
        <f aca="false">IFERROR(IF(OR(R57="",S57=""),"",IF(Dashboard!$K$5="L",IF(S57=0,"",R57/S57),IF(Dashboard!$K$5="R",IF(R57=0,"",S57/R57),IF(MAX(R57,S57)=0,"",MIN(R57,S57)/MAX(R57,S57))))),"")</f>
        <v/>
      </c>
      <c r="U57" s="67"/>
      <c r="V57" s="67"/>
      <c r="W57" s="79" t="str">
        <f aca="false">IFERROR(IF(OR(U57="",V57=""),"",IF(Dashboard!$K$5="L",IF(V57=0,"",U57/V57),IF(Dashboard!$K$5="R",IF(U57=0,"",V57/U57),IF(MAX(U57,V57)=0,"",MIN(U57,V57)/MAX(U57,V57))))),"")</f>
        <v/>
      </c>
      <c r="X57" s="67"/>
      <c r="Y57" s="67"/>
      <c r="Z57" s="79" t="str">
        <f aca="false">IFERROR(IF(OR(X57="",Y57=""),"",IF(Dashboard!$K$5="L",IF(Y57=0,"",X57/Y57),IF(Dashboard!$K$5="R",IF(X57=0,"",Y57/X57),IF(MAX(X57,Y57)=0,"",MIN(X57,Y57)/MAX(X57,Y57))))),"")</f>
        <v/>
      </c>
      <c r="AA57" s="58"/>
    </row>
    <row r="58" customFormat="false" ht="15" hidden="false" customHeight="false" outlineLevel="0" collapsed="false">
      <c r="A58" s="56"/>
      <c r="B58" s="57" t="str">
        <f aca="false">IF(A58="","",IF(Dashboard!$L$5="","",INT((A58-Dashboard!$L$5)/7)+1))</f>
        <v/>
      </c>
      <c r="C58" s="67"/>
      <c r="D58" s="67"/>
      <c r="E58" s="79" t="str">
        <f aca="false">IFERROR(IF(OR(C58="",D58=""),"",IF(Dashboard!$K$5="L",IF(D58=0,"",C58/D58),IF(Dashboard!$K$5="R",IF(C58=0,"",D58/C58),IF(MAX(C58,D58)=0,"",MIN(C58,D58)/MAX(C58,D58))))),"")</f>
        <v/>
      </c>
      <c r="F58" s="67"/>
      <c r="G58" s="67"/>
      <c r="H58" s="79" t="str">
        <f aca="false">IFERROR(IF(OR(F58="",G58=""),"",IF(Dashboard!$K$5="L",IF(G58=0,"",F58/G58),IF(Dashboard!$K$5="R",IF(F58=0,"",G58/F58),IF(MAX(F58,G58)=0,"",MIN(F58,G58)/MAX(F58,G58))))),"")</f>
        <v/>
      </c>
      <c r="I58" s="67"/>
      <c r="J58" s="67"/>
      <c r="K58" s="79" t="str">
        <f aca="false">IFERROR(IF(OR(I58="",J58=""),"",IF(Dashboard!$K$5="L",IF(J58=0,"",I58/J58),IF(Dashboard!$K$5="R",IF(I58=0,"",J58/I58),IF(MAX(I58,J58)=0,"",MIN(I58,J58)/MAX(I58,J58))))),"")</f>
        <v/>
      </c>
      <c r="L58" s="67"/>
      <c r="M58" s="67"/>
      <c r="N58" s="79" t="str">
        <f aca="false">IFERROR(IF(OR(L58="",M58=""),"",IF(Dashboard!$K$5="L",IF(M58=0,"",L58/M58),IF(Dashboard!$K$5="R",IF(L58=0,"",M58/L58),IF(MAX(L58,M58)=0,"",MIN(L58,M58)/MAX(L58,M58))))),"")</f>
        <v/>
      </c>
      <c r="O58" s="67"/>
      <c r="P58" s="67"/>
      <c r="Q58" s="79" t="str">
        <f aca="false">IFERROR(IF(OR(O58="",P58=""),"",IF(Dashboard!$K$5="L",IF(P58=0,"",O58/P58),IF(Dashboard!$K$5="R",IF(O58=0,"",P58/O58),IF(MAX(O58,P58)=0,"",MIN(O58,P58)/MAX(O58,P58))))),"")</f>
        <v/>
      </c>
      <c r="R58" s="67"/>
      <c r="S58" s="67"/>
      <c r="T58" s="79" t="str">
        <f aca="false">IFERROR(IF(OR(R58="",S58=""),"",IF(Dashboard!$K$5="L",IF(S58=0,"",R58/S58),IF(Dashboard!$K$5="R",IF(R58=0,"",S58/R58),IF(MAX(R58,S58)=0,"",MIN(R58,S58)/MAX(R58,S58))))),"")</f>
        <v/>
      </c>
      <c r="U58" s="67"/>
      <c r="V58" s="67"/>
      <c r="W58" s="79" t="str">
        <f aca="false">IFERROR(IF(OR(U58="",V58=""),"",IF(Dashboard!$K$5="L",IF(V58=0,"",U58/V58),IF(Dashboard!$K$5="R",IF(U58=0,"",V58/U58),IF(MAX(U58,V58)=0,"",MIN(U58,V58)/MAX(U58,V58))))),"")</f>
        <v/>
      </c>
      <c r="X58" s="67"/>
      <c r="Y58" s="67"/>
      <c r="Z58" s="79" t="str">
        <f aca="false">IFERROR(IF(OR(X58="",Y58=""),"",IF(Dashboard!$K$5="L",IF(Y58=0,"",X58/Y58),IF(Dashboard!$K$5="R",IF(X58=0,"",Y58/X58),IF(MAX(X58,Y58)=0,"",MIN(X58,Y58)/MAX(X58,Y58))))),"")</f>
        <v/>
      </c>
      <c r="AA58" s="58"/>
    </row>
    <row r="59" customFormat="false" ht="15" hidden="false" customHeight="false" outlineLevel="0" collapsed="false">
      <c r="A59" s="56"/>
      <c r="B59" s="57" t="str">
        <f aca="false">IF(A59="","",IF(Dashboard!$L$5="","",INT((A59-Dashboard!$L$5)/7)+1))</f>
        <v/>
      </c>
      <c r="C59" s="67"/>
      <c r="D59" s="67"/>
      <c r="E59" s="79" t="str">
        <f aca="false">IFERROR(IF(OR(C59="",D59=""),"",IF(Dashboard!$K$5="L",IF(D59=0,"",C59/D59),IF(Dashboard!$K$5="R",IF(C59=0,"",D59/C59),IF(MAX(C59,D59)=0,"",MIN(C59,D59)/MAX(C59,D59))))),"")</f>
        <v/>
      </c>
      <c r="F59" s="67"/>
      <c r="G59" s="67"/>
      <c r="H59" s="79" t="str">
        <f aca="false">IFERROR(IF(OR(F59="",G59=""),"",IF(Dashboard!$K$5="L",IF(G59=0,"",F59/G59),IF(Dashboard!$K$5="R",IF(F59=0,"",G59/F59),IF(MAX(F59,G59)=0,"",MIN(F59,G59)/MAX(F59,G59))))),"")</f>
        <v/>
      </c>
      <c r="I59" s="67"/>
      <c r="J59" s="67"/>
      <c r="K59" s="79" t="str">
        <f aca="false">IFERROR(IF(OR(I59="",J59=""),"",IF(Dashboard!$K$5="L",IF(J59=0,"",I59/J59),IF(Dashboard!$K$5="R",IF(I59=0,"",J59/I59),IF(MAX(I59,J59)=0,"",MIN(I59,J59)/MAX(I59,J59))))),"")</f>
        <v/>
      </c>
      <c r="L59" s="67"/>
      <c r="M59" s="67"/>
      <c r="N59" s="79" t="str">
        <f aca="false">IFERROR(IF(OR(L59="",M59=""),"",IF(Dashboard!$K$5="L",IF(M59=0,"",L59/M59),IF(Dashboard!$K$5="R",IF(L59=0,"",M59/L59),IF(MAX(L59,M59)=0,"",MIN(L59,M59)/MAX(L59,M59))))),"")</f>
        <v/>
      </c>
      <c r="O59" s="67"/>
      <c r="P59" s="67"/>
      <c r="Q59" s="79" t="str">
        <f aca="false">IFERROR(IF(OR(O59="",P59=""),"",IF(Dashboard!$K$5="L",IF(P59=0,"",O59/P59),IF(Dashboard!$K$5="R",IF(O59=0,"",P59/O59),IF(MAX(O59,P59)=0,"",MIN(O59,P59)/MAX(O59,P59))))),"")</f>
        <v/>
      </c>
      <c r="R59" s="67"/>
      <c r="S59" s="67"/>
      <c r="T59" s="79" t="str">
        <f aca="false">IFERROR(IF(OR(R59="",S59=""),"",IF(Dashboard!$K$5="L",IF(S59=0,"",R59/S59),IF(Dashboard!$K$5="R",IF(R59=0,"",S59/R59),IF(MAX(R59,S59)=0,"",MIN(R59,S59)/MAX(R59,S59))))),"")</f>
        <v/>
      </c>
      <c r="U59" s="67"/>
      <c r="V59" s="67"/>
      <c r="W59" s="79" t="str">
        <f aca="false">IFERROR(IF(OR(U59="",V59=""),"",IF(Dashboard!$K$5="L",IF(V59=0,"",U59/V59),IF(Dashboard!$K$5="R",IF(U59=0,"",V59/U59),IF(MAX(U59,V59)=0,"",MIN(U59,V59)/MAX(U59,V59))))),"")</f>
        <v/>
      </c>
      <c r="X59" s="67"/>
      <c r="Y59" s="67"/>
      <c r="Z59" s="79" t="str">
        <f aca="false">IFERROR(IF(OR(X59="",Y59=""),"",IF(Dashboard!$K$5="L",IF(Y59=0,"",X59/Y59),IF(Dashboard!$K$5="R",IF(X59=0,"",Y59/X59),IF(MAX(X59,Y59)=0,"",MIN(X59,Y59)/MAX(X59,Y59))))),"")</f>
        <v/>
      </c>
      <c r="AA59" s="58"/>
    </row>
    <row r="60" customFormat="false" ht="15" hidden="false" customHeight="false" outlineLevel="0" collapsed="false">
      <c r="A60" s="56"/>
      <c r="B60" s="57" t="str">
        <f aca="false">IF(A60="","",IF(Dashboard!$L$5="","",INT((A60-Dashboard!$L$5)/7)+1))</f>
        <v/>
      </c>
      <c r="C60" s="67"/>
      <c r="D60" s="67"/>
      <c r="E60" s="79" t="str">
        <f aca="false">IFERROR(IF(OR(C60="",D60=""),"",IF(Dashboard!$K$5="L",IF(D60=0,"",C60/D60),IF(Dashboard!$K$5="R",IF(C60=0,"",D60/C60),IF(MAX(C60,D60)=0,"",MIN(C60,D60)/MAX(C60,D60))))),"")</f>
        <v/>
      </c>
      <c r="F60" s="67"/>
      <c r="G60" s="67"/>
      <c r="H60" s="79" t="str">
        <f aca="false">IFERROR(IF(OR(F60="",G60=""),"",IF(Dashboard!$K$5="L",IF(G60=0,"",F60/G60),IF(Dashboard!$K$5="R",IF(F60=0,"",G60/F60),IF(MAX(F60,G60)=0,"",MIN(F60,G60)/MAX(F60,G60))))),"")</f>
        <v/>
      </c>
      <c r="I60" s="67"/>
      <c r="J60" s="67"/>
      <c r="K60" s="79" t="str">
        <f aca="false">IFERROR(IF(OR(I60="",J60=""),"",IF(Dashboard!$K$5="L",IF(J60=0,"",I60/J60),IF(Dashboard!$K$5="R",IF(I60=0,"",J60/I60),IF(MAX(I60,J60)=0,"",MIN(I60,J60)/MAX(I60,J60))))),"")</f>
        <v/>
      </c>
      <c r="L60" s="67"/>
      <c r="M60" s="67"/>
      <c r="N60" s="79" t="str">
        <f aca="false">IFERROR(IF(OR(L60="",M60=""),"",IF(Dashboard!$K$5="L",IF(M60=0,"",L60/M60),IF(Dashboard!$K$5="R",IF(L60=0,"",M60/L60),IF(MAX(L60,M60)=0,"",MIN(L60,M60)/MAX(L60,M60))))),"")</f>
        <v/>
      </c>
      <c r="O60" s="67"/>
      <c r="P60" s="67"/>
      <c r="Q60" s="79" t="str">
        <f aca="false">IFERROR(IF(OR(O60="",P60=""),"",IF(Dashboard!$K$5="L",IF(P60=0,"",O60/P60),IF(Dashboard!$K$5="R",IF(O60=0,"",P60/O60),IF(MAX(O60,P60)=0,"",MIN(O60,P60)/MAX(O60,P60))))),"")</f>
        <v/>
      </c>
      <c r="R60" s="67"/>
      <c r="S60" s="67"/>
      <c r="T60" s="79" t="str">
        <f aca="false">IFERROR(IF(OR(R60="",S60=""),"",IF(Dashboard!$K$5="L",IF(S60=0,"",R60/S60),IF(Dashboard!$K$5="R",IF(R60=0,"",S60/R60),IF(MAX(R60,S60)=0,"",MIN(R60,S60)/MAX(R60,S60))))),"")</f>
        <v/>
      </c>
      <c r="U60" s="67"/>
      <c r="V60" s="67"/>
      <c r="W60" s="79" t="str">
        <f aca="false">IFERROR(IF(OR(U60="",V60=""),"",IF(Dashboard!$K$5="L",IF(V60=0,"",U60/V60),IF(Dashboard!$K$5="R",IF(U60=0,"",V60/U60),IF(MAX(U60,V60)=0,"",MIN(U60,V60)/MAX(U60,V60))))),"")</f>
        <v/>
      </c>
      <c r="X60" s="67"/>
      <c r="Y60" s="67"/>
      <c r="Z60" s="79" t="str">
        <f aca="false">IFERROR(IF(OR(X60="",Y60=""),"",IF(Dashboard!$K$5="L",IF(Y60=0,"",X60/Y60),IF(Dashboard!$K$5="R",IF(X60=0,"",Y60/X60),IF(MAX(X60,Y60)=0,"",MIN(X60,Y60)/MAX(X60,Y60))))),"")</f>
        <v/>
      </c>
      <c r="AA60" s="58"/>
    </row>
    <row r="61" customFormat="false" ht="15" hidden="false" customHeight="false" outlineLevel="0" collapsed="false">
      <c r="A61" s="56"/>
      <c r="B61" s="57" t="str">
        <f aca="false">IF(A61="","",IF(Dashboard!$L$5="","",INT((A61-Dashboard!$L$5)/7)+1))</f>
        <v/>
      </c>
      <c r="C61" s="67"/>
      <c r="D61" s="67"/>
      <c r="E61" s="79" t="str">
        <f aca="false">IFERROR(IF(OR(C61="",D61=""),"",IF(Dashboard!$K$5="L",IF(D61=0,"",C61/D61),IF(Dashboard!$K$5="R",IF(C61=0,"",D61/C61),IF(MAX(C61,D61)=0,"",MIN(C61,D61)/MAX(C61,D61))))),"")</f>
        <v/>
      </c>
      <c r="F61" s="67"/>
      <c r="G61" s="67"/>
      <c r="H61" s="79" t="str">
        <f aca="false">IFERROR(IF(OR(F61="",G61=""),"",IF(Dashboard!$K$5="L",IF(G61=0,"",F61/G61),IF(Dashboard!$K$5="R",IF(F61=0,"",G61/F61),IF(MAX(F61,G61)=0,"",MIN(F61,G61)/MAX(F61,G61))))),"")</f>
        <v/>
      </c>
      <c r="I61" s="67"/>
      <c r="J61" s="67"/>
      <c r="K61" s="79" t="str">
        <f aca="false">IFERROR(IF(OR(I61="",J61=""),"",IF(Dashboard!$K$5="L",IF(J61=0,"",I61/J61),IF(Dashboard!$K$5="R",IF(I61=0,"",J61/I61),IF(MAX(I61,J61)=0,"",MIN(I61,J61)/MAX(I61,J61))))),"")</f>
        <v/>
      </c>
      <c r="L61" s="67"/>
      <c r="M61" s="67"/>
      <c r="N61" s="79" t="str">
        <f aca="false">IFERROR(IF(OR(L61="",M61=""),"",IF(Dashboard!$K$5="L",IF(M61=0,"",L61/M61),IF(Dashboard!$K$5="R",IF(L61=0,"",M61/L61),IF(MAX(L61,M61)=0,"",MIN(L61,M61)/MAX(L61,M61))))),"")</f>
        <v/>
      </c>
      <c r="O61" s="67"/>
      <c r="P61" s="67"/>
      <c r="Q61" s="79" t="str">
        <f aca="false">IFERROR(IF(OR(O61="",P61=""),"",IF(Dashboard!$K$5="L",IF(P61=0,"",O61/P61),IF(Dashboard!$K$5="R",IF(O61=0,"",P61/O61),IF(MAX(O61,P61)=0,"",MIN(O61,P61)/MAX(O61,P61))))),"")</f>
        <v/>
      </c>
      <c r="R61" s="67"/>
      <c r="S61" s="67"/>
      <c r="T61" s="79" t="str">
        <f aca="false">IFERROR(IF(OR(R61="",S61=""),"",IF(Dashboard!$K$5="L",IF(S61=0,"",R61/S61),IF(Dashboard!$K$5="R",IF(R61=0,"",S61/R61),IF(MAX(R61,S61)=0,"",MIN(R61,S61)/MAX(R61,S61))))),"")</f>
        <v/>
      </c>
      <c r="U61" s="67"/>
      <c r="V61" s="67"/>
      <c r="W61" s="79" t="str">
        <f aca="false">IFERROR(IF(OR(U61="",V61=""),"",IF(Dashboard!$K$5="L",IF(V61=0,"",U61/V61),IF(Dashboard!$K$5="R",IF(U61=0,"",V61/U61),IF(MAX(U61,V61)=0,"",MIN(U61,V61)/MAX(U61,V61))))),"")</f>
        <v/>
      </c>
      <c r="X61" s="67"/>
      <c r="Y61" s="67"/>
      <c r="Z61" s="79" t="str">
        <f aca="false">IFERROR(IF(OR(X61="",Y61=""),"",IF(Dashboard!$K$5="L",IF(Y61=0,"",X61/Y61),IF(Dashboard!$K$5="R",IF(X61=0,"",Y61/X61),IF(MAX(X61,Y61)=0,"",MIN(X61,Y61)/MAX(X61,Y61))))),"")</f>
        <v/>
      </c>
      <c r="AA61" s="58"/>
    </row>
    <row r="62" customFormat="false" ht="15" hidden="false" customHeight="false" outlineLevel="0" collapsed="false">
      <c r="A62" s="56"/>
      <c r="B62" s="57" t="str">
        <f aca="false">IF(A62="","",IF(Dashboard!$L$5="","",INT((A62-Dashboard!$L$5)/7)+1))</f>
        <v/>
      </c>
      <c r="C62" s="67"/>
      <c r="D62" s="67"/>
      <c r="E62" s="79" t="str">
        <f aca="false">IFERROR(IF(OR(C62="",D62=""),"",IF(Dashboard!$K$5="L",IF(D62=0,"",C62/D62),IF(Dashboard!$K$5="R",IF(C62=0,"",D62/C62),IF(MAX(C62,D62)=0,"",MIN(C62,D62)/MAX(C62,D62))))),"")</f>
        <v/>
      </c>
      <c r="F62" s="67"/>
      <c r="G62" s="67"/>
      <c r="H62" s="79" t="str">
        <f aca="false">IFERROR(IF(OR(F62="",G62=""),"",IF(Dashboard!$K$5="L",IF(G62=0,"",F62/G62),IF(Dashboard!$K$5="R",IF(F62=0,"",G62/F62),IF(MAX(F62,G62)=0,"",MIN(F62,G62)/MAX(F62,G62))))),"")</f>
        <v/>
      </c>
      <c r="I62" s="67"/>
      <c r="J62" s="67"/>
      <c r="K62" s="79" t="str">
        <f aca="false">IFERROR(IF(OR(I62="",J62=""),"",IF(Dashboard!$K$5="L",IF(J62=0,"",I62/J62),IF(Dashboard!$K$5="R",IF(I62=0,"",J62/I62),IF(MAX(I62,J62)=0,"",MIN(I62,J62)/MAX(I62,J62))))),"")</f>
        <v/>
      </c>
      <c r="L62" s="67"/>
      <c r="M62" s="67"/>
      <c r="N62" s="79" t="str">
        <f aca="false">IFERROR(IF(OR(L62="",M62=""),"",IF(Dashboard!$K$5="L",IF(M62=0,"",L62/M62),IF(Dashboard!$K$5="R",IF(L62=0,"",M62/L62),IF(MAX(L62,M62)=0,"",MIN(L62,M62)/MAX(L62,M62))))),"")</f>
        <v/>
      </c>
      <c r="O62" s="67"/>
      <c r="P62" s="67"/>
      <c r="Q62" s="79" t="str">
        <f aca="false">IFERROR(IF(OR(O62="",P62=""),"",IF(Dashboard!$K$5="L",IF(P62=0,"",O62/P62),IF(Dashboard!$K$5="R",IF(O62=0,"",P62/O62),IF(MAX(O62,P62)=0,"",MIN(O62,P62)/MAX(O62,P62))))),"")</f>
        <v/>
      </c>
      <c r="R62" s="67"/>
      <c r="S62" s="67"/>
      <c r="T62" s="79" t="str">
        <f aca="false">IFERROR(IF(OR(R62="",S62=""),"",IF(Dashboard!$K$5="L",IF(S62=0,"",R62/S62),IF(Dashboard!$K$5="R",IF(R62=0,"",S62/R62),IF(MAX(R62,S62)=0,"",MIN(R62,S62)/MAX(R62,S62))))),"")</f>
        <v/>
      </c>
      <c r="U62" s="67"/>
      <c r="V62" s="67"/>
      <c r="W62" s="79" t="str">
        <f aca="false">IFERROR(IF(OR(U62="",V62=""),"",IF(Dashboard!$K$5="L",IF(V62=0,"",U62/V62),IF(Dashboard!$K$5="R",IF(U62=0,"",V62/U62),IF(MAX(U62,V62)=0,"",MIN(U62,V62)/MAX(U62,V62))))),"")</f>
        <v/>
      </c>
      <c r="X62" s="67"/>
      <c r="Y62" s="67"/>
      <c r="Z62" s="79" t="str">
        <f aca="false">IFERROR(IF(OR(X62="",Y62=""),"",IF(Dashboard!$K$5="L",IF(Y62=0,"",X62/Y62),IF(Dashboard!$K$5="R",IF(X62=0,"",Y62/X62),IF(MAX(X62,Y62)=0,"",MIN(X62,Y62)/MAX(X62,Y62))))),"")</f>
        <v/>
      </c>
      <c r="AA62" s="58"/>
    </row>
    <row r="63" customFormat="false" ht="15" hidden="false" customHeight="false" outlineLevel="0" collapsed="false">
      <c r="A63" s="56"/>
      <c r="B63" s="57" t="str">
        <f aca="false">IF(A63="","",IF(Dashboard!$L$5="","",INT((A63-Dashboard!$L$5)/7)+1))</f>
        <v/>
      </c>
      <c r="C63" s="67"/>
      <c r="D63" s="67"/>
      <c r="E63" s="79" t="str">
        <f aca="false">IFERROR(IF(OR(C63="",D63=""),"",IF(Dashboard!$K$5="L",IF(D63=0,"",C63/D63),IF(Dashboard!$K$5="R",IF(C63=0,"",D63/C63),IF(MAX(C63,D63)=0,"",MIN(C63,D63)/MAX(C63,D63))))),"")</f>
        <v/>
      </c>
      <c r="F63" s="67"/>
      <c r="G63" s="67"/>
      <c r="H63" s="79" t="str">
        <f aca="false">IFERROR(IF(OR(F63="",G63=""),"",IF(Dashboard!$K$5="L",IF(G63=0,"",F63/G63),IF(Dashboard!$K$5="R",IF(F63=0,"",G63/F63),IF(MAX(F63,G63)=0,"",MIN(F63,G63)/MAX(F63,G63))))),"")</f>
        <v/>
      </c>
      <c r="I63" s="67"/>
      <c r="J63" s="67"/>
      <c r="K63" s="79" t="str">
        <f aca="false">IFERROR(IF(OR(I63="",J63=""),"",IF(Dashboard!$K$5="L",IF(J63=0,"",I63/J63),IF(Dashboard!$K$5="R",IF(I63=0,"",J63/I63),IF(MAX(I63,J63)=0,"",MIN(I63,J63)/MAX(I63,J63))))),"")</f>
        <v/>
      </c>
      <c r="L63" s="67"/>
      <c r="M63" s="67"/>
      <c r="N63" s="79" t="str">
        <f aca="false">IFERROR(IF(OR(L63="",M63=""),"",IF(Dashboard!$K$5="L",IF(M63=0,"",L63/M63),IF(Dashboard!$K$5="R",IF(L63=0,"",M63/L63),IF(MAX(L63,M63)=0,"",MIN(L63,M63)/MAX(L63,M63))))),"")</f>
        <v/>
      </c>
      <c r="O63" s="67"/>
      <c r="P63" s="67"/>
      <c r="Q63" s="79" t="str">
        <f aca="false">IFERROR(IF(OR(O63="",P63=""),"",IF(Dashboard!$K$5="L",IF(P63=0,"",O63/P63),IF(Dashboard!$K$5="R",IF(O63=0,"",P63/O63),IF(MAX(O63,P63)=0,"",MIN(O63,P63)/MAX(O63,P63))))),"")</f>
        <v/>
      </c>
      <c r="R63" s="67"/>
      <c r="S63" s="67"/>
      <c r="T63" s="79" t="str">
        <f aca="false">IFERROR(IF(OR(R63="",S63=""),"",IF(Dashboard!$K$5="L",IF(S63=0,"",R63/S63),IF(Dashboard!$K$5="R",IF(R63=0,"",S63/R63),IF(MAX(R63,S63)=0,"",MIN(R63,S63)/MAX(R63,S63))))),"")</f>
        <v/>
      </c>
      <c r="U63" s="67"/>
      <c r="V63" s="67"/>
      <c r="W63" s="79" t="str">
        <f aca="false">IFERROR(IF(OR(U63="",V63=""),"",IF(Dashboard!$K$5="L",IF(V63=0,"",U63/V63),IF(Dashboard!$K$5="R",IF(U63=0,"",V63/U63),IF(MAX(U63,V63)=0,"",MIN(U63,V63)/MAX(U63,V63))))),"")</f>
        <v/>
      </c>
      <c r="X63" s="67"/>
      <c r="Y63" s="67"/>
      <c r="Z63" s="79" t="str">
        <f aca="false">IFERROR(IF(OR(X63="",Y63=""),"",IF(Dashboard!$K$5="L",IF(Y63=0,"",X63/Y63),IF(Dashboard!$K$5="R",IF(X63=0,"",Y63/X63),IF(MAX(X63,Y63)=0,"",MIN(X63,Y63)/MAX(X63,Y63))))),"")</f>
        <v/>
      </c>
      <c r="AA63" s="58"/>
    </row>
    <row r="64" customFormat="false" ht="15" hidden="false" customHeight="false" outlineLevel="0" collapsed="false">
      <c r="A64" s="56"/>
      <c r="B64" s="57" t="str">
        <f aca="false">IF(A64="","",IF(Dashboard!$L$5="","",INT((A64-Dashboard!$L$5)/7)+1))</f>
        <v/>
      </c>
      <c r="C64" s="67"/>
      <c r="D64" s="67"/>
      <c r="E64" s="79" t="str">
        <f aca="false">IFERROR(IF(OR(C64="",D64=""),"",IF(Dashboard!$K$5="L",IF(D64=0,"",C64/D64),IF(Dashboard!$K$5="R",IF(C64=0,"",D64/C64),IF(MAX(C64,D64)=0,"",MIN(C64,D64)/MAX(C64,D64))))),"")</f>
        <v/>
      </c>
      <c r="F64" s="67"/>
      <c r="G64" s="67"/>
      <c r="H64" s="79" t="str">
        <f aca="false">IFERROR(IF(OR(F64="",G64=""),"",IF(Dashboard!$K$5="L",IF(G64=0,"",F64/G64),IF(Dashboard!$K$5="R",IF(F64=0,"",G64/F64),IF(MAX(F64,G64)=0,"",MIN(F64,G64)/MAX(F64,G64))))),"")</f>
        <v/>
      </c>
      <c r="I64" s="67"/>
      <c r="J64" s="67"/>
      <c r="K64" s="79" t="str">
        <f aca="false">IFERROR(IF(OR(I64="",J64=""),"",IF(Dashboard!$K$5="L",IF(J64=0,"",I64/J64),IF(Dashboard!$K$5="R",IF(I64=0,"",J64/I64),IF(MAX(I64,J64)=0,"",MIN(I64,J64)/MAX(I64,J64))))),"")</f>
        <v/>
      </c>
      <c r="L64" s="67"/>
      <c r="M64" s="67"/>
      <c r="N64" s="79" t="str">
        <f aca="false">IFERROR(IF(OR(L64="",M64=""),"",IF(Dashboard!$K$5="L",IF(M64=0,"",L64/M64),IF(Dashboard!$K$5="R",IF(L64=0,"",M64/L64),IF(MAX(L64,M64)=0,"",MIN(L64,M64)/MAX(L64,M64))))),"")</f>
        <v/>
      </c>
      <c r="O64" s="67"/>
      <c r="P64" s="67"/>
      <c r="Q64" s="79" t="str">
        <f aca="false">IFERROR(IF(OR(O64="",P64=""),"",IF(Dashboard!$K$5="L",IF(P64=0,"",O64/P64),IF(Dashboard!$K$5="R",IF(O64=0,"",P64/O64),IF(MAX(O64,P64)=0,"",MIN(O64,P64)/MAX(O64,P64))))),"")</f>
        <v/>
      </c>
      <c r="R64" s="67"/>
      <c r="S64" s="67"/>
      <c r="T64" s="79" t="str">
        <f aca="false">IFERROR(IF(OR(R64="",S64=""),"",IF(Dashboard!$K$5="L",IF(S64=0,"",R64/S64),IF(Dashboard!$K$5="R",IF(R64=0,"",S64/R64),IF(MAX(R64,S64)=0,"",MIN(R64,S64)/MAX(R64,S64))))),"")</f>
        <v/>
      </c>
      <c r="U64" s="67"/>
      <c r="V64" s="67"/>
      <c r="W64" s="79" t="str">
        <f aca="false">IFERROR(IF(OR(U64="",V64=""),"",IF(Dashboard!$K$5="L",IF(V64=0,"",U64/V64),IF(Dashboard!$K$5="R",IF(U64=0,"",V64/U64),IF(MAX(U64,V64)=0,"",MIN(U64,V64)/MAX(U64,V64))))),"")</f>
        <v/>
      </c>
      <c r="X64" s="67"/>
      <c r="Y64" s="67"/>
      <c r="Z64" s="79" t="str">
        <f aca="false">IFERROR(IF(OR(X64="",Y64=""),"",IF(Dashboard!$K$5="L",IF(Y64=0,"",X64/Y64),IF(Dashboard!$K$5="R",IF(X64=0,"",Y64/X64),IF(MAX(X64,Y64)=0,"",MIN(X64,Y64)/MAX(X64,Y64))))),"")</f>
        <v/>
      </c>
      <c r="AA64" s="58"/>
    </row>
    <row r="65" customFormat="false" ht="15" hidden="false" customHeight="false" outlineLevel="0" collapsed="false">
      <c r="A65" s="56"/>
      <c r="B65" s="57" t="str">
        <f aca="false">IF(A65="","",IF(Dashboard!$L$5="","",INT((A65-Dashboard!$L$5)/7)+1))</f>
        <v/>
      </c>
      <c r="C65" s="67"/>
      <c r="D65" s="67"/>
      <c r="E65" s="79" t="str">
        <f aca="false">IFERROR(IF(OR(C65="",D65=""),"",IF(Dashboard!$K$5="L",IF(D65=0,"",C65/D65),IF(Dashboard!$K$5="R",IF(C65=0,"",D65/C65),IF(MAX(C65,D65)=0,"",MIN(C65,D65)/MAX(C65,D65))))),"")</f>
        <v/>
      </c>
      <c r="F65" s="67"/>
      <c r="G65" s="67"/>
      <c r="H65" s="79" t="str">
        <f aca="false">IFERROR(IF(OR(F65="",G65=""),"",IF(Dashboard!$K$5="L",IF(G65=0,"",F65/G65),IF(Dashboard!$K$5="R",IF(F65=0,"",G65/F65),IF(MAX(F65,G65)=0,"",MIN(F65,G65)/MAX(F65,G65))))),"")</f>
        <v/>
      </c>
      <c r="I65" s="67"/>
      <c r="J65" s="67"/>
      <c r="K65" s="79" t="str">
        <f aca="false">IFERROR(IF(OR(I65="",J65=""),"",IF(Dashboard!$K$5="L",IF(J65=0,"",I65/J65),IF(Dashboard!$K$5="R",IF(I65=0,"",J65/I65),IF(MAX(I65,J65)=0,"",MIN(I65,J65)/MAX(I65,J65))))),"")</f>
        <v/>
      </c>
      <c r="L65" s="67"/>
      <c r="M65" s="67"/>
      <c r="N65" s="79" t="str">
        <f aca="false">IFERROR(IF(OR(L65="",M65=""),"",IF(Dashboard!$K$5="L",IF(M65=0,"",L65/M65),IF(Dashboard!$K$5="R",IF(L65=0,"",M65/L65),IF(MAX(L65,M65)=0,"",MIN(L65,M65)/MAX(L65,M65))))),"")</f>
        <v/>
      </c>
      <c r="O65" s="67"/>
      <c r="P65" s="67"/>
      <c r="Q65" s="79" t="str">
        <f aca="false">IFERROR(IF(OR(O65="",P65=""),"",IF(Dashboard!$K$5="L",IF(P65=0,"",O65/P65),IF(Dashboard!$K$5="R",IF(O65=0,"",P65/O65),IF(MAX(O65,P65)=0,"",MIN(O65,P65)/MAX(O65,P65))))),"")</f>
        <v/>
      </c>
      <c r="R65" s="67"/>
      <c r="S65" s="67"/>
      <c r="T65" s="79" t="str">
        <f aca="false">IFERROR(IF(OR(R65="",S65=""),"",IF(Dashboard!$K$5="L",IF(S65=0,"",R65/S65),IF(Dashboard!$K$5="R",IF(R65=0,"",S65/R65),IF(MAX(R65,S65)=0,"",MIN(R65,S65)/MAX(R65,S65))))),"")</f>
        <v/>
      </c>
      <c r="U65" s="67"/>
      <c r="V65" s="67"/>
      <c r="W65" s="79" t="str">
        <f aca="false">IFERROR(IF(OR(U65="",V65=""),"",IF(Dashboard!$K$5="L",IF(V65=0,"",U65/V65),IF(Dashboard!$K$5="R",IF(U65=0,"",V65/U65),IF(MAX(U65,V65)=0,"",MIN(U65,V65)/MAX(U65,V65))))),"")</f>
        <v/>
      </c>
      <c r="X65" s="67"/>
      <c r="Y65" s="67"/>
      <c r="Z65" s="79" t="str">
        <f aca="false">IFERROR(IF(OR(X65="",Y65=""),"",IF(Dashboard!$K$5="L",IF(Y65=0,"",X65/Y65),IF(Dashboard!$K$5="R",IF(X65=0,"",Y65/X65),IF(MAX(X65,Y65)=0,"",MIN(X65,Y65)/MAX(X65,Y65))))),"")</f>
        <v/>
      </c>
      <c r="AA65" s="58"/>
    </row>
    <row r="66" customFormat="false" ht="18" hidden="false" customHeight="true" outlineLevel="0" collapsed="false">
      <c r="A66" s="77" t="s">
        <v>151</v>
      </c>
      <c r="B66" s="77"/>
      <c r="C66" s="77" t="str">
        <f aca="false">IF(COUNT(C54:C65)=0,"",INDEX(C54:C65,SUMPRODUCT(MAX(ISNUMBER(C54:C65)*(($A$54:$A$65)=SUMPRODUCT(MAX(ISNUMBER(C54:C65)*($A$54:$A$65))))*(ROW(C54:C65)-ROW(C$54)+1)))))</f>
        <v/>
      </c>
      <c r="D66" s="77" t="str">
        <f aca="false">IF(COUNT(D54:D65)=0,"",INDEX(D54:D65,SUMPRODUCT(MAX(ISNUMBER(D54:D65)*(($A$54:$A$65)=SUMPRODUCT(MAX(ISNUMBER(D54:D65)*($A$54:$A$65))))*(ROW(D54:D65)-ROW(D$54)+1)))))</f>
        <v/>
      </c>
      <c r="E66" s="80" t="str">
        <f aca="false">IF(COUNT(E54:E65)=0,"",INDEX(E54:E65,SUMPRODUCT(MAX(ISNUMBER(E54:E65)*(($A$54:$A$65)=SUMPRODUCT(MAX(ISNUMBER(E54:E65)*($A$54:$A$65))))*(ROW(E54:E65)-ROW(E$54)+1)))))</f>
        <v/>
      </c>
      <c r="F66" s="77" t="str">
        <f aca="false">IF(COUNT(F54:F65)=0,"",INDEX(F54:F65,SUMPRODUCT(MAX(ISNUMBER(F54:F65)*(($A$54:$A$65)=SUMPRODUCT(MAX(ISNUMBER(F54:F65)*($A$54:$A$65))))*(ROW(F54:F65)-ROW(F$54)+1)))))</f>
        <v/>
      </c>
      <c r="G66" s="77" t="str">
        <f aca="false">IF(COUNT(G54:G65)=0,"",INDEX(G54:G65,SUMPRODUCT(MAX(ISNUMBER(G54:G65)*(($A$54:$A$65)=SUMPRODUCT(MAX(ISNUMBER(G54:G65)*($A$54:$A$65))))*(ROW(G54:G65)-ROW(G$54)+1)))))</f>
        <v/>
      </c>
      <c r="H66" s="80" t="str">
        <f aca="false">IF(COUNT(H54:H65)=0,"",INDEX(H54:H65,SUMPRODUCT(MAX(ISNUMBER(H54:H65)*(($A$54:$A$65)=SUMPRODUCT(MAX(ISNUMBER(H54:H65)*($A$54:$A$65))))*(ROW(H54:H65)-ROW(H$54)+1)))))</f>
        <v/>
      </c>
      <c r="I66" s="77" t="str">
        <f aca="false">IF(COUNT(I54:I65)=0,"",INDEX(I54:I65,SUMPRODUCT(MAX(ISNUMBER(I54:I65)*(($A$54:$A$65)=SUMPRODUCT(MAX(ISNUMBER(I54:I65)*($A$54:$A$65))))*(ROW(I54:I65)-ROW(I$54)+1)))))</f>
        <v/>
      </c>
      <c r="J66" s="77" t="str">
        <f aca="false">IF(COUNT(J54:J65)=0,"",INDEX(J54:J65,SUMPRODUCT(MAX(ISNUMBER(J54:J65)*(($A$54:$A$65)=SUMPRODUCT(MAX(ISNUMBER(J54:J65)*($A$54:$A$65))))*(ROW(J54:J65)-ROW(J$54)+1)))))</f>
        <v/>
      </c>
      <c r="K66" s="80" t="str">
        <f aca="false">IF(COUNT(K54:K65)=0,"",INDEX(K54:K65,SUMPRODUCT(MAX(ISNUMBER(K54:K65)*(($A$54:$A$65)=SUMPRODUCT(MAX(ISNUMBER(K54:K65)*($A$54:$A$65))))*(ROW(K54:K65)-ROW(K$54)+1)))))</f>
        <v/>
      </c>
      <c r="L66" s="77" t="str">
        <f aca="false">IF(COUNT(L54:L65)=0,"",INDEX(L54:L65,SUMPRODUCT(MAX(ISNUMBER(L54:L65)*(($A$54:$A$65)=SUMPRODUCT(MAX(ISNUMBER(L54:L65)*($A$54:$A$65))))*(ROW(L54:L65)-ROW(L$54)+1)))))</f>
        <v/>
      </c>
      <c r="M66" s="77" t="str">
        <f aca="false">IF(COUNT(M54:M65)=0,"",INDEX(M54:M65,SUMPRODUCT(MAX(ISNUMBER(M54:M65)*(($A$54:$A$65)=SUMPRODUCT(MAX(ISNUMBER(M54:M65)*($A$54:$A$65))))*(ROW(M54:M65)-ROW(M$54)+1)))))</f>
        <v/>
      </c>
      <c r="N66" s="80" t="str">
        <f aca="false">IF(COUNT(N54:N65)=0,"",INDEX(N54:N65,SUMPRODUCT(MAX(ISNUMBER(N54:N65)*(($A$54:$A$65)=SUMPRODUCT(MAX(ISNUMBER(N54:N65)*($A$54:$A$65))))*(ROW(N54:N65)-ROW(N$54)+1)))))</f>
        <v/>
      </c>
      <c r="O66" s="77" t="str">
        <f aca="false">IF(COUNT(O54:O65)=0,"",INDEX(O54:O65,SUMPRODUCT(MAX(ISNUMBER(O54:O65)*(($A$54:$A$65)=SUMPRODUCT(MAX(ISNUMBER(O54:O65)*($A$54:$A$65))))*(ROW(O54:O65)-ROW(O$54)+1)))))</f>
        <v/>
      </c>
      <c r="P66" s="77" t="str">
        <f aca="false">IF(COUNT(P54:P65)=0,"",INDEX(P54:P65,SUMPRODUCT(MAX(ISNUMBER(P54:P65)*(($A$54:$A$65)=SUMPRODUCT(MAX(ISNUMBER(P54:P65)*($A$54:$A$65))))*(ROW(P54:P65)-ROW(P$54)+1)))))</f>
        <v/>
      </c>
      <c r="Q66" s="80" t="str">
        <f aca="false">IF(COUNT(Q54:Q65)=0,"",INDEX(Q54:Q65,SUMPRODUCT(MAX(ISNUMBER(Q54:Q65)*(($A$54:$A$65)=SUMPRODUCT(MAX(ISNUMBER(Q54:Q65)*($A$54:$A$65))))*(ROW(Q54:Q65)-ROW(Q$54)+1)))))</f>
        <v/>
      </c>
      <c r="R66" s="77" t="str">
        <f aca="false">IF(COUNT(R54:R65)=0,"",INDEX(R54:R65,SUMPRODUCT(MAX(ISNUMBER(R54:R65)*(($A$54:$A$65)=SUMPRODUCT(MAX(ISNUMBER(R54:R65)*($A$54:$A$65))))*(ROW(R54:R65)-ROW(R$54)+1)))))</f>
        <v/>
      </c>
      <c r="S66" s="77" t="str">
        <f aca="false">IF(COUNT(S54:S65)=0,"",INDEX(S54:S65,SUMPRODUCT(MAX(ISNUMBER(S54:S65)*(($A$54:$A$65)=SUMPRODUCT(MAX(ISNUMBER(S54:S65)*($A$54:$A$65))))*(ROW(S54:S65)-ROW(S$54)+1)))))</f>
        <v/>
      </c>
      <c r="T66" s="80" t="str">
        <f aca="false">IF(COUNT(T54:T65)=0,"",INDEX(T54:T65,SUMPRODUCT(MAX(ISNUMBER(T54:T65)*(($A$54:$A$65)=SUMPRODUCT(MAX(ISNUMBER(T54:T65)*($A$54:$A$65))))*(ROW(T54:T65)-ROW(T$54)+1)))))</f>
        <v/>
      </c>
      <c r="U66" s="77" t="str">
        <f aca="false">IF(COUNT(U54:U65)=0,"",INDEX(U54:U65,SUMPRODUCT(MAX(ISNUMBER(U54:U65)*(($A$54:$A$65)=SUMPRODUCT(MAX(ISNUMBER(U54:U65)*($A$54:$A$65))))*(ROW(U54:U65)-ROW(U$54)+1)))))</f>
        <v/>
      </c>
      <c r="V66" s="77" t="str">
        <f aca="false">IF(COUNT(V54:V65)=0,"",INDEX(V54:V65,SUMPRODUCT(MAX(ISNUMBER(V54:V65)*(($A$54:$A$65)=SUMPRODUCT(MAX(ISNUMBER(V54:V65)*($A$54:$A$65))))*(ROW(V54:V65)-ROW(V$54)+1)))))</f>
        <v/>
      </c>
      <c r="W66" s="80" t="str">
        <f aca="false">IF(COUNT(W54:W65)=0,"",INDEX(W54:W65,SUMPRODUCT(MAX(ISNUMBER(W54:W65)*(($A$54:$A$65)=SUMPRODUCT(MAX(ISNUMBER(W54:W65)*($A$54:$A$65))))*(ROW(W54:W65)-ROW(W$54)+1)))))</f>
        <v/>
      </c>
      <c r="X66" s="77" t="str">
        <f aca="false">IF(COUNT(X54:X65)=0,"",INDEX(X54:X65,SUMPRODUCT(MAX(ISNUMBER(X54:X65)*(($A$54:$A$65)=SUMPRODUCT(MAX(ISNUMBER(X54:X65)*($A$54:$A$65))))*(ROW(X54:X65)-ROW(X$54)+1)))))</f>
        <v/>
      </c>
      <c r="Y66" s="77" t="str">
        <f aca="false">IF(COUNT(Y54:Y65)=0,"",INDEX(Y54:Y65,SUMPRODUCT(MAX(ISNUMBER(Y54:Y65)*(($A$54:$A$65)=SUMPRODUCT(MAX(ISNUMBER(Y54:Y65)*($A$54:$A$65))))*(ROW(Y54:Y65)-ROW(Y$54)+1)))))</f>
        <v/>
      </c>
      <c r="Z66" s="80" t="str">
        <f aca="false">IF(COUNT(Z54:Z65)=0,"",INDEX(Z54:Z65,SUMPRODUCT(MAX(ISNUMBER(Z54:Z65)*(($A$54:$A$65)=SUMPRODUCT(MAX(ISNUMBER(Z54:Z65)*($A$54:$A$65))))*(ROW(Z54:Z65)-ROW(Z$54)+1)))))</f>
        <v/>
      </c>
      <c r="AA66" s="81" t="s">
        <v>152</v>
      </c>
    </row>
    <row r="67" customFormat="false" ht="15" hidden="false" customHeight="true" outlineLevel="0" collapsed="false">
      <c r="A67" s="65" t="s">
        <v>153</v>
      </c>
      <c r="B67" s="65"/>
      <c r="C67" s="70" t="str">
        <f aca="false">IF(OR(COUNT(C54:C65)=0,SUMPRODUCT(MAX(ISNUMBER(C54:C65)*($A$54:$A$65)))=0),"",SUMPRODUCT(MAX(ISNUMBER(C54:C65)*($A$54:$A$65))))</f>
        <v/>
      </c>
      <c r="D67" s="70"/>
      <c r="E67" s="70"/>
      <c r="F67" s="70" t="str">
        <f aca="false">IF(OR(COUNT(F54:F65)=0,SUMPRODUCT(MAX(ISNUMBER(F54:F65)*($A$54:$A$65)))=0),"",SUMPRODUCT(MAX(ISNUMBER(F54:F65)*($A$54:$A$65))))</f>
        <v/>
      </c>
      <c r="G67" s="70"/>
      <c r="H67" s="70"/>
      <c r="I67" s="70" t="str">
        <f aca="false">IF(OR(COUNT(I54:I65)=0,SUMPRODUCT(MAX(ISNUMBER(I54:I65)*($A$54:$A$65)))=0),"",SUMPRODUCT(MAX(ISNUMBER(I54:I65)*($A$54:$A$65))))</f>
        <v/>
      </c>
      <c r="J67" s="70"/>
      <c r="K67" s="70"/>
      <c r="L67" s="70" t="str">
        <f aca="false">IF(OR(COUNT(L54:L65)=0,SUMPRODUCT(MAX(ISNUMBER(L54:L65)*($A$54:$A$65)))=0),"",SUMPRODUCT(MAX(ISNUMBER(L54:L65)*($A$54:$A$65))))</f>
        <v/>
      </c>
      <c r="M67" s="70"/>
      <c r="N67" s="70"/>
      <c r="O67" s="70" t="str">
        <f aca="false">IF(OR(COUNT(O54:O65)=0,SUMPRODUCT(MAX(ISNUMBER(O54:O65)*($A$54:$A$65)))=0),"",SUMPRODUCT(MAX(ISNUMBER(O54:O65)*($A$54:$A$65))))</f>
        <v/>
      </c>
      <c r="P67" s="70"/>
      <c r="Q67" s="70"/>
      <c r="R67" s="70" t="str">
        <f aca="false">IF(OR(COUNT(R54:R65)=0,SUMPRODUCT(MAX(ISNUMBER(R54:R65)*($A$54:$A$65)))=0),"",SUMPRODUCT(MAX(ISNUMBER(R54:R65)*($A$54:$A$65))))</f>
        <v/>
      </c>
      <c r="S67" s="70"/>
      <c r="T67" s="70"/>
      <c r="U67" s="70" t="str">
        <f aca="false">IF(OR(COUNT(U54:U65)=0,SUMPRODUCT(MAX(ISNUMBER(U54:U65)*($A$54:$A$65)))=0),"",SUMPRODUCT(MAX(ISNUMBER(U54:U65)*($A$54:$A$65))))</f>
        <v/>
      </c>
      <c r="V67" s="70"/>
      <c r="W67" s="70"/>
      <c r="X67" s="70" t="str">
        <f aca="false">IF(OR(COUNT(X54:X65)=0,SUMPRODUCT(MAX(ISNUMBER(X54:X65)*($A$54:$A$65)))=0),"",SUMPRODUCT(MAX(ISNUMBER(X54:X65)*($A$54:$A$65))))</f>
        <v/>
      </c>
      <c r="Y67" s="70"/>
      <c r="Z67" s="70"/>
      <c r="AA67" s="82"/>
    </row>
    <row r="69" customFormat="false" ht="19.5" hidden="false" customHeight="true" outlineLevel="0" collapsed="false">
      <c r="A69" s="62" t="s">
        <v>159</v>
      </c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</row>
    <row r="70" customFormat="false" ht="31.5" hidden="false" customHeight="true" outlineLevel="0" collapsed="false">
      <c r="A70" s="55" t="s">
        <v>52</v>
      </c>
      <c r="B70" s="55" t="s">
        <v>75</v>
      </c>
      <c r="C70" s="77" t="s">
        <v>160</v>
      </c>
      <c r="D70" s="77"/>
      <c r="E70" s="77"/>
      <c r="F70" s="77" t="s">
        <v>125</v>
      </c>
      <c r="G70" s="77"/>
      <c r="H70" s="77"/>
      <c r="I70" s="77" t="s">
        <v>127</v>
      </c>
      <c r="J70" s="77"/>
      <c r="K70" s="77"/>
      <c r="L70" s="77" t="s">
        <v>161</v>
      </c>
      <c r="M70" s="77"/>
      <c r="N70" s="77"/>
      <c r="O70" s="77" t="s">
        <v>162</v>
      </c>
      <c r="P70" s="77"/>
      <c r="Q70" s="77"/>
      <c r="R70" s="77" t="s">
        <v>163</v>
      </c>
      <c r="S70" s="77"/>
      <c r="T70" s="77"/>
      <c r="U70" s="77" t="s">
        <v>164</v>
      </c>
      <c r="V70" s="77"/>
      <c r="W70" s="77"/>
      <c r="X70" s="77" t="s">
        <v>165</v>
      </c>
      <c r="Y70" s="77"/>
      <c r="Z70" s="77"/>
      <c r="AA70" s="55" t="s">
        <v>84</v>
      </c>
    </row>
    <row r="71" customFormat="false" ht="15.75" hidden="false" customHeight="true" outlineLevel="0" collapsed="false">
      <c r="A71" s="55"/>
      <c r="B71" s="55"/>
      <c r="C71" s="55" t="s">
        <v>166</v>
      </c>
      <c r="D71" s="55" t="s">
        <v>167</v>
      </c>
      <c r="E71" s="55" t="s">
        <v>167</v>
      </c>
      <c r="F71" s="55" t="s">
        <v>12</v>
      </c>
      <c r="G71" s="55" t="s">
        <v>49</v>
      </c>
      <c r="H71" s="55" t="s">
        <v>50</v>
      </c>
      <c r="I71" s="55" t="s">
        <v>12</v>
      </c>
      <c r="J71" s="55" t="s">
        <v>49</v>
      </c>
      <c r="K71" s="55" t="s">
        <v>50</v>
      </c>
      <c r="L71" s="55" t="s">
        <v>12</v>
      </c>
      <c r="M71" s="55" t="s">
        <v>49</v>
      </c>
      <c r="N71" s="55" t="s">
        <v>50</v>
      </c>
      <c r="O71" s="55" t="s">
        <v>12</v>
      </c>
      <c r="P71" s="55" t="s">
        <v>49</v>
      </c>
      <c r="Q71" s="55" t="s">
        <v>50</v>
      </c>
      <c r="R71" s="55" t="s">
        <v>166</v>
      </c>
      <c r="S71" s="55" t="s">
        <v>167</v>
      </c>
      <c r="T71" s="55" t="s">
        <v>167</v>
      </c>
      <c r="U71" s="55" t="s">
        <v>12</v>
      </c>
      <c r="V71" s="55" t="s">
        <v>49</v>
      </c>
      <c r="W71" s="55" t="s">
        <v>50</v>
      </c>
      <c r="X71" s="55" t="s">
        <v>166</v>
      </c>
      <c r="Y71" s="55" t="s">
        <v>167</v>
      </c>
      <c r="Z71" s="55" t="s">
        <v>167</v>
      </c>
      <c r="AA71" s="55"/>
    </row>
    <row r="72" customFormat="false" ht="15" hidden="false" customHeight="false" outlineLevel="0" collapsed="false">
      <c r="A72" s="56"/>
      <c r="B72" s="57" t="str">
        <f aca="false">IF(A72="","",IF(Dashboard!$L$5="","",INT((A72-Dashboard!$L$5)/7)+1))</f>
        <v/>
      </c>
      <c r="C72" s="67"/>
      <c r="D72" s="83"/>
      <c r="E72" s="84" t="str">
        <f aca="false">IFERROR(IF(OR(C72="",D72=""),"",IF(Dashboard!$K$5="L",IF(D72=0,"",C72/D72),IF(Dashboard!$K$5="R",IF(C72=0,"",D72/C72),IF(MAX(C72,D72)=0,"",MIN(C72,D72)/MAX(C72,D72))))),"")</f>
        <v/>
      </c>
      <c r="F72" s="67"/>
      <c r="G72" s="67"/>
      <c r="H72" s="79" t="str">
        <f aca="false">IFERROR(IF(OR(F72="",G72=""),"",IF(Dashboard!$K$5="L",IF(G72=0,"",F72/G72),IF(Dashboard!$K$5="R",IF(F72=0,"",G72/F72),IF(MAX(F72,G72)=0,"",MIN(F72,G72)/MAX(F72,G72))))),"")</f>
        <v/>
      </c>
      <c r="I72" s="67"/>
      <c r="J72" s="67"/>
      <c r="K72" s="79" t="str">
        <f aca="false">IFERROR(IF(OR(I72="",J72=""),"",IF(Dashboard!$K$5="L",IF(J72=0,"",I72/J72),IF(Dashboard!$K$5="R",IF(I72=0,"",J72/I72),IF(MAX(I72,J72)=0,"",MIN(I72,J72)/MAX(I72,J72))))),"")</f>
        <v/>
      </c>
      <c r="L72" s="67"/>
      <c r="M72" s="67"/>
      <c r="N72" s="79" t="str">
        <f aca="false">IFERROR(IF(OR(L72="",M72=""),"",IF(Dashboard!$K$5="L",IF(M72=0,"",L72/M72),IF(Dashboard!$K$5="R",IF(L72=0,"",M72/L72),IF(MAX(L72,M72)=0,"",MIN(L72,M72)/MAX(L72,M72))))),"")</f>
        <v/>
      </c>
      <c r="O72" s="67"/>
      <c r="P72" s="67"/>
      <c r="Q72" s="79" t="str">
        <f aca="false">IFERROR(IF(OR(O72="",P72=""),"",IF(Dashboard!$K$5="L",IF(P72=0,"",O72/P72),IF(Dashboard!$K$5="R",IF(O72=0,"",P72/O72),IF(MAX(O72,P72)=0,"",MIN(O72,P72)/MAX(O72,P72))))),"")</f>
        <v/>
      </c>
      <c r="R72" s="67"/>
      <c r="S72" s="83"/>
      <c r="T72" s="84" t="str">
        <f aca="false">IFERROR(IF(OR(R72="",S72=""),"",IF(Dashboard!$K$5="L",IF(S72=0,"",R72/S72),IF(Dashboard!$K$5="R",IF(R72=0,"",S72/R72),IF(MAX(R72,S72)=0,"",MIN(R72,S72)/MAX(R72,S72))))),"")</f>
        <v/>
      </c>
      <c r="U72" s="67"/>
      <c r="V72" s="67"/>
      <c r="W72" s="79" t="str">
        <f aca="false">IFERROR(IF(OR(U72="",V72=""),"",IF(Dashboard!$K$5="L",IF(V72=0,"",U72/V72),IF(Dashboard!$K$5="R",IF(U72=0,"",V72/U72),IF(MAX(U72,V72)=0,"",MIN(U72,V72)/MAX(U72,V72))))),"")</f>
        <v/>
      </c>
      <c r="X72" s="67"/>
      <c r="Y72" s="83"/>
      <c r="Z72" s="84" t="str">
        <f aca="false">IFERROR(IF(OR(X72="",Y72=""),"",IF(Dashboard!$K$5="L",IF(Y72=0,"",X72/Y72),IF(Dashboard!$K$5="R",IF(X72=0,"",Y72/X72),IF(MAX(X72,Y72)=0,"",MIN(X72,Y72)/MAX(X72,Y72))))),"")</f>
        <v/>
      </c>
      <c r="AA72" s="58"/>
    </row>
    <row r="73" customFormat="false" ht="15" hidden="false" customHeight="false" outlineLevel="0" collapsed="false">
      <c r="A73" s="56"/>
      <c r="B73" s="57" t="str">
        <f aca="false">IF(A73="","",IF(Dashboard!$L$5="","",INT((A73-Dashboard!$L$5)/7)+1))</f>
        <v/>
      </c>
      <c r="C73" s="67"/>
      <c r="D73" s="83"/>
      <c r="E73" s="84" t="str">
        <f aca="false">IFERROR(IF(OR(C73="",D73=""),"",IF(Dashboard!$K$5="L",IF(D73=0,"",C73/D73),IF(Dashboard!$K$5="R",IF(C73=0,"",D73/C73),IF(MAX(C73,D73)=0,"",MIN(C73,D73)/MAX(C73,D73))))),"")</f>
        <v/>
      </c>
      <c r="F73" s="67"/>
      <c r="G73" s="67"/>
      <c r="H73" s="79" t="str">
        <f aca="false">IFERROR(IF(OR(F73="",G73=""),"",IF(Dashboard!$K$5="L",IF(G73=0,"",F73/G73),IF(Dashboard!$K$5="R",IF(F73=0,"",G73/F73),IF(MAX(F73,G73)=0,"",MIN(F73,G73)/MAX(F73,G73))))),"")</f>
        <v/>
      </c>
      <c r="I73" s="67"/>
      <c r="J73" s="67"/>
      <c r="K73" s="79" t="str">
        <f aca="false">IFERROR(IF(OR(I73="",J73=""),"",IF(Dashboard!$K$5="L",IF(J73=0,"",I73/J73),IF(Dashboard!$K$5="R",IF(I73=0,"",J73/I73),IF(MAX(I73,J73)=0,"",MIN(I73,J73)/MAX(I73,J73))))),"")</f>
        <v/>
      </c>
      <c r="L73" s="67"/>
      <c r="M73" s="67"/>
      <c r="N73" s="79" t="str">
        <f aca="false">IFERROR(IF(OR(L73="",M73=""),"",IF(Dashboard!$K$5="L",IF(M73=0,"",L73/M73),IF(Dashboard!$K$5="R",IF(L73=0,"",M73/L73),IF(MAX(L73,M73)=0,"",MIN(L73,M73)/MAX(L73,M73))))),"")</f>
        <v/>
      </c>
      <c r="O73" s="67"/>
      <c r="P73" s="67"/>
      <c r="Q73" s="79" t="str">
        <f aca="false">IFERROR(IF(OR(O73="",P73=""),"",IF(Dashboard!$K$5="L",IF(P73=0,"",O73/P73),IF(Dashboard!$K$5="R",IF(O73=0,"",P73/O73),IF(MAX(O73,P73)=0,"",MIN(O73,P73)/MAX(O73,P73))))),"")</f>
        <v/>
      </c>
      <c r="R73" s="67"/>
      <c r="S73" s="83"/>
      <c r="T73" s="84" t="str">
        <f aca="false">IFERROR(IF(OR(R73="",S73=""),"",IF(Dashboard!$K$5="L",IF(S73=0,"",R73/S73),IF(Dashboard!$K$5="R",IF(R73=0,"",S73/R73),IF(MAX(R73,S73)=0,"",MIN(R73,S73)/MAX(R73,S73))))),"")</f>
        <v/>
      </c>
      <c r="U73" s="67"/>
      <c r="V73" s="67"/>
      <c r="W73" s="79" t="str">
        <f aca="false">IFERROR(IF(OR(U73="",V73=""),"",IF(Dashboard!$K$5="L",IF(V73=0,"",U73/V73),IF(Dashboard!$K$5="R",IF(U73=0,"",V73/U73),IF(MAX(U73,V73)=0,"",MIN(U73,V73)/MAX(U73,V73))))),"")</f>
        <v/>
      </c>
      <c r="X73" s="67"/>
      <c r="Y73" s="83"/>
      <c r="Z73" s="84" t="str">
        <f aca="false">IFERROR(IF(OR(X73="",Y73=""),"",IF(Dashboard!$K$5="L",IF(Y73=0,"",X73/Y73),IF(Dashboard!$K$5="R",IF(X73=0,"",Y73/X73),IF(MAX(X73,Y73)=0,"",MIN(X73,Y73)/MAX(X73,Y73))))),"")</f>
        <v/>
      </c>
      <c r="AA73" s="58"/>
    </row>
    <row r="74" customFormat="false" ht="15" hidden="false" customHeight="false" outlineLevel="0" collapsed="false">
      <c r="A74" s="56"/>
      <c r="B74" s="57" t="str">
        <f aca="false">IF(A74="","",IF(Dashboard!$L$5="","",INT((A74-Dashboard!$L$5)/7)+1))</f>
        <v/>
      </c>
      <c r="C74" s="67"/>
      <c r="D74" s="83"/>
      <c r="E74" s="84" t="str">
        <f aca="false">IFERROR(IF(OR(C74="",D74=""),"",IF(Dashboard!$K$5="L",IF(D74=0,"",C74/D74),IF(Dashboard!$K$5="R",IF(C74=0,"",D74/C74),IF(MAX(C74,D74)=0,"",MIN(C74,D74)/MAX(C74,D74))))),"")</f>
        <v/>
      </c>
      <c r="F74" s="67"/>
      <c r="G74" s="67"/>
      <c r="H74" s="79" t="str">
        <f aca="false">IFERROR(IF(OR(F74="",G74=""),"",IF(Dashboard!$K$5="L",IF(G74=0,"",F74/G74),IF(Dashboard!$K$5="R",IF(F74=0,"",G74/F74),IF(MAX(F74,G74)=0,"",MIN(F74,G74)/MAX(F74,G74))))),"")</f>
        <v/>
      </c>
      <c r="I74" s="67"/>
      <c r="J74" s="67"/>
      <c r="K74" s="79" t="str">
        <f aca="false">IFERROR(IF(OR(I74="",J74=""),"",IF(Dashboard!$K$5="L",IF(J74=0,"",I74/J74),IF(Dashboard!$K$5="R",IF(I74=0,"",J74/I74),IF(MAX(I74,J74)=0,"",MIN(I74,J74)/MAX(I74,J74))))),"")</f>
        <v/>
      </c>
      <c r="L74" s="67"/>
      <c r="M74" s="67"/>
      <c r="N74" s="79" t="str">
        <f aca="false">IFERROR(IF(OR(L74="",M74=""),"",IF(Dashboard!$K$5="L",IF(M74=0,"",L74/M74),IF(Dashboard!$K$5="R",IF(L74=0,"",M74/L74),IF(MAX(L74,M74)=0,"",MIN(L74,M74)/MAX(L74,M74))))),"")</f>
        <v/>
      </c>
      <c r="O74" s="67"/>
      <c r="P74" s="67"/>
      <c r="Q74" s="79" t="str">
        <f aca="false">IFERROR(IF(OR(O74="",P74=""),"",IF(Dashboard!$K$5="L",IF(P74=0,"",O74/P74),IF(Dashboard!$K$5="R",IF(O74=0,"",P74/O74),IF(MAX(O74,P74)=0,"",MIN(O74,P74)/MAX(O74,P74))))),"")</f>
        <v/>
      </c>
      <c r="R74" s="67"/>
      <c r="S74" s="83"/>
      <c r="T74" s="84" t="str">
        <f aca="false">IFERROR(IF(OR(R74="",S74=""),"",IF(Dashboard!$K$5="L",IF(S74=0,"",R74/S74),IF(Dashboard!$K$5="R",IF(R74=0,"",S74/R74),IF(MAX(R74,S74)=0,"",MIN(R74,S74)/MAX(R74,S74))))),"")</f>
        <v/>
      </c>
      <c r="U74" s="67"/>
      <c r="V74" s="67"/>
      <c r="W74" s="79" t="str">
        <f aca="false">IFERROR(IF(OR(U74="",V74=""),"",IF(Dashboard!$K$5="L",IF(V74=0,"",U74/V74),IF(Dashboard!$K$5="R",IF(U74=0,"",V74/U74),IF(MAX(U74,V74)=0,"",MIN(U74,V74)/MAX(U74,V74))))),"")</f>
        <v/>
      </c>
      <c r="X74" s="67"/>
      <c r="Y74" s="83"/>
      <c r="Z74" s="84" t="str">
        <f aca="false">IFERROR(IF(OR(X74="",Y74=""),"",IF(Dashboard!$K$5="L",IF(Y74=0,"",X74/Y74),IF(Dashboard!$K$5="R",IF(X74=0,"",Y74/X74),IF(MAX(X74,Y74)=0,"",MIN(X74,Y74)/MAX(X74,Y74))))),"")</f>
        <v/>
      </c>
      <c r="AA74" s="58"/>
    </row>
    <row r="75" customFormat="false" ht="15" hidden="false" customHeight="false" outlineLevel="0" collapsed="false">
      <c r="A75" s="56"/>
      <c r="B75" s="57" t="str">
        <f aca="false">IF(A75="","",IF(Dashboard!$L$5="","",INT((A75-Dashboard!$L$5)/7)+1))</f>
        <v/>
      </c>
      <c r="C75" s="67"/>
      <c r="D75" s="83"/>
      <c r="E75" s="84" t="str">
        <f aca="false">IFERROR(IF(OR(C75="",D75=""),"",IF(Dashboard!$K$5="L",IF(D75=0,"",C75/D75),IF(Dashboard!$K$5="R",IF(C75=0,"",D75/C75),IF(MAX(C75,D75)=0,"",MIN(C75,D75)/MAX(C75,D75))))),"")</f>
        <v/>
      </c>
      <c r="F75" s="67"/>
      <c r="G75" s="67"/>
      <c r="H75" s="79" t="str">
        <f aca="false">IFERROR(IF(OR(F75="",G75=""),"",IF(Dashboard!$K$5="L",IF(G75=0,"",F75/G75),IF(Dashboard!$K$5="R",IF(F75=0,"",G75/F75),IF(MAX(F75,G75)=0,"",MIN(F75,G75)/MAX(F75,G75))))),"")</f>
        <v/>
      </c>
      <c r="I75" s="67"/>
      <c r="J75" s="67"/>
      <c r="K75" s="79" t="str">
        <f aca="false">IFERROR(IF(OR(I75="",J75=""),"",IF(Dashboard!$K$5="L",IF(J75=0,"",I75/J75),IF(Dashboard!$K$5="R",IF(I75=0,"",J75/I75),IF(MAX(I75,J75)=0,"",MIN(I75,J75)/MAX(I75,J75))))),"")</f>
        <v/>
      </c>
      <c r="L75" s="67"/>
      <c r="M75" s="67"/>
      <c r="N75" s="79" t="str">
        <f aca="false">IFERROR(IF(OR(L75="",M75=""),"",IF(Dashboard!$K$5="L",IF(M75=0,"",L75/M75),IF(Dashboard!$K$5="R",IF(L75=0,"",M75/L75),IF(MAX(L75,M75)=0,"",MIN(L75,M75)/MAX(L75,M75))))),"")</f>
        <v/>
      </c>
      <c r="O75" s="67"/>
      <c r="P75" s="67"/>
      <c r="Q75" s="79" t="str">
        <f aca="false">IFERROR(IF(OR(O75="",P75=""),"",IF(Dashboard!$K$5="L",IF(P75=0,"",O75/P75),IF(Dashboard!$K$5="R",IF(O75=0,"",P75/O75),IF(MAX(O75,P75)=0,"",MIN(O75,P75)/MAX(O75,P75))))),"")</f>
        <v/>
      </c>
      <c r="R75" s="67"/>
      <c r="S75" s="83"/>
      <c r="T75" s="84" t="str">
        <f aca="false">IFERROR(IF(OR(R75="",S75=""),"",IF(Dashboard!$K$5="L",IF(S75=0,"",R75/S75),IF(Dashboard!$K$5="R",IF(R75=0,"",S75/R75),IF(MAX(R75,S75)=0,"",MIN(R75,S75)/MAX(R75,S75))))),"")</f>
        <v/>
      </c>
      <c r="U75" s="67"/>
      <c r="V75" s="67"/>
      <c r="W75" s="79" t="str">
        <f aca="false">IFERROR(IF(OR(U75="",V75=""),"",IF(Dashboard!$K$5="L",IF(V75=0,"",U75/V75),IF(Dashboard!$K$5="R",IF(U75=0,"",V75/U75),IF(MAX(U75,V75)=0,"",MIN(U75,V75)/MAX(U75,V75))))),"")</f>
        <v/>
      </c>
      <c r="X75" s="67"/>
      <c r="Y75" s="83"/>
      <c r="Z75" s="84" t="str">
        <f aca="false">IFERROR(IF(OR(X75="",Y75=""),"",IF(Dashboard!$K$5="L",IF(Y75=0,"",X75/Y75),IF(Dashboard!$K$5="R",IF(X75=0,"",Y75/X75),IF(MAX(X75,Y75)=0,"",MIN(X75,Y75)/MAX(X75,Y75))))),"")</f>
        <v/>
      </c>
      <c r="AA75" s="58"/>
    </row>
    <row r="76" customFormat="false" ht="15" hidden="false" customHeight="false" outlineLevel="0" collapsed="false">
      <c r="A76" s="56"/>
      <c r="B76" s="57" t="str">
        <f aca="false">IF(A76="","",IF(Dashboard!$L$5="","",INT((A76-Dashboard!$L$5)/7)+1))</f>
        <v/>
      </c>
      <c r="C76" s="67"/>
      <c r="D76" s="83"/>
      <c r="E76" s="84" t="str">
        <f aca="false">IFERROR(IF(OR(C76="",D76=""),"",IF(Dashboard!$K$5="L",IF(D76=0,"",C76/D76),IF(Dashboard!$K$5="R",IF(C76=0,"",D76/C76),IF(MAX(C76,D76)=0,"",MIN(C76,D76)/MAX(C76,D76))))),"")</f>
        <v/>
      </c>
      <c r="F76" s="67"/>
      <c r="G76" s="67"/>
      <c r="H76" s="79" t="str">
        <f aca="false">IFERROR(IF(OR(F76="",G76=""),"",IF(Dashboard!$K$5="L",IF(G76=0,"",F76/G76),IF(Dashboard!$K$5="R",IF(F76=0,"",G76/F76),IF(MAX(F76,G76)=0,"",MIN(F76,G76)/MAX(F76,G76))))),"")</f>
        <v/>
      </c>
      <c r="I76" s="67"/>
      <c r="J76" s="67"/>
      <c r="K76" s="79" t="str">
        <f aca="false">IFERROR(IF(OR(I76="",J76=""),"",IF(Dashboard!$K$5="L",IF(J76=0,"",I76/J76),IF(Dashboard!$K$5="R",IF(I76=0,"",J76/I76),IF(MAX(I76,J76)=0,"",MIN(I76,J76)/MAX(I76,J76))))),"")</f>
        <v/>
      </c>
      <c r="L76" s="67"/>
      <c r="M76" s="67"/>
      <c r="N76" s="79" t="str">
        <f aca="false">IFERROR(IF(OR(L76="",M76=""),"",IF(Dashboard!$K$5="L",IF(M76=0,"",L76/M76),IF(Dashboard!$K$5="R",IF(L76=0,"",M76/L76),IF(MAX(L76,M76)=0,"",MIN(L76,M76)/MAX(L76,M76))))),"")</f>
        <v/>
      </c>
      <c r="O76" s="67"/>
      <c r="P76" s="67"/>
      <c r="Q76" s="79" t="str">
        <f aca="false">IFERROR(IF(OR(O76="",P76=""),"",IF(Dashboard!$K$5="L",IF(P76=0,"",O76/P76),IF(Dashboard!$K$5="R",IF(O76=0,"",P76/O76),IF(MAX(O76,P76)=0,"",MIN(O76,P76)/MAX(O76,P76))))),"")</f>
        <v/>
      </c>
      <c r="R76" s="67"/>
      <c r="S76" s="83"/>
      <c r="T76" s="84" t="str">
        <f aca="false">IFERROR(IF(OR(R76="",S76=""),"",IF(Dashboard!$K$5="L",IF(S76=0,"",R76/S76),IF(Dashboard!$K$5="R",IF(R76=0,"",S76/R76),IF(MAX(R76,S76)=0,"",MIN(R76,S76)/MAX(R76,S76))))),"")</f>
        <v/>
      </c>
      <c r="U76" s="67"/>
      <c r="V76" s="67"/>
      <c r="W76" s="79" t="str">
        <f aca="false">IFERROR(IF(OR(U76="",V76=""),"",IF(Dashboard!$K$5="L",IF(V76=0,"",U76/V76),IF(Dashboard!$K$5="R",IF(U76=0,"",V76/U76),IF(MAX(U76,V76)=0,"",MIN(U76,V76)/MAX(U76,V76))))),"")</f>
        <v/>
      </c>
      <c r="X76" s="67"/>
      <c r="Y76" s="83"/>
      <c r="Z76" s="84" t="str">
        <f aca="false">IFERROR(IF(OR(X76="",Y76=""),"",IF(Dashboard!$K$5="L",IF(Y76=0,"",X76/Y76),IF(Dashboard!$K$5="R",IF(X76=0,"",Y76/X76),IF(MAX(X76,Y76)=0,"",MIN(X76,Y76)/MAX(X76,Y76))))),"")</f>
        <v/>
      </c>
      <c r="AA76" s="58"/>
    </row>
    <row r="77" customFormat="false" ht="15" hidden="false" customHeight="false" outlineLevel="0" collapsed="false">
      <c r="A77" s="56"/>
      <c r="B77" s="57" t="str">
        <f aca="false">IF(A77="","",IF(Dashboard!$L$5="","",INT((A77-Dashboard!$L$5)/7)+1))</f>
        <v/>
      </c>
      <c r="C77" s="67"/>
      <c r="D77" s="83"/>
      <c r="E77" s="84" t="str">
        <f aca="false">IFERROR(IF(OR(C77="",D77=""),"",IF(Dashboard!$K$5="L",IF(D77=0,"",C77/D77),IF(Dashboard!$K$5="R",IF(C77=0,"",D77/C77),IF(MAX(C77,D77)=0,"",MIN(C77,D77)/MAX(C77,D77))))),"")</f>
        <v/>
      </c>
      <c r="F77" s="67"/>
      <c r="G77" s="67"/>
      <c r="H77" s="79" t="str">
        <f aca="false">IFERROR(IF(OR(F77="",G77=""),"",IF(Dashboard!$K$5="L",IF(G77=0,"",F77/G77),IF(Dashboard!$K$5="R",IF(F77=0,"",G77/F77),IF(MAX(F77,G77)=0,"",MIN(F77,G77)/MAX(F77,G77))))),"")</f>
        <v/>
      </c>
      <c r="I77" s="67"/>
      <c r="J77" s="67"/>
      <c r="K77" s="79" t="str">
        <f aca="false">IFERROR(IF(OR(I77="",J77=""),"",IF(Dashboard!$K$5="L",IF(J77=0,"",I77/J77),IF(Dashboard!$K$5="R",IF(I77=0,"",J77/I77),IF(MAX(I77,J77)=0,"",MIN(I77,J77)/MAX(I77,J77))))),"")</f>
        <v/>
      </c>
      <c r="L77" s="67"/>
      <c r="M77" s="67"/>
      <c r="N77" s="79" t="str">
        <f aca="false">IFERROR(IF(OR(L77="",M77=""),"",IF(Dashboard!$K$5="L",IF(M77=0,"",L77/M77),IF(Dashboard!$K$5="R",IF(L77=0,"",M77/L77),IF(MAX(L77,M77)=0,"",MIN(L77,M77)/MAX(L77,M77))))),"")</f>
        <v/>
      </c>
      <c r="O77" s="67"/>
      <c r="P77" s="67"/>
      <c r="Q77" s="79" t="str">
        <f aca="false">IFERROR(IF(OR(O77="",P77=""),"",IF(Dashboard!$K$5="L",IF(P77=0,"",O77/P77),IF(Dashboard!$K$5="R",IF(O77=0,"",P77/O77),IF(MAX(O77,P77)=0,"",MIN(O77,P77)/MAX(O77,P77))))),"")</f>
        <v/>
      </c>
      <c r="R77" s="67"/>
      <c r="S77" s="83"/>
      <c r="T77" s="84" t="str">
        <f aca="false">IFERROR(IF(OR(R77="",S77=""),"",IF(Dashboard!$K$5="L",IF(S77=0,"",R77/S77),IF(Dashboard!$K$5="R",IF(R77=0,"",S77/R77),IF(MAX(R77,S77)=0,"",MIN(R77,S77)/MAX(R77,S77))))),"")</f>
        <v/>
      </c>
      <c r="U77" s="67"/>
      <c r="V77" s="67"/>
      <c r="W77" s="79" t="str">
        <f aca="false">IFERROR(IF(OR(U77="",V77=""),"",IF(Dashboard!$K$5="L",IF(V77=0,"",U77/V77),IF(Dashboard!$K$5="R",IF(U77=0,"",V77/U77),IF(MAX(U77,V77)=0,"",MIN(U77,V77)/MAX(U77,V77))))),"")</f>
        <v/>
      </c>
      <c r="X77" s="67"/>
      <c r="Y77" s="83"/>
      <c r="Z77" s="84" t="str">
        <f aca="false">IFERROR(IF(OR(X77="",Y77=""),"",IF(Dashboard!$K$5="L",IF(Y77=0,"",X77/Y77),IF(Dashboard!$K$5="R",IF(X77=0,"",Y77/X77),IF(MAX(X77,Y77)=0,"",MIN(X77,Y77)/MAX(X77,Y77))))),"")</f>
        <v/>
      </c>
      <c r="AA77" s="58"/>
    </row>
    <row r="78" customFormat="false" ht="15" hidden="false" customHeight="false" outlineLevel="0" collapsed="false">
      <c r="A78" s="56"/>
      <c r="B78" s="57" t="str">
        <f aca="false">IF(A78="","",IF(Dashboard!$L$5="","",INT((A78-Dashboard!$L$5)/7)+1))</f>
        <v/>
      </c>
      <c r="C78" s="67"/>
      <c r="D78" s="83"/>
      <c r="E78" s="84" t="str">
        <f aca="false">IFERROR(IF(OR(C78="",D78=""),"",IF(Dashboard!$K$5="L",IF(D78=0,"",C78/D78),IF(Dashboard!$K$5="R",IF(C78=0,"",D78/C78),IF(MAX(C78,D78)=0,"",MIN(C78,D78)/MAX(C78,D78))))),"")</f>
        <v/>
      </c>
      <c r="F78" s="67"/>
      <c r="G78" s="67"/>
      <c r="H78" s="79" t="str">
        <f aca="false">IFERROR(IF(OR(F78="",G78=""),"",IF(Dashboard!$K$5="L",IF(G78=0,"",F78/G78),IF(Dashboard!$K$5="R",IF(F78=0,"",G78/F78),IF(MAX(F78,G78)=0,"",MIN(F78,G78)/MAX(F78,G78))))),"")</f>
        <v/>
      </c>
      <c r="I78" s="67"/>
      <c r="J78" s="67"/>
      <c r="K78" s="79" t="str">
        <f aca="false">IFERROR(IF(OR(I78="",J78=""),"",IF(Dashboard!$K$5="L",IF(J78=0,"",I78/J78),IF(Dashboard!$K$5="R",IF(I78=0,"",J78/I78),IF(MAX(I78,J78)=0,"",MIN(I78,J78)/MAX(I78,J78))))),"")</f>
        <v/>
      </c>
      <c r="L78" s="67"/>
      <c r="M78" s="67"/>
      <c r="N78" s="79" t="str">
        <f aca="false">IFERROR(IF(OR(L78="",M78=""),"",IF(Dashboard!$K$5="L",IF(M78=0,"",L78/M78),IF(Dashboard!$K$5="R",IF(L78=0,"",M78/L78),IF(MAX(L78,M78)=0,"",MIN(L78,M78)/MAX(L78,M78))))),"")</f>
        <v/>
      </c>
      <c r="O78" s="67"/>
      <c r="P78" s="67"/>
      <c r="Q78" s="79" t="str">
        <f aca="false">IFERROR(IF(OR(O78="",P78=""),"",IF(Dashboard!$K$5="L",IF(P78=0,"",O78/P78),IF(Dashboard!$K$5="R",IF(O78=0,"",P78/O78),IF(MAX(O78,P78)=0,"",MIN(O78,P78)/MAX(O78,P78))))),"")</f>
        <v/>
      </c>
      <c r="R78" s="67"/>
      <c r="S78" s="83"/>
      <c r="T78" s="84" t="str">
        <f aca="false">IFERROR(IF(OR(R78="",S78=""),"",IF(Dashboard!$K$5="L",IF(S78=0,"",R78/S78),IF(Dashboard!$K$5="R",IF(R78=0,"",S78/R78),IF(MAX(R78,S78)=0,"",MIN(R78,S78)/MAX(R78,S78))))),"")</f>
        <v/>
      </c>
      <c r="U78" s="67"/>
      <c r="V78" s="67"/>
      <c r="W78" s="79" t="str">
        <f aca="false">IFERROR(IF(OR(U78="",V78=""),"",IF(Dashboard!$K$5="L",IF(V78=0,"",U78/V78),IF(Dashboard!$K$5="R",IF(U78=0,"",V78/U78),IF(MAX(U78,V78)=0,"",MIN(U78,V78)/MAX(U78,V78))))),"")</f>
        <v/>
      </c>
      <c r="X78" s="67"/>
      <c r="Y78" s="83"/>
      <c r="Z78" s="84" t="str">
        <f aca="false">IFERROR(IF(OR(X78="",Y78=""),"",IF(Dashboard!$K$5="L",IF(Y78=0,"",X78/Y78),IF(Dashboard!$K$5="R",IF(X78=0,"",Y78/X78),IF(MAX(X78,Y78)=0,"",MIN(X78,Y78)/MAX(X78,Y78))))),"")</f>
        <v/>
      </c>
      <c r="AA78" s="58"/>
    </row>
    <row r="79" customFormat="false" ht="15" hidden="false" customHeight="false" outlineLevel="0" collapsed="false">
      <c r="A79" s="56"/>
      <c r="B79" s="57" t="str">
        <f aca="false">IF(A79="","",IF(Dashboard!$L$5="","",INT((A79-Dashboard!$L$5)/7)+1))</f>
        <v/>
      </c>
      <c r="C79" s="67"/>
      <c r="D79" s="83"/>
      <c r="E79" s="84" t="str">
        <f aca="false">IFERROR(IF(OR(C79="",D79=""),"",IF(Dashboard!$K$5="L",IF(D79=0,"",C79/D79),IF(Dashboard!$K$5="R",IF(C79=0,"",D79/C79),IF(MAX(C79,D79)=0,"",MIN(C79,D79)/MAX(C79,D79))))),"")</f>
        <v/>
      </c>
      <c r="F79" s="67"/>
      <c r="G79" s="67"/>
      <c r="H79" s="79" t="str">
        <f aca="false">IFERROR(IF(OR(F79="",G79=""),"",IF(Dashboard!$K$5="L",IF(G79=0,"",F79/G79),IF(Dashboard!$K$5="R",IF(F79=0,"",G79/F79),IF(MAX(F79,G79)=0,"",MIN(F79,G79)/MAX(F79,G79))))),"")</f>
        <v/>
      </c>
      <c r="I79" s="67"/>
      <c r="J79" s="67"/>
      <c r="K79" s="79" t="str">
        <f aca="false">IFERROR(IF(OR(I79="",J79=""),"",IF(Dashboard!$K$5="L",IF(J79=0,"",I79/J79),IF(Dashboard!$K$5="R",IF(I79=0,"",J79/I79),IF(MAX(I79,J79)=0,"",MIN(I79,J79)/MAX(I79,J79))))),"")</f>
        <v/>
      </c>
      <c r="L79" s="67"/>
      <c r="M79" s="67"/>
      <c r="N79" s="79" t="str">
        <f aca="false">IFERROR(IF(OR(L79="",M79=""),"",IF(Dashboard!$K$5="L",IF(M79=0,"",L79/M79),IF(Dashboard!$K$5="R",IF(L79=0,"",M79/L79),IF(MAX(L79,M79)=0,"",MIN(L79,M79)/MAX(L79,M79))))),"")</f>
        <v/>
      </c>
      <c r="O79" s="67"/>
      <c r="P79" s="67"/>
      <c r="Q79" s="79" t="str">
        <f aca="false">IFERROR(IF(OR(O79="",P79=""),"",IF(Dashboard!$K$5="L",IF(P79=0,"",O79/P79),IF(Dashboard!$K$5="R",IF(O79=0,"",P79/O79),IF(MAX(O79,P79)=0,"",MIN(O79,P79)/MAX(O79,P79))))),"")</f>
        <v/>
      </c>
      <c r="R79" s="67"/>
      <c r="S79" s="83"/>
      <c r="T79" s="84" t="str">
        <f aca="false">IFERROR(IF(OR(R79="",S79=""),"",IF(Dashboard!$K$5="L",IF(S79=0,"",R79/S79),IF(Dashboard!$K$5="R",IF(R79=0,"",S79/R79),IF(MAX(R79,S79)=0,"",MIN(R79,S79)/MAX(R79,S79))))),"")</f>
        <v/>
      </c>
      <c r="U79" s="67"/>
      <c r="V79" s="67"/>
      <c r="W79" s="79" t="str">
        <f aca="false">IFERROR(IF(OR(U79="",V79=""),"",IF(Dashboard!$K$5="L",IF(V79=0,"",U79/V79),IF(Dashboard!$K$5="R",IF(U79=0,"",V79/U79),IF(MAX(U79,V79)=0,"",MIN(U79,V79)/MAX(U79,V79))))),"")</f>
        <v/>
      </c>
      <c r="X79" s="67"/>
      <c r="Y79" s="83"/>
      <c r="Z79" s="84" t="str">
        <f aca="false">IFERROR(IF(OR(X79="",Y79=""),"",IF(Dashboard!$K$5="L",IF(Y79=0,"",X79/Y79),IF(Dashboard!$K$5="R",IF(X79=0,"",Y79/X79),IF(MAX(X79,Y79)=0,"",MIN(X79,Y79)/MAX(X79,Y79))))),"")</f>
        <v/>
      </c>
      <c r="AA79" s="58"/>
    </row>
    <row r="80" customFormat="false" ht="15" hidden="false" customHeight="false" outlineLevel="0" collapsed="false">
      <c r="A80" s="56"/>
      <c r="B80" s="57" t="str">
        <f aca="false">IF(A80="","",IF(Dashboard!$L$5="","",INT((A80-Dashboard!$L$5)/7)+1))</f>
        <v/>
      </c>
      <c r="C80" s="67"/>
      <c r="D80" s="83"/>
      <c r="E80" s="84" t="str">
        <f aca="false">IFERROR(IF(OR(C80="",D80=""),"",IF(Dashboard!$K$5="L",IF(D80=0,"",C80/D80),IF(Dashboard!$K$5="R",IF(C80=0,"",D80/C80),IF(MAX(C80,D80)=0,"",MIN(C80,D80)/MAX(C80,D80))))),"")</f>
        <v/>
      </c>
      <c r="F80" s="67"/>
      <c r="G80" s="67"/>
      <c r="H80" s="79" t="str">
        <f aca="false">IFERROR(IF(OR(F80="",G80=""),"",IF(Dashboard!$K$5="L",IF(G80=0,"",F80/G80),IF(Dashboard!$K$5="R",IF(F80=0,"",G80/F80),IF(MAX(F80,G80)=0,"",MIN(F80,G80)/MAX(F80,G80))))),"")</f>
        <v/>
      </c>
      <c r="I80" s="67"/>
      <c r="J80" s="67"/>
      <c r="K80" s="79" t="str">
        <f aca="false">IFERROR(IF(OR(I80="",J80=""),"",IF(Dashboard!$K$5="L",IF(J80=0,"",I80/J80),IF(Dashboard!$K$5="R",IF(I80=0,"",J80/I80),IF(MAX(I80,J80)=0,"",MIN(I80,J80)/MAX(I80,J80))))),"")</f>
        <v/>
      </c>
      <c r="L80" s="67"/>
      <c r="M80" s="67"/>
      <c r="N80" s="79" t="str">
        <f aca="false">IFERROR(IF(OR(L80="",M80=""),"",IF(Dashboard!$K$5="L",IF(M80=0,"",L80/M80),IF(Dashboard!$K$5="R",IF(L80=0,"",M80/L80),IF(MAX(L80,M80)=0,"",MIN(L80,M80)/MAX(L80,M80))))),"")</f>
        <v/>
      </c>
      <c r="O80" s="67"/>
      <c r="P80" s="67"/>
      <c r="Q80" s="79" t="str">
        <f aca="false">IFERROR(IF(OR(O80="",P80=""),"",IF(Dashboard!$K$5="L",IF(P80=0,"",O80/P80),IF(Dashboard!$K$5="R",IF(O80=0,"",P80/O80),IF(MAX(O80,P80)=0,"",MIN(O80,P80)/MAX(O80,P80))))),"")</f>
        <v/>
      </c>
      <c r="R80" s="67"/>
      <c r="S80" s="83"/>
      <c r="T80" s="84" t="str">
        <f aca="false">IFERROR(IF(OR(R80="",S80=""),"",IF(Dashboard!$K$5="L",IF(S80=0,"",R80/S80),IF(Dashboard!$K$5="R",IF(R80=0,"",S80/R80),IF(MAX(R80,S80)=0,"",MIN(R80,S80)/MAX(R80,S80))))),"")</f>
        <v/>
      </c>
      <c r="U80" s="67"/>
      <c r="V80" s="67"/>
      <c r="W80" s="79" t="str">
        <f aca="false">IFERROR(IF(OR(U80="",V80=""),"",IF(Dashboard!$K$5="L",IF(V80=0,"",U80/V80),IF(Dashboard!$K$5="R",IF(U80=0,"",V80/U80),IF(MAX(U80,V80)=0,"",MIN(U80,V80)/MAX(U80,V80))))),"")</f>
        <v/>
      </c>
      <c r="X80" s="67"/>
      <c r="Y80" s="83"/>
      <c r="Z80" s="84" t="str">
        <f aca="false">IFERROR(IF(OR(X80="",Y80=""),"",IF(Dashboard!$K$5="L",IF(Y80=0,"",X80/Y80),IF(Dashboard!$K$5="R",IF(X80=0,"",Y80/X80),IF(MAX(X80,Y80)=0,"",MIN(X80,Y80)/MAX(X80,Y80))))),"")</f>
        <v/>
      </c>
      <c r="AA80" s="58"/>
    </row>
    <row r="81" customFormat="false" ht="15" hidden="false" customHeight="false" outlineLevel="0" collapsed="false">
      <c r="A81" s="56"/>
      <c r="B81" s="57" t="str">
        <f aca="false">IF(A81="","",IF(Dashboard!$L$5="","",INT((A81-Dashboard!$L$5)/7)+1))</f>
        <v/>
      </c>
      <c r="C81" s="67"/>
      <c r="D81" s="83"/>
      <c r="E81" s="84" t="str">
        <f aca="false">IFERROR(IF(OR(C81="",D81=""),"",IF(Dashboard!$K$5="L",IF(D81=0,"",C81/D81),IF(Dashboard!$K$5="R",IF(C81=0,"",D81/C81),IF(MAX(C81,D81)=0,"",MIN(C81,D81)/MAX(C81,D81))))),"")</f>
        <v/>
      </c>
      <c r="F81" s="67"/>
      <c r="G81" s="67"/>
      <c r="H81" s="79" t="str">
        <f aca="false">IFERROR(IF(OR(F81="",G81=""),"",IF(Dashboard!$K$5="L",IF(G81=0,"",F81/G81),IF(Dashboard!$K$5="R",IF(F81=0,"",G81/F81),IF(MAX(F81,G81)=0,"",MIN(F81,G81)/MAX(F81,G81))))),"")</f>
        <v/>
      </c>
      <c r="I81" s="67"/>
      <c r="J81" s="67"/>
      <c r="K81" s="79" t="str">
        <f aca="false">IFERROR(IF(OR(I81="",J81=""),"",IF(Dashboard!$K$5="L",IF(J81=0,"",I81/J81),IF(Dashboard!$K$5="R",IF(I81=0,"",J81/I81),IF(MAX(I81,J81)=0,"",MIN(I81,J81)/MAX(I81,J81))))),"")</f>
        <v/>
      </c>
      <c r="L81" s="67"/>
      <c r="M81" s="67"/>
      <c r="N81" s="79" t="str">
        <f aca="false">IFERROR(IF(OR(L81="",M81=""),"",IF(Dashboard!$K$5="L",IF(M81=0,"",L81/M81),IF(Dashboard!$K$5="R",IF(L81=0,"",M81/L81),IF(MAX(L81,M81)=0,"",MIN(L81,M81)/MAX(L81,M81))))),"")</f>
        <v/>
      </c>
      <c r="O81" s="67"/>
      <c r="P81" s="67"/>
      <c r="Q81" s="79" t="str">
        <f aca="false">IFERROR(IF(OR(O81="",P81=""),"",IF(Dashboard!$K$5="L",IF(P81=0,"",O81/P81),IF(Dashboard!$K$5="R",IF(O81=0,"",P81/O81),IF(MAX(O81,P81)=0,"",MIN(O81,P81)/MAX(O81,P81))))),"")</f>
        <v/>
      </c>
      <c r="R81" s="67"/>
      <c r="S81" s="83"/>
      <c r="T81" s="84" t="str">
        <f aca="false">IFERROR(IF(OR(R81="",S81=""),"",IF(Dashboard!$K$5="L",IF(S81=0,"",R81/S81),IF(Dashboard!$K$5="R",IF(R81=0,"",S81/R81),IF(MAX(R81,S81)=0,"",MIN(R81,S81)/MAX(R81,S81))))),"")</f>
        <v/>
      </c>
      <c r="U81" s="67"/>
      <c r="V81" s="67"/>
      <c r="W81" s="79" t="str">
        <f aca="false">IFERROR(IF(OR(U81="",V81=""),"",IF(Dashboard!$K$5="L",IF(V81=0,"",U81/V81),IF(Dashboard!$K$5="R",IF(U81=0,"",V81/U81),IF(MAX(U81,V81)=0,"",MIN(U81,V81)/MAX(U81,V81))))),"")</f>
        <v/>
      </c>
      <c r="X81" s="67"/>
      <c r="Y81" s="83"/>
      <c r="Z81" s="84" t="str">
        <f aca="false">IFERROR(IF(OR(X81="",Y81=""),"",IF(Dashboard!$K$5="L",IF(Y81=0,"",X81/Y81),IF(Dashboard!$K$5="R",IF(X81=0,"",Y81/X81),IF(MAX(X81,Y81)=0,"",MIN(X81,Y81)/MAX(X81,Y81))))),"")</f>
        <v/>
      </c>
      <c r="AA81" s="58"/>
    </row>
    <row r="82" customFormat="false" ht="15" hidden="false" customHeight="false" outlineLevel="0" collapsed="false">
      <c r="A82" s="56"/>
      <c r="B82" s="57" t="str">
        <f aca="false">IF(A82="","",IF(Dashboard!$L$5="","",INT((A82-Dashboard!$L$5)/7)+1))</f>
        <v/>
      </c>
      <c r="C82" s="67"/>
      <c r="D82" s="83"/>
      <c r="E82" s="84" t="str">
        <f aca="false">IFERROR(IF(OR(C82="",D82=""),"",IF(Dashboard!$K$5="L",IF(D82=0,"",C82/D82),IF(Dashboard!$K$5="R",IF(C82=0,"",D82/C82),IF(MAX(C82,D82)=0,"",MIN(C82,D82)/MAX(C82,D82))))),"")</f>
        <v/>
      </c>
      <c r="F82" s="67"/>
      <c r="G82" s="67"/>
      <c r="H82" s="79" t="str">
        <f aca="false">IFERROR(IF(OR(F82="",G82=""),"",IF(Dashboard!$K$5="L",IF(G82=0,"",F82/G82),IF(Dashboard!$K$5="R",IF(F82=0,"",G82/F82),IF(MAX(F82,G82)=0,"",MIN(F82,G82)/MAX(F82,G82))))),"")</f>
        <v/>
      </c>
      <c r="I82" s="67"/>
      <c r="J82" s="67"/>
      <c r="K82" s="79" t="str">
        <f aca="false">IFERROR(IF(OR(I82="",J82=""),"",IF(Dashboard!$K$5="L",IF(J82=0,"",I82/J82),IF(Dashboard!$K$5="R",IF(I82=0,"",J82/I82),IF(MAX(I82,J82)=0,"",MIN(I82,J82)/MAX(I82,J82))))),"")</f>
        <v/>
      </c>
      <c r="L82" s="67"/>
      <c r="M82" s="67"/>
      <c r="N82" s="79" t="str">
        <f aca="false">IFERROR(IF(OR(L82="",M82=""),"",IF(Dashboard!$K$5="L",IF(M82=0,"",L82/M82),IF(Dashboard!$K$5="R",IF(L82=0,"",M82/L82),IF(MAX(L82,M82)=0,"",MIN(L82,M82)/MAX(L82,M82))))),"")</f>
        <v/>
      </c>
      <c r="O82" s="67"/>
      <c r="P82" s="67"/>
      <c r="Q82" s="79" t="str">
        <f aca="false">IFERROR(IF(OR(O82="",P82=""),"",IF(Dashboard!$K$5="L",IF(P82=0,"",O82/P82),IF(Dashboard!$K$5="R",IF(O82=0,"",P82/O82),IF(MAX(O82,P82)=0,"",MIN(O82,P82)/MAX(O82,P82))))),"")</f>
        <v/>
      </c>
      <c r="R82" s="67"/>
      <c r="S82" s="83"/>
      <c r="T82" s="84" t="str">
        <f aca="false">IFERROR(IF(OR(R82="",S82=""),"",IF(Dashboard!$K$5="L",IF(S82=0,"",R82/S82),IF(Dashboard!$K$5="R",IF(R82=0,"",S82/R82),IF(MAX(R82,S82)=0,"",MIN(R82,S82)/MAX(R82,S82))))),"")</f>
        <v/>
      </c>
      <c r="U82" s="67"/>
      <c r="V82" s="67"/>
      <c r="W82" s="79" t="str">
        <f aca="false">IFERROR(IF(OR(U82="",V82=""),"",IF(Dashboard!$K$5="L",IF(V82=0,"",U82/V82),IF(Dashboard!$K$5="R",IF(U82=0,"",V82/U82),IF(MAX(U82,V82)=0,"",MIN(U82,V82)/MAX(U82,V82))))),"")</f>
        <v/>
      </c>
      <c r="X82" s="67"/>
      <c r="Y82" s="83"/>
      <c r="Z82" s="84" t="str">
        <f aca="false">IFERROR(IF(OR(X82="",Y82=""),"",IF(Dashboard!$K$5="L",IF(Y82=0,"",X82/Y82),IF(Dashboard!$K$5="R",IF(X82=0,"",Y82/X82),IF(MAX(X82,Y82)=0,"",MIN(X82,Y82)/MAX(X82,Y82))))),"")</f>
        <v/>
      </c>
      <c r="AA82" s="58"/>
    </row>
    <row r="83" customFormat="false" ht="15" hidden="false" customHeight="false" outlineLevel="0" collapsed="false">
      <c r="A83" s="56"/>
      <c r="B83" s="57" t="str">
        <f aca="false">IF(A83="","",IF(Dashboard!$L$5="","",INT((A83-Dashboard!$L$5)/7)+1))</f>
        <v/>
      </c>
      <c r="C83" s="67"/>
      <c r="D83" s="83"/>
      <c r="E83" s="84" t="str">
        <f aca="false">IFERROR(IF(OR(C83="",D83=""),"",IF(Dashboard!$K$5="L",IF(D83=0,"",C83/D83),IF(Dashboard!$K$5="R",IF(C83=0,"",D83/C83),IF(MAX(C83,D83)=0,"",MIN(C83,D83)/MAX(C83,D83))))),"")</f>
        <v/>
      </c>
      <c r="F83" s="67"/>
      <c r="G83" s="67"/>
      <c r="H83" s="79" t="str">
        <f aca="false">IFERROR(IF(OR(F83="",G83=""),"",IF(Dashboard!$K$5="L",IF(G83=0,"",F83/G83),IF(Dashboard!$K$5="R",IF(F83=0,"",G83/F83),IF(MAX(F83,G83)=0,"",MIN(F83,G83)/MAX(F83,G83))))),"")</f>
        <v/>
      </c>
      <c r="I83" s="67"/>
      <c r="J83" s="67"/>
      <c r="K83" s="79" t="str">
        <f aca="false">IFERROR(IF(OR(I83="",J83=""),"",IF(Dashboard!$K$5="L",IF(J83=0,"",I83/J83),IF(Dashboard!$K$5="R",IF(I83=0,"",J83/I83),IF(MAX(I83,J83)=0,"",MIN(I83,J83)/MAX(I83,J83))))),"")</f>
        <v/>
      </c>
      <c r="L83" s="67"/>
      <c r="M83" s="67"/>
      <c r="N83" s="79" t="str">
        <f aca="false">IFERROR(IF(OR(L83="",M83=""),"",IF(Dashboard!$K$5="L",IF(M83=0,"",L83/M83),IF(Dashboard!$K$5="R",IF(L83=0,"",M83/L83),IF(MAX(L83,M83)=0,"",MIN(L83,M83)/MAX(L83,M83))))),"")</f>
        <v/>
      </c>
      <c r="O83" s="67"/>
      <c r="P83" s="67"/>
      <c r="Q83" s="79" t="str">
        <f aca="false">IFERROR(IF(OR(O83="",P83=""),"",IF(Dashboard!$K$5="L",IF(P83=0,"",O83/P83),IF(Dashboard!$K$5="R",IF(O83=0,"",P83/O83),IF(MAX(O83,P83)=0,"",MIN(O83,P83)/MAX(O83,P83))))),"")</f>
        <v/>
      </c>
      <c r="R83" s="67"/>
      <c r="S83" s="83"/>
      <c r="T83" s="84" t="str">
        <f aca="false">IFERROR(IF(OR(R83="",S83=""),"",IF(Dashboard!$K$5="L",IF(S83=0,"",R83/S83),IF(Dashboard!$K$5="R",IF(R83=0,"",S83/R83),IF(MAX(R83,S83)=0,"",MIN(R83,S83)/MAX(R83,S83))))),"")</f>
        <v/>
      </c>
      <c r="U83" s="67"/>
      <c r="V83" s="67"/>
      <c r="W83" s="79" t="str">
        <f aca="false">IFERROR(IF(OR(U83="",V83=""),"",IF(Dashboard!$K$5="L",IF(V83=0,"",U83/V83),IF(Dashboard!$K$5="R",IF(U83=0,"",V83/U83),IF(MAX(U83,V83)=0,"",MIN(U83,V83)/MAX(U83,V83))))),"")</f>
        <v/>
      </c>
      <c r="X83" s="67"/>
      <c r="Y83" s="83"/>
      <c r="Z83" s="84" t="str">
        <f aca="false">IFERROR(IF(OR(X83="",Y83=""),"",IF(Dashboard!$K$5="L",IF(Y83=0,"",X83/Y83),IF(Dashboard!$K$5="R",IF(X83=0,"",Y83/X83),IF(MAX(X83,Y83)=0,"",MIN(X83,Y83)/MAX(X83,Y83))))),"")</f>
        <v/>
      </c>
      <c r="AA83" s="58"/>
    </row>
    <row r="84" customFormat="false" ht="18" hidden="false" customHeight="true" outlineLevel="0" collapsed="false">
      <c r="A84" s="77" t="s">
        <v>151</v>
      </c>
      <c r="B84" s="77"/>
      <c r="C84" s="77" t="str">
        <f aca="false">IF(COUNT(C72:C83)=0,"",INDEX(C72:C83,SUMPRODUCT(MAX(ISNUMBER(C72:C83)*(($A$72:$A$83)=SUMPRODUCT(MAX(ISNUMBER(C72:C83)*($A$72:$A$83))))*(ROW(C72:C83)-ROW(C$72)+1)))))</f>
        <v/>
      </c>
      <c r="D84" s="77" t="str">
        <f aca="false">IF(COUNT(D72:D83)=0,"",INDEX(D72:D83,SUMPRODUCT(MAX(ISNUMBER(D72:D83)*(($A$72:$A$83)=SUMPRODUCT(MAX(ISNUMBER(D72:D83)*($A$72:$A$83))))*(ROW(D72:D83)-ROW(D$72)+1)))))</f>
        <v/>
      </c>
      <c r="E84" s="80" t="str">
        <f aca="false">IF(COUNT(E72:E83)=0,"",INDEX(E72:E83,SUMPRODUCT(MAX(ISNUMBER(E72:E83)*(($A$72:$A$83)=SUMPRODUCT(MAX(ISNUMBER(E72:E83)*($A$72:$A$83))))*(ROW(E72:E83)-ROW(E$72)+1)))))</f>
        <v/>
      </c>
      <c r="F84" s="77" t="str">
        <f aca="false">IF(COUNT(F72:F83)=0,"",INDEX(F72:F83,SUMPRODUCT(MAX(ISNUMBER(F72:F83)*(($A$72:$A$83)=SUMPRODUCT(MAX(ISNUMBER(F72:F83)*($A$72:$A$83))))*(ROW(F72:F83)-ROW(F$72)+1)))))</f>
        <v/>
      </c>
      <c r="G84" s="77" t="str">
        <f aca="false">IF(COUNT(G72:G83)=0,"",INDEX(G72:G83,SUMPRODUCT(MAX(ISNUMBER(G72:G83)*(($A$72:$A$83)=SUMPRODUCT(MAX(ISNUMBER(G72:G83)*($A$72:$A$83))))*(ROW(G72:G83)-ROW(G$72)+1)))))</f>
        <v/>
      </c>
      <c r="H84" s="80" t="str">
        <f aca="false">IF(COUNT(H72:H83)=0,"",INDEX(H72:H83,SUMPRODUCT(MAX(ISNUMBER(H72:H83)*(($A$72:$A$83)=SUMPRODUCT(MAX(ISNUMBER(H72:H83)*($A$72:$A$83))))*(ROW(H72:H83)-ROW(H$72)+1)))))</f>
        <v/>
      </c>
      <c r="I84" s="77" t="str">
        <f aca="false">IF(COUNT(I72:I83)=0,"",INDEX(I72:I83,SUMPRODUCT(MAX(ISNUMBER(I72:I83)*(($A$72:$A$83)=SUMPRODUCT(MAX(ISNUMBER(I72:I83)*($A$72:$A$83))))*(ROW(I72:I83)-ROW(I$72)+1)))))</f>
        <v/>
      </c>
      <c r="J84" s="77" t="str">
        <f aca="false">IF(COUNT(J72:J83)=0,"",INDEX(J72:J83,SUMPRODUCT(MAX(ISNUMBER(J72:J83)*(($A$72:$A$83)=SUMPRODUCT(MAX(ISNUMBER(J72:J83)*($A$72:$A$83))))*(ROW(J72:J83)-ROW(J$72)+1)))))</f>
        <v/>
      </c>
      <c r="K84" s="80" t="str">
        <f aca="false">IF(COUNT(K72:K83)=0,"",INDEX(K72:K83,SUMPRODUCT(MAX(ISNUMBER(K72:K83)*(($A$72:$A$83)=SUMPRODUCT(MAX(ISNUMBER(K72:K83)*($A$72:$A$83))))*(ROW(K72:K83)-ROW(K$72)+1)))))</f>
        <v/>
      </c>
      <c r="L84" s="77" t="str">
        <f aca="false">IF(COUNT(L72:L83)=0,"",INDEX(L72:L83,SUMPRODUCT(MAX(ISNUMBER(L72:L83)*(($A$72:$A$83)=SUMPRODUCT(MAX(ISNUMBER(L72:L83)*($A$72:$A$83))))*(ROW(L72:L83)-ROW(L$72)+1)))))</f>
        <v/>
      </c>
      <c r="M84" s="77" t="str">
        <f aca="false">IF(COUNT(M72:M83)=0,"",INDEX(M72:M83,SUMPRODUCT(MAX(ISNUMBER(M72:M83)*(($A$72:$A$83)=SUMPRODUCT(MAX(ISNUMBER(M72:M83)*($A$72:$A$83))))*(ROW(M72:M83)-ROW(M$72)+1)))))</f>
        <v/>
      </c>
      <c r="N84" s="80" t="str">
        <f aca="false">IF(COUNT(N72:N83)=0,"",INDEX(N72:N83,SUMPRODUCT(MAX(ISNUMBER(N72:N83)*(($A$72:$A$83)=SUMPRODUCT(MAX(ISNUMBER(N72:N83)*($A$72:$A$83))))*(ROW(N72:N83)-ROW(N$72)+1)))))</f>
        <v/>
      </c>
      <c r="O84" s="77" t="str">
        <f aca="false">IF(COUNT(O72:O83)=0,"",INDEX(O72:O83,SUMPRODUCT(MAX(ISNUMBER(O72:O83)*(($A$72:$A$83)=SUMPRODUCT(MAX(ISNUMBER(O72:O83)*($A$72:$A$83))))*(ROW(O72:O83)-ROW(O$72)+1)))))</f>
        <v/>
      </c>
      <c r="P84" s="77" t="str">
        <f aca="false">IF(COUNT(P72:P83)=0,"",INDEX(P72:P83,SUMPRODUCT(MAX(ISNUMBER(P72:P83)*(($A$72:$A$83)=SUMPRODUCT(MAX(ISNUMBER(P72:P83)*($A$72:$A$83))))*(ROW(P72:P83)-ROW(P$72)+1)))))</f>
        <v/>
      </c>
      <c r="Q84" s="80" t="str">
        <f aca="false">IF(COUNT(Q72:Q83)=0,"",INDEX(Q72:Q83,SUMPRODUCT(MAX(ISNUMBER(Q72:Q83)*(($A$72:$A$83)=SUMPRODUCT(MAX(ISNUMBER(Q72:Q83)*($A$72:$A$83))))*(ROW(Q72:Q83)-ROW(Q$72)+1)))))</f>
        <v/>
      </c>
      <c r="R84" s="77" t="str">
        <f aca="false">IF(COUNT(R72:R83)=0,"",INDEX(R72:R83,SUMPRODUCT(MAX(ISNUMBER(R72:R83)*(($A$72:$A$83)=SUMPRODUCT(MAX(ISNUMBER(R72:R83)*($A$72:$A$83))))*(ROW(R72:R83)-ROW(R$72)+1)))))</f>
        <v/>
      </c>
      <c r="S84" s="77" t="str">
        <f aca="false">IF(COUNT(S72:S83)=0,"",INDEX(S72:S83,SUMPRODUCT(MAX(ISNUMBER(S72:S83)*(($A$72:$A$83)=SUMPRODUCT(MAX(ISNUMBER(S72:S83)*($A$72:$A$83))))*(ROW(S72:S83)-ROW(S$72)+1)))))</f>
        <v/>
      </c>
      <c r="T84" s="80" t="str">
        <f aca="false">IF(COUNT(T72:T83)=0,"",INDEX(T72:T83,SUMPRODUCT(MAX(ISNUMBER(T72:T83)*(($A$72:$A$83)=SUMPRODUCT(MAX(ISNUMBER(T72:T83)*($A$72:$A$83))))*(ROW(T72:T83)-ROW(T$72)+1)))))</f>
        <v/>
      </c>
      <c r="U84" s="77" t="str">
        <f aca="false">IF(COUNT(U72:U83)=0,"",INDEX(U72:U83,SUMPRODUCT(MAX(ISNUMBER(U72:U83)*(($A$72:$A$83)=SUMPRODUCT(MAX(ISNUMBER(U72:U83)*($A$72:$A$83))))*(ROW(U72:U83)-ROW(U$72)+1)))))</f>
        <v/>
      </c>
      <c r="V84" s="77" t="str">
        <f aca="false">IF(COUNT(V72:V83)=0,"",INDEX(V72:V83,SUMPRODUCT(MAX(ISNUMBER(V72:V83)*(($A$72:$A$83)=SUMPRODUCT(MAX(ISNUMBER(V72:V83)*($A$72:$A$83))))*(ROW(V72:V83)-ROW(V$72)+1)))))</f>
        <v/>
      </c>
      <c r="W84" s="80" t="str">
        <f aca="false">IF(COUNT(W72:W83)=0,"",INDEX(W72:W83,SUMPRODUCT(MAX(ISNUMBER(W72:W83)*(($A$72:$A$83)=SUMPRODUCT(MAX(ISNUMBER(W72:W83)*($A$72:$A$83))))*(ROW(W72:W83)-ROW(W$72)+1)))))</f>
        <v/>
      </c>
      <c r="X84" s="77" t="str">
        <f aca="false">IF(COUNT(X72:X83)=0,"",INDEX(X72:X83,SUMPRODUCT(MAX(ISNUMBER(X72:X83)*(($A$72:$A$83)=SUMPRODUCT(MAX(ISNUMBER(X72:X83)*($A$72:$A$83))))*(ROW(X72:X83)-ROW(X$72)+1)))))</f>
        <v/>
      </c>
      <c r="Y84" s="77" t="str">
        <f aca="false">IF(COUNT(Y72:Y83)=0,"",INDEX(Y72:Y83,SUMPRODUCT(MAX(ISNUMBER(Y72:Y83)*(($A$72:$A$83)=SUMPRODUCT(MAX(ISNUMBER(Y72:Y83)*($A$72:$A$83))))*(ROW(Y72:Y83)-ROW(Y$72)+1)))))</f>
        <v/>
      </c>
      <c r="Z84" s="80" t="str">
        <f aca="false">IF(COUNT(Z72:Z83)=0,"",INDEX(Z72:Z83,SUMPRODUCT(MAX(ISNUMBER(Z72:Z83)*(($A$72:$A$83)=SUMPRODUCT(MAX(ISNUMBER(Z72:Z83)*($A$72:$A$83))))*(ROW(Z72:Z83)-ROW(Z$72)+1)))))</f>
        <v/>
      </c>
      <c r="AA84" s="81" t="s">
        <v>152</v>
      </c>
    </row>
    <row r="85" customFormat="false" ht="15" hidden="false" customHeight="true" outlineLevel="0" collapsed="false">
      <c r="A85" s="65" t="s">
        <v>153</v>
      </c>
      <c r="B85" s="65"/>
      <c r="C85" s="70" t="str">
        <f aca="false">IF(OR(COUNT(C72:C83)=0,SUMPRODUCT(MAX(ISNUMBER(C72:C83)*($A$72:$A$83)))=0),"",SUMPRODUCT(MAX(ISNUMBER(C72:C83)*($A$72:$A$83))))</f>
        <v/>
      </c>
      <c r="D85" s="70"/>
      <c r="E85" s="70"/>
      <c r="F85" s="70" t="str">
        <f aca="false">IF(OR(COUNT(F72:F83)=0,SUMPRODUCT(MAX(ISNUMBER(F72:F83)*($A$72:$A$83)))=0),"",SUMPRODUCT(MAX(ISNUMBER(F72:F83)*($A$72:$A$83))))</f>
        <v/>
      </c>
      <c r="G85" s="70"/>
      <c r="H85" s="70"/>
      <c r="I85" s="70" t="str">
        <f aca="false">IF(OR(COUNT(I72:I83)=0,SUMPRODUCT(MAX(ISNUMBER(I72:I83)*($A$72:$A$83)))=0),"",SUMPRODUCT(MAX(ISNUMBER(I72:I83)*($A$72:$A$83))))</f>
        <v/>
      </c>
      <c r="J85" s="70"/>
      <c r="K85" s="70"/>
      <c r="L85" s="70" t="str">
        <f aca="false">IF(OR(COUNT(L72:L83)=0,SUMPRODUCT(MAX(ISNUMBER(L72:L83)*($A$72:$A$83)))=0),"",SUMPRODUCT(MAX(ISNUMBER(L72:L83)*($A$72:$A$83))))</f>
        <v/>
      </c>
      <c r="M85" s="70"/>
      <c r="N85" s="70"/>
      <c r="O85" s="70" t="str">
        <f aca="false">IF(OR(COUNT(O72:O83)=0,SUMPRODUCT(MAX(ISNUMBER(O72:O83)*($A$72:$A$83)))=0),"",SUMPRODUCT(MAX(ISNUMBER(O72:O83)*($A$72:$A$83))))</f>
        <v/>
      </c>
      <c r="P85" s="70"/>
      <c r="Q85" s="70"/>
      <c r="R85" s="70" t="str">
        <f aca="false">IF(OR(COUNT(R72:R83)=0,SUMPRODUCT(MAX(ISNUMBER(R72:R83)*($A$72:$A$83)))=0),"",SUMPRODUCT(MAX(ISNUMBER(R72:R83)*($A$72:$A$83))))</f>
        <v/>
      </c>
      <c r="S85" s="70"/>
      <c r="T85" s="70"/>
      <c r="U85" s="70" t="str">
        <f aca="false">IF(OR(COUNT(U72:U83)=0,SUMPRODUCT(MAX(ISNUMBER(U72:U83)*($A$72:$A$83)))=0),"",SUMPRODUCT(MAX(ISNUMBER(U72:U83)*($A$72:$A$83))))</f>
        <v/>
      </c>
      <c r="V85" s="70"/>
      <c r="W85" s="70"/>
      <c r="X85" s="70" t="str">
        <f aca="false">IF(OR(COUNT(X72:X83)=0,SUMPRODUCT(MAX(ISNUMBER(X72:X83)*($A$72:$A$83)))=0),"",SUMPRODUCT(MAX(ISNUMBER(X72:X83)*($A$72:$A$83))))</f>
        <v/>
      </c>
      <c r="Y85" s="70"/>
      <c r="Z85" s="70"/>
      <c r="AA85" s="82"/>
    </row>
    <row r="87" customFormat="false" ht="15" hidden="false" customHeight="true" outlineLevel="0" collapsed="false">
      <c r="A87" s="54" t="s">
        <v>168</v>
      </c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</row>
    <row r="107" customFormat="false" ht="19.5" hidden="false" customHeight="true" outlineLevel="0" collapsed="false">
      <c r="A107" s="62" t="s">
        <v>169</v>
      </c>
      <c r="B107" s="62"/>
      <c r="C107" s="62"/>
      <c r="D107" s="62"/>
      <c r="E107" s="62"/>
      <c r="F107" s="62"/>
      <c r="G107" s="62"/>
      <c r="H107" s="62"/>
      <c r="I107" s="62"/>
      <c r="J107" s="62"/>
    </row>
    <row r="108" customFormat="false" ht="18" hidden="false" customHeight="true" outlineLevel="0" collapsed="false">
      <c r="A108" s="33" t="s">
        <v>170</v>
      </c>
      <c r="B108" s="33" t="s">
        <v>46</v>
      </c>
      <c r="C108" s="33" t="s">
        <v>47</v>
      </c>
      <c r="D108" s="33"/>
      <c r="E108" s="33" t="s">
        <v>171</v>
      </c>
      <c r="F108" s="33" t="s">
        <v>172</v>
      </c>
      <c r="G108" s="33" t="s">
        <v>173</v>
      </c>
      <c r="H108" s="33" t="s">
        <v>174</v>
      </c>
      <c r="I108" s="33" t="s">
        <v>175</v>
      </c>
      <c r="J108" s="33" t="s">
        <v>52</v>
      </c>
      <c r="K108" s="33" t="s">
        <v>176</v>
      </c>
      <c r="L108" s="33" t="s">
        <v>177</v>
      </c>
    </row>
    <row r="109" customFormat="false" ht="13.5" hidden="false" customHeight="true" outlineLevel="0" collapsed="false">
      <c r="A109" s="57" t="n">
        <v>1</v>
      </c>
      <c r="B109" s="73" t="s">
        <v>178</v>
      </c>
      <c r="C109" s="73" t="str">
        <f aca="false">C34</f>
        <v>Active Knee Extension (°)</v>
      </c>
      <c r="D109" s="73"/>
      <c r="E109" s="85" t="b">
        <f aca="false">AND(C109&lt;&gt;"",LEFT(C109,1)&lt;&gt;"(")</f>
        <v>1</v>
      </c>
      <c r="F109" s="57" t="n">
        <f aca="false">IF(E109,COUNTIF($E$109:E109,TRUE()),"")</f>
        <v>1</v>
      </c>
      <c r="G109" s="57" t="str">
        <f aca="false">C48</f>
        <v/>
      </c>
      <c r="H109" s="57" t="str">
        <f aca="false">D48</f>
        <v/>
      </c>
      <c r="I109" s="86" t="str">
        <f aca="false">E48</f>
        <v/>
      </c>
      <c r="J109" s="87" t="str">
        <f aca="false">C49</f>
        <v/>
      </c>
      <c r="K109" s="57" t="str">
        <f aca="false">IFERROR(IF(COUNT($E$36:$E$47)&lt;2,"",TEXT((E48-INDEX($E$36:$E$47,SUMPRODUCT(MAX(ISNUMBER($E$36:$E$47)*(($A$36:$A$47)=SUMPRODUCT(LARGE(ISNUMBER($E$36:$E$47)*($A$36:$A$47),2)))*(ROW($E$36:$E$47)-ROW($E$36)+1)))))*100,"+0;-0;0")&amp;" pts"),"")</f>
        <v/>
      </c>
      <c r="L109" s="73" t="s">
        <v>107</v>
      </c>
    </row>
    <row r="110" customFormat="false" ht="13.5" hidden="false" customHeight="true" outlineLevel="0" collapsed="false">
      <c r="A110" s="57" t="n">
        <v>2</v>
      </c>
      <c r="B110" s="73" t="s">
        <v>178</v>
      </c>
      <c r="C110" s="73" t="str">
        <f aca="false">F34</f>
        <v>Passive SLR (°)</v>
      </c>
      <c r="D110" s="73"/>
      <c r="E110" s="85" t="b">
        <f aca="false">AND(C110&lt;&gt;"",LEFT(C110,1)&lt;&gt;"(")</f>
        <v>1</v>
      </c>
      <c r="F110" s="57" t="n">
        <f aca="false">IF(E110,COUNTIF($E$109:E110,TRUE()),"")</f>
        <v>2</v>
      </c>
      <c r="G110" s="57" t="str">
        <f aca="false">F48</f>
        <v/>
      </c>
      <c r="H110" s="57" t="str">
        <f aca="false">G48</f>
        <v/>
      </c>
      <c r="I110" s="86" t="str">
        <f aca="false">H48</f>
        <v/>
      </c>
      <c r="J110" s="87" t="str">
        <f aca="false">F49</f>
        <v/>
      </c>
      <c r="K110" s="57" t="str">
        <f aca="false">IFERROR(IF(COUNT($H$36:$H$47)&lt;2,"",TEXT((H48-INDEX($H$36:$H$47,SUMPRODUCT(MAX(ISNUMBER($H$36:$H$47)*(($A$36:$A$47)=SUMPRODUCT(LARGE(ISNUMBER($H$36:$H$47)*($A$36:$A$47),2)))*(ROW($H$36:$H$47)-ROW($H$36)+1)))))*100,"+0;-0;0")&amp;" pts"),"")</f>
        <v/>
      </c>
      <c r="L110" s="73" t="s">
        <v>130</v>
      </c>
    </row>
    <row r="111" customFormat="false" ht="13.5" hidden="false" customHeight="true" outlineLevel="0" collapsed="false">
      <c r="A111" s="57" t="n">
        <v>3</v>
      </c>
      <c r="B111" s="73" t="s">
        <v>178</v>
      </c>
      <c r="C111" s="73" t="str">
        <f aca="false">I34</f>
        <v>Hip Flexion (°)</v>
      </c>
      <c r="D111" s="73"/>
      <c r="E111" s="85" t="b">
        <f aca="false">AND(C111&lt;&gt;"",LEFT(C111,1)&lt;&gt;"(")</f>
        <v>1</v>
      </c>
      <c r="F111" s="57" t="n">
        <f aca="false">IF(E111,COUNTIF($E$109:E111,TRUE()),"")</f>
        <v>3</v>
      </c>
      <c r="G111" s="57" t="str">
        <f aca="false">I48</f>
        <v/>
      </c>
      <c r="H111" s="57" t="str">
        <f aca="false">J48</f>
        <v/>
      </c>
      <c r="I111" s="86" t="str">
        <f aca="false">K48</f>
        <v/>
      </c>
      <c r="J111" s="87" t="str">
        <f aca="false">I49</f>
        <v/>
      </c>
      <c r="K111" s="57" t="str">
        <f aca="false">IFERROR(IF(COUNT($K$36:$K$47)&lt;2,"",TEXT((K48-INDEX($K$36:$K$47,SUMPRODUCT(MAX(ISNUMBER($K$36:$K$47)*(($A$36:$A$47)=SUMPRODUCT(LARGE(ISNUMBER($K$36:$K$47)*($A$36:$A$47),2)))*(ROW($K$36:$K$47)-ROW($K$36)+1)))))*100,"+0;-0;0")&amp;" pts"),"")</f>
        <v/>
      </c>
      <c r="L111" s="73" t="s">
        <v>132</v>
      </c>
    </row>
    <row r="112" customFormat="false" ht="13.5" hidden="false" customHeight="true" outlineLevel="0" collapsed="false">
      <c r="A112" s="57" t="n">
        <v>4</v>
      </c>
      <c r="B112" s="73" t="s">
        <v>178</v>
      </c>
      <c r="C112" s="73" t="str">
        <f aca="false">L34</f>
        <v>(spare slot — rename)</v>
      </c>
      <c r="D112" s="73"/>
      <c r="E112" s="85" t="b">
        <f aca="false">AND(C112&lt;&gt;"",LEFT(C112,1)&lt;&gt;"(")</f>
        <v>0</v>
      </c>
      <c r="F112" s="57" t="str">
        <f aca="false">IF(E112,COUNTIF($E$109:E112,TRUE()),"")</f>
        <v/>
      </c>
      <c r="G112" s="57" t="str">
        <f aca="false">L48</f>
        <v/>
      </c>
      <c r="H112" s="57" t="str">
        <f aca="false">M48</f>
        <v/>
      </c>
      <c r="I112" s="86" t="str">
        <f aca="false">N48</f>
        <v/>
      </c>
      <c r="J112" s="87" t="str">
        <f aca="false">L49</f>
        <v/>
      </c>
      <c r="K112" s="57" t="str">
        <f aca="false">IFERROR(IF(COUNT($N$36:$N$47)&lt;2,"",TEXT((N48-INDEX($N$36:$N$47,SUMPRODUCT(MAX(ISNUMBER($N$36:$N$47)*(($A$36:$A$47)=SUMPRODUCT(LARGE(ISNUMBER($N$36:$N$47)*($A$36:$A$47),2)))*(ROW($N$36:$N$47)-ROW($N$36)+1)))))*100,"+0;-0;0")&amp;" pts"),"")</f>
        <v/>
      </c>
      <c r="L112" s="73" t="s">
        <v>137</v>
      </c>
    </row>
    <row r="113" customFormat="false" ht="13.5" hidden="false" customHeight="true" outlineLevel="0" collapsed="false">
      <c r="A113" s="57" t="n">
        <v>5</v>
      </c>
      <c r="B113" s="73" t="s">
        <v>178</v>
      </c>
      <c r="C113" s="73" t="str">
        <f aca="false">O34</f>
        <v>(spare slot — rename)</v>
      </c>
      <c r="D113" s="73"/>
      <c r="E113" s="85" t="b">
        <f aca="false">AND(C113&lt;&gt;"",LEFT(C113,1)&lt;&gt;"(")</f>
        <v>0</v>
      </c>
      <c r="F113" s="57" t="str">
        <f aca="false">IF(E113,COUNTIF($E$109:E113,TRUE()),"")</f>
        <v/>
      </c>
      <c r="G113" s="57" t="str">
        <f aca="false">O48</f>
        <v/>
      </c>
      <c r="H113" s="57" t="str">
        <f aca="false">P48</f>
        <v/>
      </c>
      <c r="I113" s="86" t="str">
        <f aca="false">Q48</f>
        <v/>
      </c>
      <c r="J113" s="87" t="str">
        <f aca="false">O49</f>
        <v/>
      </c>
      <c r="K113" s="57" t="str">
        <f aca="false">IFERROR(IF(COUNT($Q$36:$Q$47)&lt;2,"",TEXT((Q48-INDEX($Q$36:$Q$47,SUMPRODUCT(MAX(ISNUMBER($Q$36:$Q$47)*(($A$36:$A$47)=SUMPRODUCT(LARGE(ISNUMBER($Q$36:$Q$47)*($A$36:$A$47),2)))*(ROW($Q$36:$Q$47)-ROW($Q$36)+1)))))*100,"+0;-0;0")&amp;" pts"),"")</f>
        <v/>
      </c>
      <c r="L113" s="73" t="s">
        <v>179</v>
      </c>
    </row>
    <row r="114" customFormat="false" ht="13.5" hidden="false" customHeight="true" outlineLevel="0" collapsed="false">
      <c r="A114" s="57" t="n">
        <v>6</v>
      </c>
      <c r="B114" s="73" t="s">
        <v>178</v>
      </c>
      <c r="C114" s="73" t="str">
        <f aca="false">R34</f>
        <v>(spare slot — rename)</v>
      </c>
      <c r="D114" s="73"/>
      <c r="E114" s="85" t="b">
        <f aca="false">AND(C114&lt;&gt;"",LEFT(C114,1)&lt;&gt;"(")</f>
        <v>0</v>
      </c>
      <c r="F114" s="57" t="str">
        <f aca="false">IF(E114,COUNTIF($E$109:E114,TRUE()),"")</f>
        <v/>
      </c>
      <c r="G114" s="57" t="str">
        <f aca="false">R48</f>
        <v/>
      </c>
      <c r="H114" s="57" t="str">
        <f aca="false">S48</f>
        <v/>
      </c>
      <c r="I114" s="86" t="str">
        <f aca="false">T48</f>
        <v/>
      </c>
      <c r="J114" s="87" t="str">
        <f aca="false">R49</f>
        <v/>
      </c>
      <c r="K114" s="57" t="str">
        <f aca="false">IFERROR(IF(COUNT($T$36:$T$47)&lt;2,"",TEXT((T48-INDEX($T$36:$T$47,SUMPRODUCT(MAX(ISNUMBER($T$36:$T$47)*(($A$36:$A$47)=SUMPRODUCT(LARGE(ISNUMBER($T$36:$T$47)*($A$36:$A$47),2)))*(ROW($T$36:$T$47)-ROW($T$36)+1)))))*100,"+0;-0;0")&amp;" pts"),"")</f>
        <v/>
      </c>
      <c r="L114" s="73" t="s">
        <v>180</v>
      </c>
    </row>
    <row r="115" customFormat="false" ht="13.5" hidden="false" customHeight="true" outlineLevel="0" collapsed="false">
      <c r="A115" s="57" t="n">
        <v>7</v>
      </c>
      <c r="B115" s="73" t="s">
        <v>178</v>
      </c>
      <c r="C115" s="73" t="str">
        <f aca="false">U34</f>
        <v>(spare slot — rename)</v>
      </c>
      <c r="D115" s="73"/>
      <c r="E115" s="85" t="b">
        <f aca="false">AND(C115&lt;&gt;"",LEFT(C115,1)&lt;&gt;"(")</f>
        <v>0</v>
      </c>
      <c r="F115" s="57" t="str">
        <f aca="false">IF(E115,COUNTIF($E$109:E115,TRUE()),"")</f>
        <v/>
      </c>
      <c r="G115" s="57" t="str">
        <f aca="false">U48</f>
        <v/>
      </c>
      <c r="H115" s="57" t="str">
        <f aca="false">V48</f>
        <v/>
      </c>
      <c r="I115" s="86" t="str">
        <f aca="false">W48</f>
        <v/>
      </c>
      <c r="J115" s="87" t="str">
        <f aca="false">U49</f>
        <v/>
      </c>
      <c r="K115" s="57" t="str">
        <f aca="false">IFERROR(IF(COUNT($W$36:$W$47)&lt;2,"",TEXT((W48-INDEX($W$36:$W$47,SUMPRODUCT(MAX(ISNUMBER($W$36:$W$47)*(($A$36:$A$47)=SUMPRODUCT(LARGE(ISNUMBER($W$36:$W$47)*($A$36:$A$47),2)))*(ROW($W$36:$W$47)-ROW($W$36)+1)))))*100,"+0;-0;0")&amp;" pts"),"")</f>
        <v/>
      </c>
      <c r="L115" s="73" t="s">
        <v>181</v>
      </c>
    </row>
    <row r="116" customFormat="false" ht="13.5" hidden="false" customHeight="true" outlineLevel="0" collapsed="false">
      <c r="A116" s="57" t="n">
        <v>8</v>
      </c>
      <c r="B116" s="73" t="s">
        <v>178</v>
      </c>
      <c r="C116" s="73" t="str">
        <f aca="false">X34</f>
        <v>(spare slot — rename)</v>
      </c>
      <c r="D116" s="73"/>
      <c r="E116" s="85" t="b">
        <f aca="false">AND(C116&lt;&gt;"",LEFT(C116,1)&lt;&gt;"(")</f>
        <v>0</v>
      </c>
      <c r="F116" s="57" t="str">
        <f aca="false">IF(E116,COUNTIF($E$109:E116,TRUE()),"")</f>
        <v/>
      </c>
      <c r="G116" s="57" t="str">
        <f aca="false">X48</f>
        <v/>
      </c>
      <c r="H116" s="57" t="str">
        <f aca="false">Y48</f>
        <v/>
      </c>
      <c r="I116" s="86" t="str">
        <f aca="false">Z48</f>
        <v/>
      </c>
      <c r="J116" s="87" t="str">
        <f aca="false">X49</f>
        <v/>
      </c>
      <c r="K116" s="57" t="str">
        <f aca="false">IFERROR(IF(COUNT($Z$36:$Z$47)&lt;2,"",TEXT((Z48-INDEX($Z$36:$Z$47,SUMPRODUCT(MAX(ISNUMBER($Z$36:$Z$47)*(($A$36:$A$47)=SUMPRODUCT(LARGE(ISNUMBER($Z$36:$Z$47)*($A$36:$A$47),2)))*(ROW($Z$36:$Z$47)-ROW($Z$36)+1)))))*100,"+0;-0;0")&amp;" pts"),"")</f>
        <v/>
      </c>
      <c r="L116" s="73" t="str">
        <f aca="false">C109</f>
        <v>Active Knee Extension (°)</v>
      </c>
    </row>
    <row r="117" customFormat="false" ht="13.5" hidden="false" customHeight="true" outlineLevel="0" collapsed="false">
      <c r="A117" s="57" t="n">
        <v>9</v>
      </c>
      <c r="B117" s="73" t="s">
        <v>182</v>
      </c>
      <c r="C117" s="73" t="str">
        <f aca="false">C52</f>
        <v>NordBord Eccentric (N)</v>
      </c>
      <c r="D117" s="73"/>
      <c r="E117" s="85" t="b">
        <f aca="false">AND(C117&lt;&gt;"",LEFT(C117,1)&lt;&gt;"(")</f>
        <v>1</v>
      </c>
      <c r="F117" s="57" t="n">
        <f aca="false">IF(E117,COUNTIF($E$109:E117,TRUE()),"")</f>
        <v>4</v>
      </c>
      <c r="G117" s="57" t="str">
        <f aca="false">C66</f>
        <v/>
      </c>
      <c r="H117" s="57" t="str">
        <f aca="false">D66</f>
        <v/>
      </c>
      <c r="I117" s="86" t="str">
        <f aca="false">E66</f>
        <v/>
      </c>
      <c r="J117" s="87" t="str">
        <f aca="false">C67</f>
        <v/>
      </c>
      <c r="K117" s="57" t="str">
        <f aca="false">IFERROR(IF(COUNT($E$54:$E$65)&lt;2,"",TEXT((E66-INDEX($E$54:$E$65,SUMPRODUCT(MAX(ISNUMBER($E$54:$E$65)*(($A$54:$A$65)=SUMPRODUCT(LARGE(ISNUMBER($E$54:$E$65)*($A$54:$A$65),2)))*(ROW($E$54:$E$65)-ROW($E$54)+1)))))*100,"+0;-0;0")&amp;" pts"),"")</f>
        <v/>
      </c>
      <c r="L117" s="73" t="str">
        <f aca="false">C110</f>
        <v>Passive SLR (°)</v>
      </c>
    </row>
    <row r="118" customFormat="false" ht="13.5" hidden="false" customHeight="true" outlineLevel="0" collapsed="false">
      <c r="A118" s="57" t="n">
        <v>10</v>
      </c>
      <c r="B118" s="73" t="s">
        <v>182</v>
      </c>
      <c r="C118" s="73" t="str">
        <f aca="false">F52</f>
        <v>Iso Hamstring 90/90 (N)</v>
      </c>
      <c r="D118" s="73"/>
      <c r="E118" s="85" t="b">
        <f aca="false">AND(C118&lt;&gt;"",LEFT(C118,1)&lt;&gt;"(")</f>
        <v>1</v>
      </c>
      <c r="F118" s="57" t="n">
        <f aca="false">IF(E118,COUNTIF($E$109:E118,TRUE()),"")</f>
        <v>5</v>
      </c>
      <c r="G118" s="57" t="str">
        <f aca="false">F66</f>
        <v/>
      </c>
      <c r="H118" s="57" t="str">
        <f aca="false">G66</f>
        <v/>
      </c>
      <c r="I118" s="86" t="str">
        <f aca="false">H66</f>
        <v/>
      </c>
      <c r="J118" s="87" t="str">
        <f aca="false">F67</f>
        <v/>
      </c>
      <c r="K118" s="57" t="str">
        <f aca="false">IFERROR(IF(COUNT($H$54:$H$65)&lt;2,"",TEXT((H66-INDEX($H$54:$H$65,SUMPRODUCT(MAX(ISNUMBER($H$54:$H$65)*(($A$54:$A$65)=SUMPRODUCT(LARGE(ISNUMBER($H$54:$H$65)*($A$54:$A$65),2)))*(ROW($H$54:$H$65)-ROW($H$54)+1)))))*100,"+0;-0;0")&amp;" pts"),"")</f>
        <v/>
      </c>
      <c r="L118" s="73" t="str">
        <f aca="false">C111</f>
        <v>Hip Flexion (°)</v>
      </c>
    </row>
    <row r="119" customFormat="false" ht="13.5" hidden="false" customHeight="true" outlineLevel="0" collapsed="false">
      <c r="A119" s="57" t="n">
        <v>11</v>
      </c>
      <c r="B119" s="73" t="s">
        <v>182</v>
      </c>
      <c r="C119" s="73" t="str">
        <f aca="false">I52</f>
        <v>Iso Hamstring 30° (N)</v>
      </c>
      <c r="D119" s="73"/>
      <c r="E119" s="85" t="b">
        <f aca="false">AND(C119&lt;&gt;"",LEFT(C119,1)&lt;&gt;"(")</f>
        <v>1</v>
      </c>
      <c r="F119" s="57" t="n">
        <f aca="false">IF(E119,COUNTIF($E$109:E119,TRUE()),"")</f>
        <v>6</v>
      </c>
      <c r="G119" s="57" t="str">
        <f aca="false">I66</f>
        <v/>
      </c>
      <c r="H119" s="57" t="str">
        <f aca="false">J66</f>
        <v/>
      </c>
      <c r="I119" s="86" t="str">
        <f aca="false">K66</f>
        <v/>
      </c>
      <c r="J119" s="87" t="str">
        <f aca="false">I67</f>
        <v/>
      </c>
      <c r="K119" s="57" t="str">
        <f aca="false">IFERROR(IF(COUNT($K$54:$K$65)&lt;2,"",TEXT((K66-INDEX($K$54:$K$65,SUMPRODUCT(MAX(ISNUMBER($K$54:$K$65)*(($A$54:$A$65)=SUMPRODUCT(LARGE(ISNUMBER($K$54:$K$65)*($A$54:$A$65),2)))*(ROW($K$54:$K$65)-ROW($K$54)+1)))))*100,"+0;-0;0")&amp;" pts"),"")</f>
        <v/>
      </c>
      <c r="L119" s="73" t="str">
        <f aca="false">C112</f>
        <v>(spare slot — rename)</v>
      </c>
    </row>
    <row r="120" customFormat="false" ht="13.5" hidden="false" customHeight="true" outlineLevel="0" collapsed="false">
      <c r="A120" s="57" t="n">
        <v>12</v>
      </c>
      <c r="B120" s="73" t="s">
        <v>182</v>
      </c>
      <c r="C120" s="73" t="str">
        <f aca="false">L52</f>
        <v>SL Hamstring Bridge (reps)</v>
      </c>
      <c r="D120" s="73"/>
      <c r="E120" s="85" t="b">
        <f aca="false">AND(C120&lt;&gt;"",LEFT(C120,1)&lt;&gt;"(")</f>
        <v>1</v>
      </c>
      <c r="F120" s="57" t="n">
        <f aca="false">IF(E120,COUNTIF($E$109:E120,TRUE()),"")</f>
        <v>7</v>
      </c>
      <c r="G120" s="57" t="str">
        <f aca="false">L66</f>
        <v/>
      </c>
      <c r="H120" s="57" t="str">
        <f aca="false">M66</f>
        <v/>
      </c>
      <c r="I120" s="86" t="str">
        <f aca="false">N66</f>
        <v/>
      </c>
      <c r="J120" s="87" t="str">
        <f aca="false">L67</f>
        <v/>
      </c>
      <c r="K120" s="57" t="str">
        <f aca="false">IFERROR(IF(COUNT($N$54:$N$65)&lt;2,"",TEXT((N66-INDEX($N$54:$N$65,SUMPRODUCT(MAX(ISNUMBER($N$54:$N$65)*(($A$54:$A$65)=SUMPRODUCT(LARGE(ISNUMBER($N$54:$N$65)*($A$54:$A$65),2)))*(ROW($N$54:$N$65)-ROW($N$54)+1)))))*100,"+0;-0;0")&amp;" pts"),"")</f>
        <v/>
      </c>
      <c r="L120" s="73" t="str">
        <f aca="false">C113</f>
        <v>(spare slot — rename)</v>
      </c>
    </row>
    <row r="121" customFormat="false" ht="13.5" hidden="false" customHeight="true" outlineLevel="0" collapsed="false">
      <c r="A121" s="57" t="n">
        <v>13</v>
      </c>
      <c r="B121" s="73" t="s">
        <v>182</v>
      </c>
      <c r="C121" s="73" t="str">
        <f aca="false">O52</f>
        <v>Quadriceps Iso (N)</v>
      </c>
      <c r="D121" s="73"/>
      <c r="E121" s="85" t="b">
        <f aca="false">AND(C121&lt;&gt;"",LEFT(C121,1)&lt;&gt;"(")</f>
        <v>1</v>
      </c>
      <c r="F121" s="57" t="n">
        <f aca="false">IF(E121,COUNTIF($E$109:E121,TRUE()),"")</f>
        <v>8</v>
      </c>
      <c r="G121" s="57" t="str">
        <f aca="false">O66</f>
        <v/>
      </c>
      <c r="H121" s="57" t="str">
        <f aca="false">P66</f>
        <v/>
      </c>
      <c r="I121" s="86" t="str">
        <f aca="false">Q66</f>
        <v/>
      </c>
      <c r="J121" s="87" t="str">
        <f aca="false">O67</f>
        <v/>
      </c>
      <c r="K121" s="57" t="str">
        <f aca="false">IFERROR(IF(COUNT($Q$54:$Q$65)&lt;2,"",TEXT((Q66-INDEX($Q$54:$Q$65,SUMPRODUCT(MAX(ISNUMBER($Q$54:$Q$65)*(($A$54:$A$65)=SUMPRODUCT(LARGE(ISNUMBER($Q$54:$Q$65)*($A$54:$A$65),2)))*(ROW($Q$54:$Q$65)-ROW($Q$54)+1)))))*100,"+0;-0;0")&amp;" pts"),"")</f>
        <v/>
      </c>
      <c r="L121" s="73" t="str">
        <f aca="false">C114</f>
        <v>(spare slot — rename)</v>
      </c>
    </row>
    <row r="122" customFormat="false" ht="13.5" hidden="false" customHeight="true" outlineLevel="0" collapsed="false">
      <c r="A122" s="57" t="n">
        <v>14</v>
      </c>
      <c r="B122" s="73" t="s">
        <v>182</v>
      </c>
      <c r="C122" s="73" t="str">
        <f aca="false">R52</f>
        <v>(spare slot — rename)</v>
      </c>
      <c r="D122" s="73"/>
      <c r="E122" s="85" t="b">
        <f aca="false">AND(C122&lt;&gt;"",LEFT(C122,1)&lt;&gt;"(")</f>
        <v>0</v>
      </c>
      <c r="F122" s="57" t="str">
        <f aca="false">IF(E122,COUNTIF($E$109:E122,TRUE()),"")</f>
        <v/>
      </c>
      <c r="G122" s="57" t="str">
        <f aca="false">R66</f>
        <v/>
      </c>
      <c r="H122" s="57" t="str">
        <f aca="false">S66</f>
        <v/>
      </c>
      <c r="I122" s="86" t="str">
        <f aca="false">T66</f>
        <v/>
      </c>
      <c r="J122" s="87" t="str">
        <f aca="false">R67</f>
        <v/>
      </c>
      <c r="K122" s="57" t="str">
        <f aca="false">IFERROR(IF(COUNT($T$54:$T$65)&lt;2,"",TEXT((T66-INDEX($T$54:$T$65,SUMPRODUCT(MAX(ISNUMBER($T$54:$T$65)*(($A$54:$A$65)=SUMPRODUCT(LARGE(ISNUMBER($T$54:$T$65)*($A$54:$A$65),2)))*(ROW($T$54:$T$65)-ROW($T$54)+1)))))*100,"+0;-0;0")&amp;" pts"),"")</f>
        <v/>
      </c>
      <c r="L122" s="73" t="str">
        <f aca="false">C115</f>
        <v>(spare slot — rename)</v>
      </c>
    </row>
    <row r="123" customFormat="false" ht="13.5" hidden="false" customHeight="true" outlineLevel="0" collapsed="false">
      <c r="A123" s="57" t="n">
        <v>15</v>
      </c>
      <c r="B123" s="73" t="s">
        <v>182</v>
      </c>
      <c r="C123" s="73" t="str">
        <f aca="false">U52</f>
        <v>(spare slot — rename)</v>
      </c>
      <c r="D123" s="73"/>
      <c r="E123" s="85" t="b">
        <f aca="false">AND(C123&lt;&gt;"",LEFT(C123,1)&lt;&gt;"(")</f>
        <v>0</v>
      </c>
      <c r="F123" s="57" t="str">
        <f aca="false">IF(E123,COUNTIF($E$109:E123,TRUE()),"")</f>
        <v/>
      </c>
      <c r="G123" s="57" t="str">
        <f aca="false">U66</f>
        <v/>
      </c>
      <c r="H123" s="57" t="str">
        <f aca="false">V66</f>
        <v/>
      </c>
      <c r="I123" s="86" t="str">
        <f aca="false">W66</f>
        <v/>
      </c>
      <c r="J123" s="87" t="str">
        <f aca="false">U67</f>
        <v/>
      </c>
      <c r="K123" s="57" t="str">
        <f aca="false">IFERROR(IF(COUNT($W$54:$W$65)&lt;2,"",TEXT((W66-INDEX($W$54:$W$65,SUMPRODUCT(MAX(ISNUMBER($W$54:$W$65)*(($A$54:$A$65)=SUMPRODUCT(LARGE(ISNUMBER($W$54:$W$65)*($A$54:$A$65),2)))*(ROW($W$54:$W$65)-ROW($W$54)+1)))))*100,"+0;-0;0")&amp;" pts"),"")</f>
        <v/>
      </c>
      <c r="L123" s="73" t="str">
        <f aca="false">C116</f>
        <v>(spare slot — rename)</v>
      </c>
    </row>
    <row r="124" customFormat="false" ht="13.5" hidden="false" customHeight="true" outlineLevel="0" collapsed="false">
      <c r="A124" s="57" t="n">
        <v>16</v>
      </c>
      <c r="B124" s="73" t="s">
        <v>182</v>
      </c>
      <c r="C124" s="73" t="str">
        <f aca="false">X52</f>
        <v>(spare slot — rename)</v>
      </c>
      <c r="D124" s="73"/>
      <c r="E124" s="85" t="b">
        <f aca="false">AND(C124&lt;&gt;"",LEFT(C124,1)&lt;&gt;"(")</f>
        <v>0</v>
      </c>
      <c r="F124" s="57" t="str">
        <f aca="false">IF(E124,COUNTIF($E$109:E124,TRUE()),"")</f>
        <v/>
      </c>
      <c r="G124" s="57" t="str">
        <f aca="false">X66</f>
        <v/>
      </c>
      <c r="H124" s="57" t="str">
        <f aca="false">Y66</f>
        <v/>
      </c>
      <c r="I124" s="86" t="str">
        <f aca="false">Z66</f>
        <v/>
      </c>
      <c r="J124" s="87" t="str">
        <f aca="false">X67</f>
        <v/>
      </c>
      <c r="K124" s="57" t="str">
        <f aca="false">IFERROR(IF(COUNT($Z$54:$Z$65)&lt;2,"",TEXT((Z66-INDEX($Z$54:$Z$65,SUMPRODUCT(MAX(ISNUMBER($Z$54:$Z$65)*(($A$54:$A$65)=SUMPRODUCT(LARGE(ISNUMBER($Z$54:$Z$65)*($A$54:$A$65),2)))*(ROW($Z$54:$Z$65)-ROW($Z$54)+1)))))*100,"+0;-0;0")&amp;" pts"),"")</f>
        <v/>
      </c>
      <c r="L124" s="73" t="str">
        <f aca="false">C117</f>
        <v>NordBord Eccentric (N)</v>
      </c>
    </row>
    <row r="125" customFormat="false" ht="13.5" hidden="false" customHeight="true" outlineLevel="0" collapsed="false">
      <c r="A125" s="57" t="n">
        <v>17</v>
      </c>
      <c r="B125" s="73" t="s">
        <v>183</v>
      </c>
      <c r="C125" s="73" t="str">
        <f aca="false">C70</f>
        <v>DL CMJ Height (cm)</v>
      </c>
      <c r="D125" s="73"/>
      <c r="E125" s="85" t="b">
        <f aca="false">AND(C125&lt;&gt;"",LEFT(C125,1)&lt;&gt;"(")</f>
        <v>1</v>
      </c>
      <c r="F125" s="57" t="n">
        <f aca="false">IF(E125,COUNTIF($E$109:E125,TRUE()),"")</f>
        <v>9</v>
      </c>
      <c r="G125" s="57" t="str">
        <f aca="false">C84</f>
        <v/>
      </c>
      <c r="H125" s="57" t="str">
        <f aca="false">D84</f>
        <v/>
      </c>
      <c r="I125" s="86" t="str">
        <f aca="false">E84</f>
        <v/>
      </c>
      <c r="J125" s="87" t="str">
        <f aca="false">C85</f>
        <v/>
      </c>
      <c r="K125" s="57" t="str">
        <f aca="false">IFERROR(IF(COUNT($C$72:$C$83)&lt;2,"",TEXT(C84-INDEX($C$72:$C$83,SUMPRODUCT(MAX(ISNUMBER($C$72:$C$83)*(($A$72:$A$83)=SUMPRODUCT(LARGE(ISNUMBER($C$72:$C$83)*($A$72:$A$83),2)))*(ROW($C$72:$C$83)-ROW($C$72)+1)))),"+0.0;-0.0;0.0")),"")</f>
        <v/>
      </c>
      <c r="L125" s="73" t="str">
        <f aca="false">C118</f>
        <v>Iso Hamstring 90/90 (N)</v>
      </c>
    </row>
    <row r="126" customFormat="false" ht="13.5" hidden="false" customHeight="true" outlineLevel="0" collapsed="false">
      <c r="A126" s="57" t="n">
        <v>18</v>
      </c>
      <c r="B126" s="73" t="s">
        <v>183</v>
      </c>
      <c r="C126" s="73" t="str">
        <f aca="false">F70</f>
        <v>SL CMJ Height (cm)</v>
      </c>
      <c r="D126" s="73"/>
      <c r="E126" s="85" t="b">
        <f aca="false">AND(C126&lt;&gt;"",LEFT(C126,1)&lt;&gt;"(")</f>
        <v>1</v>
      </c>
      <c r="F126" s="57" t="n">
        <f aca="false">IF(E126,COUNTIF($E$109:E126,TRUE()),"")</f>
        <v>10</v>
      </c>
      <c r="G126" s="57" t="str">
        <f aca="false">F84</f>
        <v/>
      </c>
      <c r="H126" s="57" t="str">
        <f aca="false">G84</f>
        <v/>
      </c>
      <c r="I126" s="86" t="str">
        <f aca="false">H84</f>
        <v/>
      </c>
      <c r="J126" s="87" t="str">
        <f aca="false">F85</f>
        <v/>
      </c>
      <c r="K126" s="57" t="str">
        <f aca="false">IFERROR(IF(COUNT($H$72:$H$83)&lt;2,"",TEXT((H84-INDEX($H$72:$H$83,SUMPRODUCT(MAX(ISNUMBER($H$72:$H$83)*(($A$72:$A$83)=SUMPRODUCT(LARGE(ISNUMBER($H$72:$H$83)*($A$72:$A$83),2)))*(ROW($H$72:$H$83)-ROW($H$72)+1)))))*100,"+0;-0;0")&amp;" pts"),"")</f>
        <v/>
      </c>
      <c r="L126" s="73" t="str">
        <f aca="false">C119</f>
        <v>Iso Hamstring 30° (N)</v>
      </c>
    </row>
    <row r="127" customFormat="false" ht="13.5" hidden="false" customHeight="true" outlineLevel="0" collapsed="false">
      <c r="A127" s="57" t="n">
        <v>19</v>
      </c>
      <c r="B127" s="73" t="s">
        <v>183</v>
      </c>
      <c r="C127" s="73" t="str">
        <f aca="false">I70</f>
        <v>SL Hop Distance (cm)</v>
      </c>
      <c r="D127" s="73"/>
      <c r="E127" s="85" t="b">
        <f aca="false">AND(C127&lt;&gt;"",LEFT(C127,1)&lt;&gt;"(")</f>
        <v>1</v>
      </c>
      <c r="F127" s="57" t="n">
        <f aca="false">IF(E127,COUNTIF($E$109:E127,TRUE()),"")</f>
        <v>11</v>
      </c>
      <c r="G127" s="57" t="str">
        <f aca="false">I84</f>
        <v/>
      </c>
      <c r="H127" s="57" t="str">
        <f aca="false">J84</f>
        <v/>
      </c>
      <c r="I127" s="86" t="str">
        <f aca="false">K84</f>
        <v/>
      </c>
      <c r="J127" s="87" t="str">
        <f aca="false">I85</f>
        <v/>
      </c>
      <c r="K127" s="57" t="str">
        <f aca="false">IFERROR(IF(COUNT($K$72:$K$83)&lt;2,"",TEXT((K84-INDEX($K$72:$K$83,SUMPRODUCT(MAX(ISNUMBER($K$72:$K$83)*(($A$72:$A$83)=SUMPRODUCT(LARGE(ISNUMBER($K$72:$K$83)*($A$72:$A$83),2)))*(ROW($K$72:$K$83)-ROW($K$72)+1)))))*100,"+0;-0;0")&amp;" pts"),"")</f>
        <v/>
      </c>
      <c r="L127" s="73" t="str">
        <f aca="false">C120</f>
        <v>SL Hamstring Bridge (reps)</v>
      </c>
    </row>
    <row r="128" customFormat="false" ht="13.5" hidden="false" customHeight="true" outlineLevel="0" collapsed="false">
      <c r="A128" s="57" t="n">
        <v>20</v>
      </c>
      <c r="B128" s="73" t="s">
        <v>183</v>
      </c>
      <c r="C128" s="73" t="str">
        <f aca="false">L70</f>
        <v>Triple Hop Distance (cm)</v>
      </c>
      <c r="D128" s="73"/>
      <c r="E128" s="85" t="b">
        <f aca="false">AND(C128&lt;&gt;"",LEFT(C128,1)&lt;&gt;"(")</f>
        <v>1</v>
      </c>
      <c r="F128" s="57" t="n">
        <f aca="false">IF(E128,COUNTIF($E$109:E128,TRUE()),"")</f>
        <v>12</v>
      </c>
      <c r="G128" s="57" t="str">
        <f aca="false">L84</f>
        <v/>
      </c>
      <c r="H128" s="57" t="str">
        <f aca="false">M84</f>
        <v/>
      </c>
      <c r="I128" s="86" t="str">
        <f aca="false">N84</f>
        <v/>
      </c>
      <c r="J128" s="87" t="str">
        <f aca="false">L85</f>
        <v/>
      </c>
      <c r="K128" s="57" t="str">
        <f aca="false">IFERROR(IF(COUNT($N$72:$N$83)&lt;2,"",TEXT((N84-INDEX($N$72:$N$83,SUMPRODUCT(MAX(ISNUMBER($N$72:$N$83)*(($A$72:$A$83)=SUMPRODUCT(LARGE(ISNUMBER($N$72:$N$83)*($A$72:$A$83),2)))*(ROW($N$72:$N$83)-ROW($N$72)+1)))))*100,"+0;-0;0")&amp;" pts"),"")</f>
        <v/>
      </c>
      <c r="L128" s="73" t="str">
        <f aca="false">C121</f>
        <v>Quadriceps Iso (N)</v>
      </c>
    </row>
    <row r="129" customFormat="false" ht="13.5" hidden="false" customHeight="true" outlineLevel="0" collapsed="false">
      <c r="A129" s="57" t="n">
        <v>21</v>
      </c>
      <c r="B129" s="73" t="s">
        <v>183</v>
      </c>
      <c r="C129" s="73" t="str">
        <f aca="false">O70</f>
        <v>Lateral Capacity</v>
      </c>
      <c r="D129" s="73"/>
      <c r="E129" s="85" t="b">
        <f aca="false">AND(C129&lt;&gt;"",LEFT(C129,1)&lt;&gt;"(")</f>
        <v>1</v>
      </c>
      <c r="F129" s="57" t="n">
        <f aca="false">IF(E129,COUNTIF($E$109:E129,TRUE()),"")</f>
        <v>13</v>
      </c>
      <c r="G129" s="57" t="str">
        <f aca="false">O84</f>
        <v/>
      </c>
      <c r="H129" s="57" t="str">
        <f aca="false">P84</f>
        <v/>
      </c>
      <c r="I129" s="86" t="str">
        <f aca="false">Q84</f>
        <v/>
      </c>
      <c r="J129" s="87" t="str">
        <f aca="false">O85</f>
        <v/>
      </c>
      <c r="K129" s="57" t="str">
        <f aca="false">IFERROR(IF(COUNT($Q$72:$Q$83)&lt;2,"",TEXT((Q84-INDEX($Q$72:$Q$83,SUMPRODUCT(MAX(ISNUMBER($Q$72:$Q$83)*(($A$72:$A$83)=SUMPRODUCT(LARGE(ISNUMBER($Q$72:$Q$83)*($A$72:$A$83),2)))*(ROW($Q$72:$Q$83)-ROW($Q$72)+1)))))*100,"+0;-0;0")&amp;" pts"),"")</f>
        <v/>
      </c>
      <c r="L129" s="73" t="str">
        <f aca="false">C122</f>
        <v>(spare slot — rename)</v>
      </c>
    </row>
    <row r="130" customFormat="false" ht="13.5" hidden="false" customHeight="true" outlineLevel="0" collapsed="false">
      <c r="A130" s="57" t="n">
        <v>22</v>
      </c>
      <c r="B130" s="73" t="s">
        <v>183</v>
      </c>
      <c r="C130" s="73" t="str">
        <f aca="false">R70</f>
        <v>DL Drop Jump RSI</v>
      </c>
      <c r="D130" s="73"/>
      <c r="E130" s="85" t="b">
        <f aca="false">AND(C130&lt;&gt;"",LEFT(C130,1)&lt;&gt;"(")</f>
        <v>1</v>
      </c>
      <c r="F130" s="57" t="n">
        <f aca="false">IF(E130,COUNTIF($E$109:E130,TRUE()),"")</f>
        <v>14</v>
      </c>
      <c r="G130" s="57" t="str">
        <f aca="false">R84</f>
        <v/>
      </c>
      <c r="H130" s="57" t="str">
        <f aca="false">S84</f>
        <v/>
      </c>
      <c r="I130" s="86" t="str">
        <f aca="false">T84</f>
        <v/>
      </c>
      <c r="J130" s="87" t="str">
        <f aca="false">R85</f>
        <v/>
      </c>
      <c r="K130" s="57" t="str">
        <f aca="false">IFERROR(IF(COUNT($R$72:$R$83)&lt;2,"",TEXT(R84-INDEX($R$72:$R$83,SUMPRODUCT(MAX(ISNUMBER($R$72:$R$83)*(($A$72:$A$83)=SUMPRODUCT(LARGE(ISNUMBER($R$72:$R$83)*($A$72:$A$83),2)))*(ROW($R$72:$R$83)-ROW($R$72)+1)))),"+0.0;-0.0;0.0")),"")</f>
        <v/>
      </c>
      <c r="L130" s="73" t="str">
        <f aca="false">C123</f>
        <v>(spare slot — rename)</v>
      </c>
    </row>
    <row r="131" customFormat="false" ht="13.5" hidden="false" customHeight="true" outlineLevel="0" collapsed="false">
      <c r="A131" s="57" t="n">
        <v>23</v>
      </c>
      <c r="B131" s="73" t="s">
        <v>183</v>
      </c>
      <c r="C131" s="73" t="str">
        <f aca="false">U70</f>
        <v>SL Drop Jump RSI</v>
      </c>
      <c r="D131" s="73"/>
      <c r="E131" s="85" t="b">
        <f aca="false">AND(C131&lt;&gt;"",LEFT(C131,1)&lt;&gt;"(")</f>
        <v>1</v>
      </c>
      <c r="F131" s="57" t="n">
        <f aca="false">IF(E131,COUNTIF($E$109:E131,TRUE()),"")</f>
        <v>15</v>
      </c>
      <c r="G131" s="57" t="str">
        <f aca="false">U84</f>
        <v/>
      </c>
      <c r="H131" s="57" t="str">
        <f aca="false">V84</f>
        <v/>
      </c>
      <c r="I131" s="86" t="str">
        <f aca="false">W84</f>
        <v/>
      </c>
      <c r="J131" s="87" t="str">
        <f aca="false">U85</f>
        <v/>
      </c>
      <c r="K131" s="57" t="str">
        <f aca="false">IFERROR(IF(COUNT($W$72:$W$83)&lt;2,"",TEXT((W84-INDEX($W$72:$W$83,SUMPRODUCT(MAX(ISNUMBER($W$72:$W$83)*(($A$72:$A$83)=SUMPRODUCT(LARGE(ISNUMBER($W$72:$W$83)*($A$72:$A$83),2)))*(ROW($W$72:$W$83)-ROW($W$72)+1)))))*100,"+0;-0;0")&amp;" pts"),"")</f>
        <v/>
      </c>
      <c r="L131" s="73" t="str">
        <f aca="false">C124</f>
        <v>(spare slot — rename)</v>
      </c>
    </row>
    <row r="132" customFormat="false" ht="13.5" hidden="false" customHeight="true" outlineLevel="0" collapsed="false">
      <c r="A132" s="57" t="n">
        <v>24</v>
      </c>
      <c r="B132" s="73" t="s">
        <v>183</v>
      </c>
      <c r="C132" s="73" t="str">
        <f aca="false">X70</f>
        <v>10-5 Repeated Hops RSI</v>
      </c>
      <c r="D132" s="73"/>
      <c r="E132" s="85" t="b">
        <f aca="false">AND(C132&lt;&gt;"",LEFT(C132,1)&lt;&gt;"(")</f>
        <v>1</v>
      </c>
      <c r="F132" s="57" t="n">
        <f aca="false">IF(E132,COUNTIF($E$109:E132,TRUE()),"")</f>
        <v>16</v>
      </c>
      <c r="G132" s="57" t="str">
        <f aca="false">X84</f>
        <v/>
      </c>
      <c r="H132" s="57" t="str">
        <f aca="false">Y84</f>
        <v/>
      </c>
      <c r="I132" s="86" t="str">
        <f aca="false">Z84</f>
        <v/>
      </c>
      <c r="J132" s="87" t="str">
        <f aca="false">X85</f>
        <v/>
      </c>
      <c r="K132" s="57" t="str">
        <f aca="false">IFERROR(IF(COUNT($X$72:$X$83)&lt;2,"",TEXT(X84-INDEX($X$72:$X$83,SUMPRODUCT(MAX(ISNUMBER($X$72:$X$83)*(($A$72:$A$83)=SUMPRODUCT(LARGE(ISNUMBER($X$72:$X$83)*($A$72:$A$83),2)))*(ROW($X$72:$X$83)-ROW($X$72)+1)))),"+0.0;-0.0;0.0")),"")</f>
        <v/>
      </c>
      <c r="L132" s="73" t="str">
        <f aca="false">C125</f>
        <v>DL CMJ Height (cm)</v>
      </c>
    </row>
    <row r="133" customFormat="false" ht="22.35" hidden="false" customHeight="false" outlineLevel="0" collapsed="false">
      <c r="L133" s="73" t="str">
        <f aca="false">C126</f>
        <v>SL CMJ Height (cm)</v>
      </c>
    </row>
    <row r="134" customFormat="false" ht="32.8" hidden="false" customHeight="false" outlineLevel="0" collapsed="false">
      <c r="L134" s="73" t="str">
        <f aca="false">C127</f>
        <v>SL Hop Distance (cm)</v>
      </c>
    </row>
    <row r="135" customFormat="false" ht="19.5" hidden="false" customHeight="true" outlineLevel="0" collapsed="false">
      <c r="A135" s="62" t="s">
        <v>184</v>
      </c>
      <c r="B135" s="62"/>
      <c r="C135" s="62"/>
      <c r="D135" s="62"/>
      <c r="E135" s="62"/>
      <c r="F135" s="62"/>
      <c r="G135" s="62"/>
      <c r="H135" s="62"/>
      <c r="I135" s="62"/>
      <c r="J135" s="62"/>
      <c r="L135" s="73" t="str">
        <f aca="false">C128</f>
        <v>Triple Hop Distance (cm)</v>
      </c>
    </row>
    <row r="136" customFormat="false" ht="18" hidden="false" customHeight="true" outlineLevel="0" collapsed="false">
      <c r="A136" s="33" t="s">
        <v>93</v>
      </c>
      <c r="B136" s="33" t="s">
        <v>46</v>
      </c>
      <c r="C136" s="33" t="s">
        <v>47</v>
      </c>
      <c r="D136" s="33"/>
      <c r="E136" s="33" t="s">
        <v>12</v>
      </c>
      <c r="F136" s="33" t="s">
        <v>49</v>
      </c>
      <c r="G136" s="33" t="s">
        <v>50</v>
      </c>
      <c r="H136" s="33" t="s">
        <v>52</v>
      </c>
      <c r="I136" s="33" t="s">
        <v>185</v>
      </c>
      <c r="J136" s="33"/>
      <c r="K136" s="33" t="s">
        <v>186</v>
      </c>
      <c r="L136" s="73" t="str">
        <f aca="false">C129</f>
        <v>Lateral Capacity</v>
      </c>
    </row>
    <row r="137" customFormat="false" ht="13.5" hidden="false" customHeight="true" outlineLevel="0" collapsed="false">
      <c r="A137" s="57" t="n">
        <v>1</v>
      </c>
      <c r="B137" s="73" t="str">
        <f aca="false">IFERROR(INDEX($B$109:$B$132,MATCH(1,$F$109:$F$132,0)),"")</f>
        <v>ROM</v>
      </c>
      <c r="C137" s="73" t="str">
        <f aca="false">IFERROR(INDEX($C$109:$C$132,MATCH(1,$F$109:$F$132,0)),"")</f>
        <v>Active Knee Extension (°)</v>
      </c>
      <c r="D137" s="73"/>
      <c r="E137" s="57" t="str">
        <f aca="false">IFERROR(INDEX($G$109:$G$132,MATCH(1,$F$109:$F$132,0)),"")</f>
        <v/>
      </c>
      <c r="F137" s="57" t="str">
        <f aca="false">IFERROR(INDEX($H$109:$H$132,MATCH(1,$F$109:$F$132,0)),"")</f>
        <v/>
      </c>
      <c r="G137" s="86" t="str">
        <f aca="false">IFERROR(INDEX($I$109:$I$132,MATCH(1,$F$109:$F$132,0)),"")</f>
        <v/>
      </c>
      <c r="H137" s="87" t="str">
        <f aca="false">IFERROR(INDEX($J$109:$J$132,MATCH(1,$F$109:$F$132,0)),"")</f>
        <v/>
      </c>
      <c r="I137" s="73" t="str">
        <f aca="false">IF(B137="","",IF(B137="","",B137))</f>
        <v>ROM</v>
      </c>
      <c r="J137" s="73"/>
      <c r="K137" s="57" t="str">
        <f aca="false">IFERROR(INDEX($K$109:$K$132,MATCH(1,$F$109:$F$132,0)),"")</f>
        <v/>
      </c>
      <c r="L137" s="73" t="str">
        <f aca="false">C130</f>
        <v>DL Drop Jump RSI</v>
      </c>
    </row>
    <row r="138" customFormat="false" ht="13.5" hidden="false" customHeight="true" outlineLevel="0" collapsed="false">
      <c r="A138" s="57" t="n">
        <v>2</v>
      </c>
      <c r="B138" s="73" t="str">
        <f aca="false">IFERROR(INDEX($B$109:$B$132,MATCH(2,$F$109:$F$132,0)),"")</f>
        <v>ROM</v>
      </c>
      <c r="C138" s="73" t="str">
        <f aca="false">IFERROR(INDEX($C$109:$C$132,MATCH(2,$F$109:$F$132,0)),"")</f>
        <v>Passive SLR (°)</v>
      </c>
      <c r="D138" s="73"/>
      <c r="E138" s="57" t="str">
        <f aca="false">IFERROR(INDEX($G$109:$G$132,MATCH(2,$F$109:$F$132,0)),"")</f>
        <v/>
      </c>
      <c r="F138" s="57" t="str">
        <f aca="false">IFERROR(INDEX($H$109:$H$132,MATCH(2,$F$109:$F$132,0)),"")</f>
        <v/>
      </c>
      <c r="G138" s="86" t="str">
        <f aca="false">IFERROR(INDEX($I$109:$I$132,MATCH(2,$F$109:$F$132,0)),"")</f>
        <v/>
      </c>
      <c r="H138" s="87" t="str">
        <f aca="false">IFERROR(INDEX($J$109:$J$132,MATCH(2,$F$109:$F$132,0)),"")</f>
        <v/>
      </c>
      <c r="I138" s="73" t="str">
        <f aca="false">IF(B138="","",IF(B138=B137,"",B138))</f>
        <v/>
      </c>
      <c r="J138" s="73"/>
      <c r="K138" s="57" t="str">
        <f aca="false">IFERROR(INDEX($K$109:$K$132,MATCH(2,$F$109:$F$132,0)),"")</f>
        <v/>
      </c>
      <c r="L138" s="73" t="str">
        <f aca="false">C131</f>
        <v>SL Drop Jump RSI</v>
      </c>
    </row>
    <row r="139" customFormat="false" ht="13.5" hidden="false" customHeight="true" outlineLevel="0" collapsed="false">
      <c r="A139" s="57" t="n">
        <v>3</v>
      </c>
      <c r="B139" s="73" t="str">
        <f aca="false">IFERROR(INDEX($B$109:$B$132,MATCH(3,$F$109:$F$132,0)),"")</f>
        <v>ROM</v>
      </c>
      <c r="C139" s="73" t="str">
        <f aca="false">IFERROR(INDEX($C$109:$C$132,MATCH(3,$F$109:$F$132,0)),"")</f>
        <v>Hip Flexion (°)</v>
      </c>
      <c r="D139" s="73"/>
      <c r="E139" s="57" t="str">
        <f aca="false">IFERROR(INDEX($G$109:$G$132,MATCH(3,$F$109:$F$132,0)),"")</f>
        <v/>
      </c>
      <c r="F139" s="57" t="str">
        <f aca="false">IFERROR(INDEX($H$109:$H$132,MATCH(3,$F$109:$F$132,0)),"")</f>
        <v/>
      </c>
      <c r="G139" s="86" t="str">
        <f aca="false">IFERROR(INDEX($I$109:$I$132,MATCH(3,$F$109:$F$132,0)),"")</f>
        <v/>
      </c>
      <c r="H139" s="87" t="str">
        <f aca="false">IFERROR(INDEX($J$109:$J$132,MATCH(3,$F$109:$F$132,0)),"")</f>
        <v/>
      </c>
      <c r="I139" s="73" t="str">
        <f aca="false">IF(B139="","",IF(B139=B138,"",B139))</f>
        <v/>
      </c>
      <c r="J139" s="73"/>
      <c r="K139" s="57" t="str">
        <f aca="false">IFERROR(INDEX($K$109:$K$132,MATCH(3,$F$109:$F$132,0)),"")</f>
        <v/>
      </c>
      <c r="L139" s="73" t="str">
        <f aca="false">C132</f>
        <v>10-5 Repeated Hops RSI</v>
      </c>
    </row>
    <row r="140" customFormat="false" ht="13.5" hidden="false" customHeight="true" outlineLevel="0" collapsed="false">
      <c r="A140" s="57" t="n">
        <v>4</v>
      </c>
      <c r="B140" s="73" t="str">
        <f aca="false">IFERROR(INDEX($B$109:$B$132,MATCH(4,$F$109:$F$132,0)),"")</f>
        <v>Strength</v>
      </c>
      <c r="C140" s="73" t="str">
        <f aca="false">IFERROR(INDEX($C$109:$C$132,MATCH(4,$F$109:$F$132,0)),"")</f>
        <v>NordBord Eccentric (N)</v>
      </c>
      <c r="D140" s="73"/>
      <c r="E140" s="57" t="str">
        <f aca="false">IFERROR(INDEX($G$109:$G$132,MATCH(4,$F$109:$F$132,0)),"")</f>
        <v/>
      </c>
      <c r="F140" s="57" t="str">
        <f aca="false">IFERROR(INDEX($H$109:$H$132,MATCH(4,$F$109:$F$132,0)),"")</f>
        <v/>
      </c>
      <c r="G140" s="86" t="str">
        <f aca="false">IFERROR(INDEX($I$109:$I$132,MATCH(4,$F$109:$F$132,0)),"")</f>
        <v/>
      </c>
      <c r="H140" s="87" t="str">
        <f aca="false">IFERROR(INDEX($J$109:$J$132,MATCH(4,$F$109:$F$132,0)),"")</f>
        <v/>
      </c>
      <c r="I140" s="73" t="str">
        <f aca="false">IF(B140="","",IF(B140=B139,"",B140))</f>
        <v>Strength</v>
      </c>
      <c r="J140" s="73"/>
      <c r="K140" s="57" t="str">
        <f aca="false">IFERROR(INDEX($K$109:$K$132,MATCH(4,$F$109:$F$132,0)),"")</f>
        <v/>
      </c>
    </row>
    <row r="141" customFormat="false" ht="13.5" hidden="false" customHeight="true" outlineLevel="0" collapsed="false">
      <c r="A141" s="57" t="n">
        <v>5</v>
      </c>
      <c r="B141" s="73" t="str">
        <f aca="false">IFERROR(INDEX($B$109:$B$132,MATCH(5,$F$109:$F$132,0)),"")</f>
        <v>Strength</v>
      </c>
      <c r="C141" s="73" t="str">
        <f aca="false">IFERROR(INDEX($C$109:$C$132,MATCH(5,$F$109:$F$132,0)),"")</f>
        <v>Iso Hamstring 90/90 (N)</v>
      </c>
      <c r="D141" s="73"/>
      <c r="E141" s="57" t="str">
        <f aca="false">IFERROR(INDEX($G$109:$G$132,MATCH(5,$F$109:$F$132,0)),"")</f>
        <v/>
      </c>
      <c r="F141" s="57" t="str">
        <f aca="false">IFERROR(INDEX($H$109:$H$132,MATCH(5,$F$109:$F$132,0)),"")</f>
        <v/>
      </c>
      <c r="G141" s="86" t="str">
        <f aca="false">IFERROR(INDEX($I$109:$I$132,MATCH(5,$F$109:$F$132,0)),"")</f>
        <v/>
      </c>
      <c r="H141" s="87" t="str">
        <f aca="false">IFERROR(INDEX($J$109:$J$132,MATCH(5,$F$109:$F$132,0)),"")</f>
        <v/>
      </c>
      <c r="I141" s="73" t="str">
        <f aca="false">IF(B141="","",IF(B141=B140,"",B141))</f>
        <v/>
      </c>
      <c r="J141" s="73"/>
      <c r="K141" s="57" t="str">
        <f aca="false">IFERROR(INDEX($K$109:$K$132,MATCH(5,$F$109:$F$132,0)),"")</f>
        <v/>
      </c>
    </row>
    <row r="142" customFormat="false" ht="13.5" hidden="false" customHeight="true" outlineLevel="0" collapsed="false">
      <c r="A142" s="57" t="n">
        <v>6</v>
      </c>
      <c r="B142" s="73" t="str">
        <f aca="false">IFERROR(INDEX($B$109:$B$132,MATCH(6,$F$109:$F$132,0)),"")</f>
        <v>Strength</v>
      </c>
      <c r="C142" s="73" t="str">
        <f aca="false">IFERROR(INDEX($C$109:$C$132,MATCH(6,$F$109:$F$132,0)),"")</f>
        <v>Iso Hamstring 30° (N)</v>
      </c>
      <c r="D142" s="73"/>
      <c r="E142" s="57" t="str">
        <f aca="false">IFERROR(INDEX($G$109:$G$132,MATCH(6,$F$109:$F$132,0)),"")</f>
        <v/>
      </c>
      <c r="F142" s="57" t="str">
        <f aca="false">IFERROR(INDEX($H$109:$H$132,MATCH(6,$F$109:$F$132,0)),"")</f>
        <v/>
      </c>
      <c r="G142" s="86" t="str">
        <f aca="false">IFERROR(INDEX($I$109:$I$132,MATCH(6,$F$109:$F$132,0)),"")</f>
        <v/>
      </c>
      <c r="H142" s="87" t="str">
        <f aca="false">IFERROR(INDEX($J$109:$J$132,MATCH(6,$F$109:$F$132,0)),"")</f>
        <v/>
      </c>
      <c r="I142" s="73" t="str">
        <f aca="false">IF(B142="","",IF(B142=B141,"",B142))</f>
        <v/>
      </c>
      <c r="J142" s="73"/>
      <c r="K142" s="57" t="str">
        <f aca="false">IFERROR(INDEX($K$109:$K$132,MATCH(6,$F$109:$F$132,0)),"")</f>
        <v/>
      </c>
    </row>
    <row r="143" customFormat="false" ht="13.5" hidden="false" customHeight="true" outlineLevel="0" collapsed="false">
      <c r="A143" s="57" t="n">
        <v>7</v>
      </c>
      <c r="B143" s="73" t="str">
        <f aca="false">IFERROR(INDEX($B$109:$B$132,MATCH(7,$F$109:$F$132,0)),"")</f>
        <v>Strength</v>
      </c>
      <c r="C143" s="73" t="str">
        <f aca="false">IFERROR(INDEX($C$109:$C$132,MATCH(7,$F$109:$F$132,0)),"")</f>
        <v>SL Hamstring Bridge (reps)</v>
      </c>
      <c r="D143" s="73"/>
      <c r="E143" s="57" t="str">
        <f aca="false">IFERROR(INDEX($G$109:$G$132,MATCH(7,$F$109:$F$132,0)),"")</f>
        <v/>
      </c>
      <c r="F143" s="57" t="str">
        <f aca="false">IFERROR(INDEX($H$109:$H$132,MATCH(7,$F$109:$F$132,0)),"")</f>
        <v/>
      </c>
      <c r="G143" s="86" t="str">
        <f aca="false">IFERROR(INDEX($I$109:$I$132,MATCH(7,$F$109:$F$132,0)),"")</f>
        <v/>
      </c>
      <c r="H143" s="87" t="str">
        <f aca="false">IFERROR(INDEX($J$109:$J$132,MATCH(7,$F$109:$F$132,0)),"")</f>
        <v/>
      </c>
      <c r="I143" s="73" t="str">
        <f aca="false">IF(B143="","",IF(B143=B142,"",B143))</f>
        <v/>
      </c>
      <c r="J143" s="73"/>
      <c r="K143" s="57" t="str">
        <f aca="false">IFERROR(INDEX($K$109:$K$132,MATCH(7,$F$109:$F$132,0)),"")</f>
        <v/>
      </c>
    </row>
    <row r="144" customFormat="false" ht="13.5" hidden="false" customHeight="true" outlineLevel="0" collapsed="false">
      <c r="A144" s="57" t="n">
        <v>8</v>
      </c>
      <c r="B144" s="73" t="str">
        <f aca="false">IFERROR(INDEX($B$109:$B$132,MATCH(8,$F$109:$F$132,0)),"")</f>
        <v>Strength</v>
      </c>
      <c r="C144" s="73" t="str">
        <f aca="false">IFERROR(INDEX($C$109:$C$132,MATCH(8,$F$109:$F$132,0)),"")</f>
        <v>Quadriceps Iso (N)</v>
      </c>
      <c r="D144" s="73"/>
      <c r="E144" s="57" t="str">
        <f aca="false">IFERROR(INDEX($G$109:$G$132,MATCH(8,$F$109:$F$132,0)),"")</f>
        <v/>
      </c>
      <c r="F144" s="57" t="str">
        <f aca="false">IFERROR(INDEX($H$109:$H$132,MATCH(8,$F$109:$F$132,0)),"")</f>
        <v/>
      </c>
      <c r="G144" s="86" t="str">
        <f aca="false">IFERROR(INDEX($I$109:$I$132,MATCH(8,$F$109:$F$132,0)),"")</f>
        <v/>
      </c>
      <c r="H144" s="87" t="str">
        <f aca="false">IFERROR(INDEX($J$109:$J$132,MATCH(8,$F$109:$F$132,0)),"")</f>
        <v/>
      </c>
      <c r="I144" s="73" t="str">
        <f aca="false">IF(B144="","",IF(B144=B143,"",B144))</f>
        <v/>
      </c>
      <c r="J144" s="73"/>
      <c r="K144" s="57" t="str">
        <f aca="false">IFERROR(INDEX($K$109:$K$132,MATCH(8,$F$109:$F$132,0)),"")</f>
        <v/>
      </c>
    </row>
    <row r="145" customFormat="false" ht="13.5" hidden="false" customHeight="true" outlineLevel="0" collapsed="false">
      <c r="A145" s="57" t="n">
        <v>9</v>
      </c>
      <c r="B145" s="73" t="str">
        <f aca="false">IFERROR(INDEX($B$109:$B$132,MATCH(9,$F$109:$F$132,0)),"")</f>
        <v>Jump / Power</v>
      </c>
      <c r="C145" s="73" t="str">
        <f aca="false">IFERROR(INDEX($C$109:$C$132,MATCH(9,$F$109:$F$132,0)),"")</f>
        <v>DL CMJ Height (cm)</v>
      </c>
      <c r="D145" s="73"/>
      <c r="E145" s="57" t="str">
        <f aca="false">IFERROR(INDEX($G$109:$G$132,MATCH(9,$F$109:$F$132,0)),"")</f>
        <v/>
      </c>
      <c r="F145" s="57" t="str">
        <f aca="false">IFERROR(INDEX($H$109:$H$132,MATCH(9,$F$109:$F$132,0)),"")</f>
        <v/>
      </c>
      <c r="G145" s="86" t="str">
        <f aca="false">IFERROR(INDEX($I$109:$I$132,MATCH(9,$F$109:$F$132,0)),"")</f>
        <v/>
      </c>
      <c r="H145" s="87" t="str">
        <f aca="false">IFERROR(INDEX($J$109:$J$132,MATCH(9,$F$109:$F$132,0)),"")</f>
        <v/>
      </c>
      <c r="I145" s="73" t="str">
        <f aca="false">IF(B145="","",IF(B145=B144,"",B145))</f>
        <v>Jump / Power</v>
      </c>
      <c r="J145" s="73"/>
      <c r="K145" s="57" t="str">
        <f aca="false">IFERROR(INDEX($K$109:$K$132,MATCH(9,$F$109:$F$132,0)),"")</f>
        <v/>
      </c>
    </row>
    <row r="146" customFormat="false" ht="13.5" hidden="false" customHeight="true" outlineLevel="0" collapsed="false">
      <c r="A146" s="57" t="n">
        <v>10</v>
      </c>
      <c r="B146" s="73" t="str">
        <f aca="false">IFERROR(INDEX($B$109:$B$132,MATCH(10,$F$109:$F$132,0)),"")</f>
        <v>Jump / Power</v>
      </c>
      <c r="C146" s="73" t="str">
        <f aca="false">IFERROR(INDEX($C$109:$C$132,MATCH(10,$F$109:$F$132,0)),"")</f>
        <v>SL CMJ Height (cm)</v>
      </c>
      <c r="D146" s="73"/>
      <c r="E146" s="57" t="str">
        <f aca="false">IFERROR(INDEX($G$109:$G$132,MATCH(10,$F$109:$F$132,0)),"")</f>
        <v/>
      </c>
      <c r="F146" s="57" t="str">
        <f aca="false">IFERROR(INDEX($H$109:$H$132,MATCH(10,$F$109:$F$132,0)),"")</f>
        <v/>
      </c>
      <c r="G146" s="86" t="str">
        <f aca="false">IFERROR(INDEX($I$109:$I$132,MATCH(10,$F$109:$F$132,0)),"")</f>
        <v/>
      </c>
      <c r="H146" s="87" t="str">
        <f aca="false">IFERROR(INDEX($J$109:$J$132,MATCH(10,$F$109:$F$132,0)),"")</f>
        <v/>
      </c>
      <c r="I146" s="73" t="str">
        <f aca="false">IF(B146="","",IF(B146=B145,"",B146))</f>
        <v/>
      </c>
      <c r="J146" s="73"/>
      <c r="K146" s="57" t="str">
        <f aca="false">IFERROR(INDEX($K$109:$K$132,MATCH(10,$F$109:$F$132,0)),"")</f>
        <v/>
      </c>
    </row>
    <row r="147" customFormat="false" ht="13.5" hidden="false" customHeight="true" outlineLevel="0" collapsed="false">
      <c r="A147" s="57" t="n">
        <v>11</v>
      </c>
      <c r="B147" s="73" t="str">
        <f aca="false">IFERROR(INDEX($B$109:$B$132,MATCH(11,$F$109:$F$132,0)),"")</f>
        <v>Jump / Power</v>
      </c>
      <c r="C147" s="73" t="str">
        <f aca="false">IFERROR(INDEX($C$109:$C$132,MATCH(11,$F$109:$F$132,0)),"")</f>
        <v>SL Hop Distance (cm)</v>
      </c>
      <c r="D147" s="73"/>
      <c r="E147" s="57" t="str">
        <f aca="false">IFERROR(INDEX($G$109:$G$132,MATCH(11,$F$109:$F$132,0)),"")</f>
        <v/>
      </c>
      <c r="F147" s="57" t="str">
        <f aca="false">IFERROR(INDEX($H$109:$H$132,MATCH(11,$F$109:$F$132,0)),"")</f>
        <v/>
      </c>
      <c r="G147" s="86" t="str">
        <f aca="false">IFERROR(INDEX($I$109:$I$132,MATCH(11,$F$109:$F$132,0)),"")</f>
        <v/>
      </c>
      <c r="H147" s="87" t="str">
        <f aca="false">IFERROR(INDEX($J$109:$J$132,MATCH(11,$F$109:$F$132,0)),"")</f>
        <v/>
      </c>
      <c r="I147" s="73" t="str">
        <f aca="false">IF(B147="","",IF(B147=B146,"",B147))</f>
        <v/>
      </c>
      <c r="J147" s="73"/>
      <c r="K147" s="57" t="str">
        <f aca="false">IFERROR(INDEX($K$109:$K$132,MATCH(11,$F$109:$F$132,0)),"")</f>
        <v/>
      </c>
    </row>
    <row r="148" customFormat="false" ht="13.5" hidden="false" customHeight="true" outlineLevel="0" collapsed="false">
      <c r="A148" s="57" t="n">
        <v>12</v>
      </c>
      <c r="B148" s="73" t="str">
        <f aca="false">IFERROR(INDEX($B$109:$B$132,MATCH(12,$F$109:$F$132,0)),"")</f>
        <v>Jump / Power</v>
      </c>
      <c r="C148" s="73" t="str">
        <f aca="false">IFERROR(INDEX($C$109:$C$132,MATCH(12,$F$109:$F$132,0)),"")</f>
        <v>Triple Hop Distance (cm)</v>
      </c>
      <c r="D148" s="73"/>
      <c r="E148" s="57" t="str">
        <f aca="false">IFERROR(INDEX($G$109:$G$132,MATCH(12,$F$109:$F$132,0)),"")</f>
        <v/>
      </c>
      <c r="F148" s="57" t="str">
        <f aca="false">IFERROR(INDEX($H$109:$H$132,MATCH(12,$F$109:$F$132,0)),"")</f>
        <v/>
      </c>
      <c r="G148" s="86" t="str">
        <f aca="false">IFERROR(INDEX($I$109:$I$132,MATCH(12,$F$109:$F$132,0)),"")</f>
        <v/>
      </c>
      <c r="H148" s="87" t="str">
        <f aca="false">IFERROR(INDEX($J$109:$J$132,MATCH(12,$F$109:$F$132,0)),"")</f>
        <v/>
      </c>
      <c r="I148" s="73" t="str">
        <f aca="false">IF(B148="","",IF(B148=B147,"",B148))</f>
        <v/>
      </c>
      <c r="J148" s="73"/>
      <c r="K148" s="57" t="str">
        <f aca="false">IFERROR(INDEX($K$109:$K$132,MATCH(12,$F$109:$F$132,0)),"")</f>
        <v/>
      </c>
    </row>
    <row r="149" customFormat="false" ht="13.5" hidden="false" customHeight="true" outlineLevel="0" collapsed="false">
      <c r="A149" s="57" t="n">
        <v>13</v>
      </c>
      <c r="B149" s="73" t="str">
        <f aca="false">IFERROR(INDEX($B$109:$B$132,MATCH(13,$F$109:$F$132,0)),"")</f>
        <v>Jump / Power</v>
      </c>
      <c r="C149" s="73" t="str">
        <f aca="false">IFERROR(INDEX($C$109:$C$132,MATCH(13,$F$109:$F$132,0)),"")</f>
        <v>Lateral Capacity</v>
      </c>
      <c r="D149" s="73"/>
      <c r="E149" s="57" t="str">
        <f aca="false">IFERROR(INDEX($G$109:$G$132,MATCH(13,$F$109:$F$132,0)),"")</f>
        <v/>
      </c>
      <c r="F149" s="57" t="str">
        <f aca="false">IFERROR(INDEX($H$109:$H$132,MATCH(13,$F$109:$F$132,0)),"")</f>
        <v/>
      </c>
      <c r="G149" s="86" t="str">
        <f aca="false">IFERROR(INDEX($I$109:$I$132,MATCH(13,$F$109:$F$132,0)),"")</f>
        <v/>
      </c>
      <c r="H149" s="87" t="str">
        <f aca="false">IFERROR(INDEX($J$109:$J$132,MATCH(13,$F$109:$F$132,0)),"")</f>
        <v/>
      </c>
      <c r="I149" s="73" t="str">
        <f aca="false">IF(B149="","",IF(B149=B148,"",B149))</f>
        <v/>
      </c>
      <c r="J149" s="73"/>
      <c r="K149" s="57" t="str">
        <f aca="false">IFERROR(INDEX($K$109:$K$132,MATCH(13,$F$109:$F$132,0)),"")</f>
        <v/>
      </c>
    </row>
    <row r="150" customFormat="false" ht="13.5" hidden="false" customHeight="true" outlineLevel="0" collapsed="false">
      <c r="A150" s="57" t="n">
        <v>14</v>
      </c>
      <c r="B150" s="73" t="str">
        <f aca="false">IFERROR(INDEX($B$109:$B$132,MATCH(14,$F$109:$F$132,0)),"")</f>
        <v>Jump / Power</v>
      </c>
      <c r="C150" s="73" t="str">
        <f aca="false">IFERROR(INDEX($C$109:$C$132,MATCH(14,$F$109:$F$132,0)),"")</f>
        <v>DL Drop Jump RSI</v>
      </c>
      <c r="D150" s="73"/>
      <c r="E150" s="57" t="str">
        <f aca="false">IFERROR(INDEX($G$109:$G$132,MATCH(14,$F$109:$F$132,0)),"")</f>
        <v/>
      </c>
      <c r="F150" s="57" t="str">
        <f aca="false">IFERROR(INDEX($H$109:$H$132,MATCH(14,$F$109:$F$132,0)),"")</f>
        <v/>
      </c>
      <c r="G150" s="86" t="str">
        <f aca="false">IFERROR(INDEX($I$109:$I$132,MATCH(14,$F$109:$F$132,0)),"")</f>
        <v/>
      </c>
      <c r="H150" s="87" t="str">
        <f aca="false">IFERROR(INDEX($J$109:$J$132,MATCH(14,$F$109:$F$132,0)),"")</f>
        <v/>
      </c>
      <c r="I150" s="73" t="str">
        <f aca="false">IF(B150="","",IF(B150=B149,"",B150))</f>
        <v/>
      </c>
      <c r="J150" s="73"/>
      <c r="K150" s="57" t="str">
        <f aca="false">IFERROR(INDEX($K$109:$K$132,MATCH(14,$F$109:$F$132,0)),"")</f>
        <v/>
      </c>
    </row>
    <row r="151" customFormat="false" ht="13.5" hidden="false" customHeight="true" outlineLevel="0" collapsed="false">
      <c r="A151" s="57" t="n">
        <v>15</v>
      </c>
      <c r="B151" s="73" t="str">
        <f aca="false">IFERROR(INDEX($B$109:$B$132,MATCH(15,$F$109:$F$132,0)),"")</f>
        <v>Jump / Power</v>
      </c>
      <c r="C151" s="73" t="str">
        <f aca="false">IFERROR(INDEX($C$109:$C$132,MATCH(15,$F$109:$F$132,0)),"")</f>
        <v>SL Drop Jump RSI</v>
      </c>
      <c r="D151" s="73"/>
      <c r="E151" s="57" t="str">
        <f aca="false">IFERROR(INDEX($G$109:$G$132,MATCH(15,$F$109:$F$132,0)),"")</f>
        <v/>
      </c>
      <c r="F151" s="57" t="str">
        <f aca="false">IFERROR(INDEX($H$109:$H$132,MATCH(15,$F$109:$F$132,0)),"")</f>
        <v/>
      </c>
      <c r="G151" s="86" t="str">
        <f aca="false">IFERROR(INDEX($I$109:$I$132,MATCH(15,$F$109:$F$132,0)),"")</f>
        <v/>
      </c>
      <c r="H151" s="87" t="str">
        <f aca="false">IFERROR(INDEX($J$109:$J$132,MATCH(15,$F$109:$F$132,0)),"")</f>
        <v/>
      </c>
      <c r="I151" s="73" t="str">
        <f aca="false">IF(B151="","",IF(B151=B150,"",B151))</f>
        <v/>
      </c>
      <c r="J151" s="73"/>
      <c r="K151" s="57" t="str">
        <f aca="false">IFERROR(INDEX($K$109:$K$132,MATCH(15,$F$109:$F$132,0)),"")</f>
        <v/>
      </c>
    </row>
    <row r="152" customFormat="false" ht="13.5" hidden="false" customHeight="true" outlineLevel="0" collapsed="false">
      <c r="A152" s="57" t="n">
        <v>16</v>
      </c>
      <c r="B152" s="73" t="str">
        <f aca="false">IFERROR(INDEX($B$109:$B$132,MATCH(16,$F$109:$F$132,0)),"")</f>
        <v>Jump / Power</v>
      </c>
      <c r="C152" s="73" t="str">
        <f aca="false">IFERROR(INDEX($C$109:$C$132,MATCH(16,$F$109:$F$132,0)),"")</f>
        <v>10-5 Repeated Hops RSI</v>
      </c>
      <c r="D152" s="73"/>
      <c r="E152" s="57" t="str">
        <f aca="false">IFERROR(INDEX($G$109:$G$132,MATCH(16,$F$109:$F$132,0)),"")</f>
        <v/>
      </c>
      <c r="F152" s="57" t="str">
        <f aca="false">IFERROR(INDEX($H$109:$H$132,MATCH(16,$F$109:$F$132,0)),"")</f>
        <v/>
      </c>
      <c r="G152" s="86" t="str">
        <f aca="false">IFERROR(INDEX($I$109:$I$132,MATCH(16,$F$109:$F$132,0)),"")</f>
        <v/>
      </c>
      <c r="H152" s="87" t="str">
        <f aca="false">IFERROR(INDEX($J$109:$J$132,MATCH(16,$F$109:$F$132,0)),"")</f>
        <v/>
      </c>
      <c r="I152" s="73" t="str">
        <f aca="false">IF(B152="","",IF(B152=B151,"",B152))</f>
        <v/>
      </c>
      <c r="J152" s="73"/>
      <c r="K152" s="57" t="str">
        <f aca="false">IFERROR(INDEX($K$109:$K$132,MATCH(16,$F$109:$F$132,0)),"")</f>
        <v/>
      </c>
    </row>
    <row r="153" customFormat="false" ht="13.5" hidden="false" customHeight="true" outlineLevel="0" collapsed="false">
      <c r="A153" s="57" t="n">
        <v>17</v>
      </c>
      <c r="B153" s="73" t="str">
        <f aca="false">IFERROR(INDEX($B$109:$B$132,MATCH(17,$F$109:$F$132,0)),"")</f>
        <v/>
      </c>
      <c r="C153" s="73" t="str">
        <f aca="false">IFERROR(INDEX($C$109:$C$132,MATCH(17,$F$109:$F$132,0)),"")</f>
        <v/>
      </c>
      <c r="D153" s="73"/>
      <c r="E153" s="57" t="str">
        <f aca="false">IFERROR(INDEX($G$109:$G$132,MATCH(17,$F$109:$F$132,0)),"")</f>
        <v/>
      </c>
      <c r="F153" s="57" t="str">
        <f aca="false">IFERROR(INDEX($H$109:$H$132,MATCH(17,$F$109:$F$132,0)),"")</f>
        <v/>
      </c>
      <c r="G153" s="86" t="str">
        <f aca="false">IFERROR(INDEX($I$109:$I$132,MATCH(17,$F$109:$F$132,0)),"")</f>
        <v/>
      </c>
      <c r="H153" s="87" t="str">
        <f aca="false">IFERROR(INDEX($J$109:$J$132,MATCH(17,$F$109:$F$132,0)),"")</f>
        <v/>
      </c>
      <c r="I153" s="73" t="str">
        <f aca="false">IF(B153="","",IF(B153=B152,"",B153))</f>
        <v/>
      </c>
      <c r="J153" s="73"/>
      <c r="K153" s="57" t="str">
        <f aca="false">IFERROR(INDEX($K$109:$K$132,MATCH(17,$F$109:$F$132,0)),"")</f>
        <v/>
      </c>
    </row>
    <row r="154" customFormat="false" ht="13.5" hidden="false" customHeight="true" outlineLevel="0" collapsed="false">
      <c r="A154" s="57" t="n">
        <v>18</v>
      </c>
      <c r="B154" s="73" t="str">
        <f aca="false">IFERROR(INDEX($B$109:$B$132,MATCH(18,$F$109:$F$132,0)),"")</f>
        <v/>
      </c>
      <c r="C154" s="73" t="str">
        <f aca="false">IFERROR(INDEX($C$109:$C$132,MATCH(18,$F$109:$F$132,0)),"")</f>
        <v/>
      </c>
      <c r="D154" s="73"/>
      <c r="E154" s="57" t="str">
        <f aca="false">IFERROR(INDEX($G$109:$G$132,MATCH(18,$F$109:$F$132,0)),"")</f>
        <v/>
      </c>
      <c r="F154" s="57" t="str">
        <f aca="false">IFERROR(INDEX($H$109:$H$132,MATCH(18,$F$109:$F$132,0)),"")</f>
        <v/>
      </c>
      <c r="G154" s="86" t="str">
        <f aca="false">IFERROR(INDEX($I$109:$I$132,MATCH(18,$F$109:$F$132,0)),"")</f>
        <v/>
      </c>
      <c r="H154" s="87" t="str">
        <f aca="false">IFERROR(INDEX($J$109:$J$132,MATCH(18,$F$109:$F$132,0)),"")</f>
        <v/>
      </c>
      <c r="I154" s="73" t="str">
        <f aca="false">IF(B154="","",IF(B154=B153,"",B154))</f>
        <v/>
      </c>
      <c r="J154" s="73"/>
      <c r="K154" s="57" t="str">
        <f aca="false">IFERROR(INDEX($K$109:$K$132,MATCH(18,$F$109:$F$132,0)),"")</f>
        <v/>
      </c>
    </row>
    <row r="155" customFormat="false" ht="13.5" hidden="false" customHeight="true" outlineLevel="0" collapsed="false">
      <c r="A155" s="57" t="n">
        <v>19</v>
      </c>
      <c r="B155" s="73" t="str">
        <f aca="false">IFERROR(INDEX($B$109:$B$132,MATCH(19,$F$109:$F$132,0)),"")</f>
        <v/>
      </c>
      <c r="C155" s="73" t="str">
        <f aca="false">IFERROR(INDEX($C$109:$C$132,MATCH(19,$F$109:$F$132,0)),"")</f>
        <v/>
      </c>
      <c r="D155" s="73"/>
      <c r="E155" s="57" t="str">
        <f aca="false">IFERROR(INDEX($G$109:$G$132,MATCH(19,$F$109:$F$132,0)),"")</f>
        <v/>
      </c>
      <c r="F155" s="57" t="str">
        <f aca="false">IFERROR(INDEX($H$109:$H$132,MATCH(19,$F$109:$F$132,0)),"")</f>
        <v/>
      </c>
      <c r="G155" s="86" t="str">
        <f aca="false">IFERROR(INDEX($I$109:$I$132,MATCH(19,$F$109:$F$132,0)),"")</f>
        <v/>
      </c>
      <c r="H155" s="87" t="str">
        <f aca="false">IFERROR(INDEX($J$109:$J$132,MATCH(19,$F$109:$F$132,0)),"")</f>
        <v/>
      </c>
      <c r="I155" s="73" t="str">
        <f aca="false">IF(B155="","",IF(B155=B154,"",B155))</f>
        <v/>
      </c>
      <c r="J155" s="73"/>
      <c r="K155" s="57" t="str">
        <f aca="false">IFERROR(INDEX($K$109:$K$132,MATCH(19,$F$109:$F$132,0)),"")</f>
        <v/>
      </c>
    </row>
    <row r="156" customFormat="false" ht="13.5" hidden="false" customHeight="true" outlineLevel="0" collapsed="false">
      <c r="A156" s="57" t="n">
        <v>20</v>
      </c>
      <c r="B156" s="73" t="str">
        <f aca="false">IFERROR(INDEX($B$109:$B$132,MATCH(20,$F$109:$F$132,0)),"")</f>
        <v/>
      </c>
      <c r="C156" s="73" t="str">
        <f aca="false">IFERROR(INDEX($C$109:$C$132,MATCH(20,$F$109:$F$132,0)),"")</f>
        <v/>
      </c>
      <c r="D156" s="73"/>
      <c r="E156" s="57" t="str">
        <f aca="false">IFERROR(INDEX($G$109:$G$132,MATCH(20,$F$109:$F$132,0)),"")</f>
        <v/>
      </c>
      <c r="F156" s="57" t="str">
        <f aca="false">IFERROR(INDEX($H$109:$H$132,MATCH(20,$F$109:$F$132,0)),"")</f>
        <v/>
      </c>
      <c r="G156" s="86" t="str">
        <f aca="false">IFERROR(INDEX($I$109:$I$132,MATCH(20,$F$109:$F$132,0)),"")</f>
        <v/>
      </c>
      <c r="H156" s="87" t="str">
        <f aca="false">IFERROR(INDEX($J$109:$J$132,MATCH(20,$F$109:$F$132,0)),"")</f>
        <v/>
      </c>
      <c r="I156" s="73" t="str">
        <f aca="false">IF(B156="","",IF(B156=B155,"",B156))</f>
        <v/>
      </c>
      <c r="J156" s="73"/>
      <c r="K156" s="57" t="str">
        <f aca="false">IFERROR(INDEX($K$109:$K$132,MATCH(20,$F$109:$F$132,0)),"")</f>
        <v/>
      </c>
    </row>
    <row r="157" customFormat="false" ht="13.5" hidden="false" customHeight="true" outlineLevel="0" collapsed="false">
      <c r="A157" s="57" t="n">
        <v>21</v>
      </c>
      <c r="B157" s="73" t="str">
        <f aca="false">IFERROR(INDEX($B$109:$B$132,MATCH(21,$F$109:$F$132,0)),"")</f>
        <v/>
      </c>
      <c r="C157" s="73" t="str">
        <f aca="false">IFERROR(INDEX($C$109:$C$132,MATCH(21,$F$109:$F$132,0)),"")</f>
        <v/>
      </c>
      <c r="D157" s="73"/>
      <c r="E157" s="57" t="str">
        <f aca="false">IFERROR(INDEX($G$109:$G$132,MATCH(21,$F$109:$F$132,0)),"")</f>
        <v/>
      </c>
      <c r="F157" s="57" t="str">
        <f aca="false">IFERROR(INDEX($H$109:$H$132,MATCH(21,$F$109:$F$132,0)),"")</f>
        <v/>
      </c>
      <c r="G157" s="86" t="str">
        <f aca="false">IFERROR(INDEX($I$109:$I$132,MATCH(21,$F$109:$F$132,0)),"")</f>
        <v/>
      </c>
      <c r="H157" s="87" t="str">
        <f aca="false">IFERROR(INDEX($J$109:$J$132,MATCH(21,$F$109:$F$132,0)),"")</f>
        <v/>
      </c>
      <c r="I157" s="73" t="str">
        <f aca="false">IF(B157="","",IF(B157=B156,"",B157))</f>
        <v/>
      </c>
      <c r="J157" s="73"/>
      <c r="K157" s="57" t="str">
        <f aca="false">IFERROR(INDEX($K$109:$K$132,MATCH(21,$F$109:$F$132,0)),"")</f>
        <v/>
      </c>
    </row>
    <row r="158" customFormat="false" ht="13.5" hidden="false" customHeight="true" outlineLevel="0" collapsed="false">
      <c r="A158" s="57" t="n">
        <v>22</v>
      </c>
      <c r="B158" s="73" t="str">
        <f aca="false">IFERROR(INDEX($B$109:$B$132,MATCH(22,$F$109:$F$132,0)),"")</f>
        <v/>
      </c>
      <c r="C158" s="73" t="str">
        <f aca="false">IFERROR(INDEX($C$109:$C$132,MATCH(22,$F$109:$F$132,0)),"")</f>
        <v/>
      </c>
      <c r="D158" s="73"/>
      <c r="E158" s="57" t="str">
        <f aca="false">IFERROR(INDEX($G$109:$G$132,MATCH(22,$F$109:$F$132,0)),"")</f>
        <v/>
      </c>
      <c r="F158" s="57" t="str">
        <f aca="false">IFERROR(INDEX($H$109:$H$132,MATCH(22,$F$109:$F$132,0)),"")</f>
        <v/>
      </c>
      <c r="G158" s="86" t="str">
        <f aca="false">IFERROR(INDEX($I$109:$I$132,MATCH(22,$F$109:$F$132,0)),"")</f>
        <v/>
      </c>
      <c r="H158" s="87" t="str">
        <f aca="false">IFERROR(INDEX($J$109:$J$132,MATCH(22,$F$109:$F$132,0)),"")</f>
        <v/>
      </c>
      <c r="I158" s="73" t="str">
        <f aca="false">IF(B158="","",IF(B158=B157,"",B158))</f>
        <v/>
      </c>
      <c r="J158" s="73"/>
      <c r="K158" s="57" t="str">
        <f aca="false">IFERROR(INDEX($K$109:$K$132,MATCH(22,$F$109:$F$132,0)),"")</f>
        <v/>
      </c>
    </row>
    <row r="159" customFormat="false" ht="13.5" hidden="false" customHeight="true" outlineLevel="0" collapsed="false">
      <c r="A159" s="57" t="n">
        <v>23</v>
      </c>
      <c r="B159" s="73" t="str">
        <f aca="false">IFERROR(INDEX($B$109:$B$132,MATCH(23,$F$109:$F$132,0)),"")</f>
        <v/>
      </c>
      <c r="C159" s="73" t="str">
        <f aca="false">IFERROR(INDEX($C$109:$C$132,MATCH(23,$F$109:$F$132,0)),"")</f>
        <v/>
      </c>
      <c r="D159" s="73"/>
      <c r="E159" s="57" t="str">
        <f aca="false">IFERROR(INDEX($G$109:$G$132,MATCH(23,$F$109:$F$132,0)),"")</f>
        <v/>
      </c>
      <c r="F159" s="57" t="str">
        <f aca="false">IFERROR(INDEX($H$109:$H$132,MATCH(23,$F$109:$F$132,0)),"")</f>
        <v/>
      </c>
      <c r="G159" s="86" t="str">
        <f aca="false">IFERROR(INDEX($I$109:$I$132,MATCH(23,$F$109:$F$132,0)),"")</f>
        <v/>
      </c>
      <c r="H159" s="87" t="str">
        <f aca="false">IFERROR(INDEX($J$109:$J$132,MATCH(23,$F$109:$F$132,0)),"")</f>
        <v/>
      </c>
      <c r="I159" s="73" t="str">
        <f aca="false">IF(B159="","",IF(B159=B158,"",B159))</f>
        <v/>
      </c>
      <c r="J159" s="73"/>
      <c r="K159" s="57" t="str">
        <f aca="false">IFERROR(INDEX($K$109:$K$132,MATCH(23,$F$109:$F$132,0)),"")</f>
        <v/>
      </c>
    </row>
    <row r="160" customFormat="false" ht="13.5" hidden="false" customHeight="true" outlineLevel="0" collapsed="false">
      <c r="A160" s="57" t="n">
        <v>24</v>
      </c>
      <c r="B160" s="73" t="str">
        <f aca="false">IFERROR(INDEX($B$109:$B$132,MATCH(24,$F$109:$F$132,0)),"")</f>
        <v/>
      </c>
      <c r="C160" s="73" t="str">
        <f aca="false">IFERROR(INDEX($C$109:$C$132,MATCH(24,$F$109:$F$132,0)),"")</f>
        <v/>
      </c>
      <c r="D160" s="73"/>
      <c r="E160" s="57" t="str">
        <f aca="false">IFERROR(INDEX($G$109:$G$132,MATCH(24,$F$109:$F$132,0)),"")</f>
        <v/>
      </c>
      <c r="F160" s="57" t="str">
        <f aca="false">IFERROR(INDEX($H$109:$H$132,MATCH(24,$F$109:$F$132,0)),"")</f>
        <v/>
      </c>
      <c r="G160" s="86" t="str">
        <f aca="false">IFERROR(INDEX($I$109:$I$132,MATCH(24,$F$109:$F$132,0)),"")</f>
        <v/>
      </c>
      <c r="H160" s="87" t="str">
        <f aca="false">IFERROR(INDEX($J$109:$J$132,MATCH(24,$F$109:$F$132,0)),"")</f>
        <v/>
      </c>
      <c r="I160" s="73" t="str">
        <f aca="false">IF(B160="","",IF(B160=B159,"",B160))</f>
        <v/>
      </c>
      <c r="J160" s="73"/>
      <c r="K160" s="57" t="str">
        <f aca="false">IFERROR(INDEX($K$109:$K$132,MATCH(24,$F$109:$F$132,0)),"")</f>
        <v/>
      </c>
    </row>
  </sheetData>
  <mergeCells count="282">
    <mergeCell ref="A1:AA1"/>
    <mergeCell ref="A2:AA2"/>
    <mergeCell ref="A4:AA4"/>
    <mergeCell ref="B5:C5"/>
    <mergeCell ref="D5:J5"/>
    <mergeCell ref="K5:M5"/>
    <mergeCell ref="Q5:R5"/>
    <mergeCell ref="V5:W5"/>
    <mergeCell ref="X5:AA5"/>
    <mergeCell ref="B6:C8"/>
    <mergeCell ref="D6:J6"/>
    <mergeCell ref="K6:M6"/>
    <mergeCell ref="Q6:R6"/>
    <mergeCell ref="V6:W6"/>
    <mergeCell ref="X6:AA6"/>
    <mergeCell ref="D7:J7"/>
    <mergeCell ref="K7:M7"/>
    <mergeCell ref="Q7:R7"/>
    <mergeCell ref="V7:W7"/>
    <mergeCell ref="X7:AA7"/>
    <mergeCell ref="D8:J8"/>
    <mergeCell ref="K8:M8"/>
    <mergeCell ref="Q8:R8"/>
    <mergeCell ref="V8:W8"/>
    <mergeCell ref="X8:AA8"/>
    <mergeCell ref="B9:C11"/>
    <mergeCell ref="D9:J9"/>
    <mergeCell ref="K9:M9"/>
    <mergeCell ref="Q9:R9"/>
    <mergeCell ref="V9:W9"/>
    <mergeCell ref="X9:AA9"/>
    <mergeCell ref="D10:J10"/>
    <mergeCell ref="K10:M10"/>
    <mergeCell ref="Q10:R10"/>
    <mergeCell ref="V10:W10"/>
    <mergeCell ref="X10:AA10"/>
    <mergeCell ref="D11:J11"/>
    <mergeCell ref="K11:M11"/>
    <mergeCell ref="Q11:R11"/>
    <mergeCell ref="V11:W11"/>
    <mergeCell ref="X11:AA11"/>
    <mergeCell ref="B12:C14"/>
    <mergeCell ref="D12:J12"/>
    <mergeCell ref="K12:M12"/>
    <mergeCell ref="Q12:R12"/>
    <mergeCell ref="V12:W12"/>
    <mergeCell ref="X12:AA12"/>
    <mergeCell ref="D13:J13"/>
    <mergeCell ref="K13:M13"/>
    <mergeCell ref="Q13:R13"/>
    <mergeCell ref="V13:W13"/>
    <mergeCell ref="X13:AA13"/>
    <mergeCell ref="D14:J14"/>
    <mergeCell ref="K14:M14"/>
    <mergeCell ref="Q14:R14"/>
    <mergeCell ref="V14:W14"/>
    <mergeCell ref="X14:AA14"/>
    <mergeCell ref="B15:C17"/>
    <mergeCell ref="D15:J15"/>
    <mergeCell ref="K15:M15"/>
    <mergeCell ref="Q15:R15"/>
    <mergeCell ref="V15:W15"/>
    <mergeCell ref="X15:AA15"/>
    <mergeCell ref="D16:J16"/>
    <mergeCell ref="K16:M16"/>
    <mergeCell ref="Q16:R16"/>
    <mergeCell ref="V16:W16"/>
    <mergeCell ref="X16:AA16"/>
    <mergeCell ref="D17:J17"/>
    <mergeCell ref="K17:M17"/>
    <mergeCell ref="Q17:R17"/>
    <mergeCell ref="V17:W17"/>
    <mergeCell ref="X17:AA17"/>
    <mergeCell ref="B18:C20"/>
    <mergeCell ref="D18:J18"/>
    <mergeCell ref="K18:M18"/>
    <mergeCell ref="Q18:R18"/>
    <mergeCell ref="V18:W18"/>
    <mergeCell ref="X18:AA18"/>
    <mergeCell ref="D19:J19"/>
    <mergeCell ref="K19:M19"/>
    <mergeCell ref="Q19:R19"/>
    <mergeCell ref="V19:W19"/>
    <mergeCell ref="X19:AA19"/>
    <mergeCell ref="D20:J20"/>
    <mergeCell ref="K20:M20"/>
    <mergeCell ref="Q20:R20"/>
    <mergeCell ref="V20:W20"/>
    <mergeCell ref="X20:AA20"/>
    <mergeCell ref="B21:C23"/>
    <mergeCell ref="D21:J21"/>
    <mergeCell ref="K21:M21"/>
    <mergeCell ref="Q21:R21"/>
    <mergeCell ref="V21:W21"/>
    <mergeCell ref="X21:AA21"/>
    <mergeCell ref="D22:J22"/>
    <mergeCell ref="K22:M22"/>
    <mergeCell ref="Q22:R22"/>
    <mergeCell ref="V22:W22"/>
    <mergeCell ref="X22:AA22"/>
    <mergeCell ref="D23:J23"/>
    <mergeCell ref="K23:M23"/>
    <mergeCell ref="Q23:R23"/>
    <mergeCell ref="V23:W23"/>
    <mergeCell ref="X23:AA23"/>
    <mergeCell ref="B24:C24"/>
    <mergeCell ref="D24:J24"/>
    <mergeCell ref="K24:M24"/>
    <mergeCell ref="N24:AA24"/>
    <mergeCell ref="B25:C25"/>
    <mergeCell ref="D25:J25"/>
    <mergeCell ref="K25:M25"/>
    <mergeCell ref="N25:AA25"/>
    <mergeCell ref="B26:C26"/>
    <mergeCell ref="D26:J26"/>
    <mergeCell ref="K26:M26"/>
    <mergeCell ref="N26:AA26"/>
    <mergeCell ref="B27:C27"/>
    <mergeCell ref="D27:J27"/>
    <mergeCell ref="K27:M27"/>
    <mergeCell ref="N27:AA27"/>
    <mergeCell ref="B28:C28"/>
    <mergeCell ref="D28:J28"/>
    <mergeCell ref="K28:M28"/>
    <mergeCell ref="N28:AA28"/>
    <mergeCell ref="B29:C29"/>
    <mergeCell ref="D29:J29"/>
    <mergeCell ref="K29:M29"/>
    <mergeCell ref="N29:AA29"/>
    <mergeCell ref="B30:C30"/>
    <mergeCell ref="D30:J30"/>
    <mergeCell ref="K30:M30"/>
    <mergeCell ref="N30:AA30"/>
    <mergeCell ref="A31:D31"/>
    <mergeCell ref="E31:J31"/>
    <mergeCell ref="K31:N31"/>
    <mergeCell ref="O31:Q31"/>
    <mergeCell ref="T31:AA31"/>
    <mergeCell ref="A33:AA33"/>
    <mergeCell ref="A34:A35"/>
    <mergeCell ref="B34:B35"/>
    <mergeCell ref="C34:E34"/>
    <mergeCell ref="F34:H34"/>
    <mergeCell ref="I34:K34"/>
    <mergeCell ref="L34:N34"/>
    <mergeCell ref="O34:Q34"/>
    <mergeCell ref="R34:T34"/>
    <mergeCell ref="U34:W34"/>
    <mergeCell ref="X34:Z34"/>
    <mergeCell ref="AA34:AA35"/>
    <mergeCell ref="A48:B48"/>
    <mergeCell ref="A49:B49"/>
    <mergeCell ref="C49:E49"/>
    <mergeCell ref="F49:H49"/>
    <mergeCell ref="I49:K49"/>
    <mergeCell ref="L49:N49"/>
    <mergeCell ref="O49:Q49"/>
    <mergeCell ref="R49:T49"/>
    <mergeCell ref="U49:W49"/>
    <mergeCell ref="X49:Z49"/>
    <mergeCell ref="A51:AA51"/>
    <mergeCell ref="A52:A53"/>
    <mergeCell ref="B52:B53"/>
    <mergeCell ref="C52:E52"/>
    <mergeCell ref="F52:H52"/>
    <mergeCell ref="I52:K52"/>
    <mergeCell ref="L52:N52"/>
    <mergeCell ref="O52:Q52"/>
    <mergeCell ref="R52:T52"/>
    <mergeCell ref="U52:W52"/>
    <mergeCell ref="X52:Z52"/>
    <mergeCell ref="AA52:AA53"/>
    <mergeCell ref="A66:B66"/>
    <mergeCell ref="A67:B67"/>
    <mergeCell ref="C67:E67"/>
    <mergeCell ref="F67:H67"/>
    <mergeCell ref="I67:K67"/>
    <mergeCell ref="L67:N67"/>
    <mergeCell ref="O67:Q67"/>
    <mergeCell ref="R67:T67"/>
    <mergeCell ref="U67:W67"/>
    <mergeCell ref="X67:Z67"/>
    <mergeCell ref="A69:AA69"/>
    <mergeCell ref="A70:A71"/>
    <mergeCell ref="B70:B71"/>
    <mergeCell ref="C70:E70"/>
    <mergeCell ref="F70:H70"/>
    <mergeCell ref="I70:K70"/>
    <mergeCell ref="L70:N70"/>
    <mergeCell ref="O70:Q70"/>
    <mergeCell ref="R70:T70"/>
    <mergeCell ref="U70:W70"/>
    <mergeCell ref="X70:Z70"/>
    <mergeCell ref="AA70:AA71"/>
    <mergeCell ref="A84:B84"/>
    <mergeCell ref="A85:B85"/>
    <mergeCell ref="C85:E85"/>
    <mergeCell ref="F85:H85"/>
    <mergeCell ref="I85:K85"/>
    <mergeCell ref="L85:N85"/>
    <mergeCell ref="O85:Q85"/>
    <mergeCell ref="R85:T85"/>
    <mergeCell ref="U85:W85"/>
    <mergeCell ref="X85:Z85"/>
    <mergeCell ref="A87:AA87"/>
    <mergeCell ref="A107:J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A135:J135"/>
    <mergeCell ref="C136:D136"/>
    <mergeCell ref="I136:J136"/>
    <mergeCell ref="C137:D137"/>
    <mergeCell ref="I137:J137"/>
    <mergeCell ref="C138:D138"/>
    <mergeCell ref="I138:J138"/>
    <mergeCell ref="C139:D139"/>
    <mergeCell ref="I139:J139"/>
    <mergeCell ref="C140:D140"/>
    <mergeCell ref="I140:J140"/>
    <mergeCell ref="C141:D141"/>
    <mergeCell ref="I141:J141"/>
    <mergeCell ref="C142:D142"/>
    <mergeCell ref="I142:J142"/>
    <mergeCell ref="C143:D143"/>
    <mergeCell ref="I143:J143"/>
    <mergeCell ref="C144:D144"/>
    <mergeCell ref="I144:J144"/>
    <mergeCell ref="C145:D145"/>
    <mergeCell ref="I145:J145"/>
    <mergeCell ref="C146:D146"/>
    <mergeCell ref="I146:J146"/>
    <mergeCell ref="C147:D147"/>
    <mergeCell ref="I147:J147"/>
    <mergeCell ref="C148:D148"/>
    <mergeCell ref="I148:J148"/>
    <mergeCell ref="C149:D149"/>
    <mergeCell ref="I149:J149"/>
    <mergeCell ref="C150:D150"/>
    <mergeCell ref="I150:J150"/>
    <mergeCell ref="C151:D151"/>
    <mergeCell ref="I151:J151"/>
    <mergeCell ref="C152:D152"/>
    <mergeCell ref="I152:J152"/>
    <mergeCell ref="C153:D153"/>
    <mergeCell ref="I153:J153"/>
    <mergeCell ref="C154:D154"/>
    <mergeCell ref="I154:J154"/>
    <mergeCell ref="C155:D155"/>
    <mergeCell ref="I155:J155"/>
    <mergeCell ref="C156:D156"/>
    <mergeCell ref="I156:J156"/>
    <mergeCell ref="C157:D157"/>
    <mergeCell ref="I157:J157"/>
    <mergeCell ref="C158:D158"/>
    <mergeCell ref="I158:J158"/>
    <mergeCell ref="C159:D159"/>
    <mergeCell ref="I159:J159"/>
    <mergeCell ref="C160:D160"/>
    <mergeCell ref="I160:J160"/>
  </mergeCells>
  <conditionalFormatting sqref="S6:S23">
    <cfRule type="expression" priority="2" aboveAverage="0" equalAverage="0" bottom="0" percent="0" rank="0" text="" dxfId="12">
      <formula>OR(S6="READY",S6="COMPLETE",S6="MET",S6="Y")</formula>
    </cfRule>
    <cfRule type="expression" priority="3" aboveAverage="0" equalAverage="0" bottom="0" percent="0" rank="0" text="" dxfId="13">
      <formula>S6="IN PROGRESS"</formula>
    </cfRule>
    <cfRule type="expression" priority="4" aboveAverage="0" equalAverage="0" bottom="0" percent="0" rank="0" text="" dxfId="14">
      <formula>OR(S6="NOT READY",S6="NOT STARTED",S6="BELOW",S6="N",S6="NOT MET")</formula>
    </cfRule>
  </conditionalFormatting>
  <conditionalFormatting sqref="U6:U23">
    <cfRule type="expression" priority="5" aboveAverage="0" equalAverage="0" bottom="0" percent="0" rank="0" text="" dxfId="12">
      <formula>OR(U6="READY",U6="COMPLETE",U6="MET",U6="Y")</formula>
    </cfRule>
    <cfRule type="expression" priority="6" aboveAverage="0" equalAverage="0" bottom="0" percent="0" rank="0" text="" dxfId="13">
      <formula>U6="IN PROGRESS"</formula>
    </cfRule>
    <cfRule type="expression" priority="7" aboveAverage="0" equalAverage="0" bottom="0" percent="0" rank="0" text="" dxfId="14">
      <formula>OR(U6="NOT READY",U6="NOT STARTED",U6="BELOW",U6="N",U6="NOT MET")</formula>
    </cfRule>
  </conditionalFormatting>
  <conditionalFormatting sqref="T6:T23">
    <cfRule type="expression" priority="8" aboveAverage="0" equalAverage="0" bottom="0" percent="0" rank="0" text="" dxfId="12">
      <formula>OR(T6="READY",T6="COMPLETE",T6="MET",T6="Y")</formula>
    </cfRule>
    <cfRule type="expression" priority="9" aboveAverage="0" equalAverage="0" bottom="0" percent="0" rank="0" text="" dxfId="13">
      <formula>T6="IN PROGRESS"</formula>
    </cfRule>
    <cfRule type="expression" priority="10" aboveAverage="0" equalAverage="0" bottom="0" percent="0" rank="0" text="" dxfId="14">
      <formula>OR(T6="NOT READY",T6="NOT STARTED",T6="BELOW",T6="N",T6="NOT MET")</formula>
    </cfRule>
  </conditionalFormatting>
  <conditionalFormatting sqref="K25:K30">
    <cfRule type="expression" priority="11" aboveAverage="0" equalAverage="0" bottom="0" percent="0" rank="0" text="" dxfId="12">
      <formula>OR(K25="READY",K25="COMPLETE",K25="MET",K25="Y")</formula>
    </cfRule>
    <cfRule type="expression" priority="12" aboveAverage="0" equalAverage="0" bottom="0" percent="0" rank="0" text="" dxfId="13">
      <formula>K25="IN PROGRESS"</formula>
    </cfRule>
    <cfRule type="expression" priority="13" aboveAverage="0" equalAverage="0" bottom="0" percent="0" rank="0" text="" dxfId="14">
      <formula>OR(K25="NOT READY",K25="NOT STARTED",K25="BELOW",K25="N",K25="NOT MET")</formula>
    </cfRule>
  </conditionalFormatting>
  <conditionalFormatting sqref="R31">
    <cfRule type="expression" priority="14" aboveAverage="0" equalAverage="0" bottom="0" percent="0" rank="0" text="" dxfId="12">
      <formula>OR(R31="READY",R31="COMPLETE",R31="MET",R31="Y")</formula>
    </cfRule>
    <cfRule type="expression" priority="15" aboveAverage="0" equalAverage="0" bottom="0" percent="0" rank="0" text="" dxfId="13">
      <formula>R31="IN PROGRESS"</formula>
    </cfRule>
    <cfRule type="expression" priority="16" aboveAverage="0" equalAverage="0" bottom="0" percent="0" rank="0" text="" dxfId="14">
      <formula>OR(R31="NOT READY",R31="NOT STARTED",R31="BELOW",R31="N",R31="NOT MET")</formula>
    </cfRule>
  </conditionalFormatting>
  <conditionalFormatting sqref="E36:E48">
    <cfRule type="expression" priority="17" aboveAverage="0" equalAverage="0" bottom="0" percent="0" rank="0" text="" dxfId="7">
      <formula>AND(ISNUMBER(E36),E36&gt;=0.9)</formula>
    </cfRule>
    <cfRule type="expression" priority="18" aboveAverage="0" equalAverage="0" bottom="0" percent="0" rank="0" text="" dxfId="8">
      <formula>AND(ISNUMBER(E36),E36&gt;=0.8,E36&lt;0.9)</formula>
    </cfRule>
    <cfRule type="expression" priority="19" aboveAverage="0" equalAverage="0" bottom="0" percent="0" rank="0" text="" dxfId="9">
      <formula>AND(ISNUMBER(E36),E36&lt;0.8)</formula>
    </cfRule>
  </conditionalFormatting>
  <conditionalFormatting sqref="H36:H48">
    <cfRule type="expression" priority="20" aboveAverage="0" equalAverage="0" bottom="0" percent="0" rank="0" text="" dxfId="7">
      <formula>AND(ISNUMBER(H36),H36&gt;=0.9)</formula>
    </cfRule>
    <cfRule type="expression" priority="21" aboveAverage="0" equalAverage="0" bottom="0" percent="0" rank="0" text="" dxfId="8">
      <formula>AND(ISNUMBER(H36),H36&gt;=0.8,H36&lt;0.9)</formula>
    </cfRule>
    <cfRule type="expression" priority="22" aboveAverage="0" equalAverage="0" bottom="0" percent="0" rank="0" text="" dxfId="9">
      <formula>AND(ISNUMBER(H36),H36&lt;0.8)</formula>
    </cfRule>
  </conditionalFormatting>
  <conditionalFormatting sqref="K36:K48">
    <cfRule type="expression" priority="23" aboveAverage="0" equalAverage="0" bottom="0" percent="0" rank="0" text="" dxfId="7">
      <formula>AND(ISNUMBER(K36),K36&gt;=0.9)</formula>
    </cfRule>
    <cfRule type="expression" priority="24" aboveAverage="0" equalAverage="0" bottom="0" percent="0" rank="0" text="" dxfId="8">
      <formula>AND(ISNUMBER(K36),K36&gt;=0.8,K36&lt;0.9)</formula>
    </cfRule>
    <cfRule type="expression" priority="25" aboveAverage="0" equalAverage="0" bottom="0" percent="0" rank="0" text="" dxfId="9">
      <formula>AND(ISNUMBER(K36),K36&lt;0.8)</formula>
    </cfRule>
  </conditionalFormatting>
  <conditionalFormatting sqref="N36:N48">
    <cfRule type="expression" priority="26" aboveAverage="0" equalAverage="0" bottom="0" percent="0" rank="0" text="" dxfId="7">
      <formula>AND(ISNUMBER(N36),N36&gt;=0.9)</formula>
    </cfRule>
    <cfRule type="expression" priority="27" aboveAverage="0" equalAverage="0" bottom="0" percent="0" rank="0" text="" dxfId="8">
      <formula>AND(ISNUMBER(N36),N36&gt;=0.8,N36&lt;0.9)</formula>
    </cfRule>
    <cfRule type="expression" priority="28" aboveAverage="0" equalAverage="0" bottom="0" percent="0" rank="0" text="" dxfId="9">
      <formula>AND(ISNUMBER(N36),N36&lt;0.8)</formula>
    </cfRule>
  </conditionalFormatting>
  <conditionalFormatting sqref="Q36:Q48">
    <cfRule type="expression" priority="29" aboveAverage="0" equalAverage="0" bottom="0" percent="0" rank="0" text="" dxfId="7">
      <formula>AND(ISNUMBER(Q36),Q36&gt;=0.9)</formula>
    </cfRule>
    <cfRule type="expression" priority="30" aboveAverage="0" equalAverage="0" bottom="0" percent="0" rank="0" text="" dxfId="8">
      <formula>AND(ISNUMBER(Q36),Q36&gt;=0.8,Q36&lt;0.9)</formula>
    </cfRule>
    <cfRule type="expression" priority="31" aboveAverage="0" equalAverage="0" bottom="0" percent="0" rank="0" text="" dxfId="9">
      <formula>AND(ISNUMBER(Q36),Q36&lt;0.8)</formula>
    </cfRule>
  </conditionalFormatting>
  <conditionalFormatting sqref="T36:T48">
    <cfRule type="expression" priority="32" aboveAverage="0" equalAverage="0" bottom="0" percent="0" rank="0" text="" dxfId="7">
      <formula>AND(ISNUMBER(T36),T36&gt;=0.9)</formula>
    </cfRule>
    <cfRule type="expression" priority="33" aboveAverage="0" equalAverage="0" bottom="0" percent="0" rank="0" text="" dxfId="8">
      <formula>AND(ISNUMBER(T36),T36&gt;=0.8,T36&lt;0.9)</formula>
    </cfRule>
    <cfRule type="expression" priority="34" aboveAverage="0" equalAverage="0" bottom="0" percent="0" rank="0" text="" dxfId="9">
      <formula>AND(ISNUMBER(T36),T36&lt;0.8)</formula>
    </cfRule>
  </conditionalFormatting>
  <conditionalFormatting sqref="W36:W48">
    <cfRule type="expression" priority="35" aboveAverage="0" equalAverage="0" bottom="0" percent="0" rank="0" text="" dxfId="7">
      <formula>AND(ISNUMBER(W36),W36&gt;=0.9)</formula>
    </cfRule>
    <cfRule type="expression" priority="36" aboveAverage="0" equalAverage="0" bottom="0" percent="0" rank="0" text="" dxfId="8">
      <formula>AND(ISNUMBER(W36),W36&gt;=0.8,W36&lt;0.9)</formula>
    </cfRule>
    <cfRule type="expression" priority="37" aboveAverage="0" equalAverage="0" bottom="0" percent="0" rank="0" text="" dxfId="9">
      <formula>AND(ISNUMBER(W36),W36&lt;0.8)</formula>
    </cfRule>
  </conditionalFormatting>
  <conditionalFormatting sqref="Z36:Z48">
    <cfRule type="expression" priority="38" aboveAverage="0" equalAverage="0" bottom="0" percent="0" rank="0" text="" dxfId="7">
      <formula>AND(ISNUMBER(Z36),Z36&gt;=0.9)</formula>
    </cfRule>
    <cfRule type="expression" priority="39" aboveAverage="0" equalAverage="0" bottom="0" percent="0" rank="0" text="" dxfId="8">
      <formula>AND(ISNUMBER(Z36),Z36&gt;=0.8,Z36&lt;0.9)</formula>
    </cfRule>
    <cfRule type="expression" priority="40" aboveAverage="0" equalAverage="0" bottom="0" percent="0" rank="0" text="" dxfId="9">
      <formula>AND(ISNUMBER(Z36),Z36&lt;0.8)</formula>
    </cfRule>
  </conditionalFormatting>
  <conditionalFormatting sqref="E54:E66">
    <cfRule type="expression" priority="41" aboveAverage="0" equalAverage="0" bottom="0" percent="0" rank="0" text="" dxfId="7">
      <formula>AND(ISNUMBER(E54),E54&gt;=0.9)</formula>
    </cfRule>
    <cfRule type="expression" priority="42" aboveAverage="0" equalAverage="0" bottom="0" percent="0" rank="0" text="" dxfId="8">
      <formula>AND(ISNUMBER(E54),E54&gt;=0.8,E54&lt;0.9)</formula>
    </cfRule>
    <cfRule type="expression" priority="43" aboveAverage="0" equalAverage="0" bottom="0" percent="0" rank="0" text="" dxfId="9">
      <formula>AND(ISNUMBER(E54),E54&lt;0.8)</formula>
    </cfRule>
  </conditionalFormatting>
  <conditionalFormatting sqref="H54:H66">
    <cfRule type="expression" priority="44" aboveAverage="0" equalAverage="0" bottom="0" percent="0" rank="0" text="" dxfId="7">
      <formula>AND(ISNUMBER(H54),H54&gt;=0.9)</formula>
    </cfRule>
    <cfRule type="expression" priority="45" aboveAverage="0" equalAverage="0" bottom="0" percent="0" rank="0" text="" dxfId="8">
      <formula>AND(ISNUMBER(H54),H54&gt;=0.8,H54&lt;0.9)</formula>
    </cfRule>
    <cfRule type="expression" priority="46" aboveAverage="0" equalAverage="0" bottom="0" percent="0" rank="0" text="" dxfId="9">
      <formula>AND(ISNUMBER(H54),H54&lt;0.8)</formula>
    </cfRule>
  </conditionalFormatting>
  <conditionalFormatting sqref="K54:K66">
    <cfRule type="expression" priority="47" aboveAverage="0" equalAverage="0" bottom="0" percent="0" rank="0" text="" dxfId="7">
      <formula>AND(ISNUMBER(K54),K54&gt;=0.9)</formula>
    </cfRule>
    <cfRule type="expression" priority="48" aboveAverage="0" equalAverage="0" bottom="0" percent="0" rank="0" text="" dxfId="8">
      <formula>AND(ISNUMBER(K54),K54&gt;=0.8,K54&lt;0.9)</formula>
    </cfRule>
    <cfRule type="expression" priority="49" aboveAverage="0" equalAverage="0" bottom="0" percent="0" rank="0" text="" dxfId="9">
      <formula>AND(ISNUMBER(K54),K54&lt;0.8)</formula>
    </cfRule>
  </conditionalFormatting>
  <conditionalFormatting sqref="N54:N66">
    <cfRule type="expression" priority="50" aboveAverage="0" equalAverage="0" bottom="0" percent="0" rank="0" text="" dxfId="7">
      <formula>AND(ISNUMBER(N54),N54&gt;=0.9)</formula>
    </cfRule>
    <cfRule type="expression" priority="51" aboveAverage="0" equalAverage="0" bottom="0" percent="0" rank="0" text="" dxfId="8">
      <formula>AND(ISNUMBER(N54),N54&gt;=0.8,N54&lt;0.9)</formula>
    </cfRule>
    <cfRule type="expression" priority="52" aboveAverage="0" equalAverage="0" bottom="0" percent="0" rank="0" text="" dxfId="9">
      <formula>AND(ISNUMBER(N54),N54&lt;0.8)</formula>
    </cfRule>
  </conditionalFormatting>
  <conditionalFormatting sqref="Q54:Q66">
    <cfRule type="expression" priority="53" aboveAverage="0" equalAverage="0" bottom="0" percent="0" rank="0" text="" dxfId="7">
      <formula>AND(ISNUMBER(Q54),Q54&gt;=0.9)</formula>
    </cfRule>
    <cfRule type="expression" priority="54" aboveAverage="0" equalAverage="0" bottom="0" percent="0" rank="0" text="" dxfId="8">
      <formula>AND(ISNUMBER(Q54),Q54&gt;=0.8,Q54&lt;0.9)</formula>
    </cfRule>
    <cfRule type="expression" priority="55" aboveAverage="0" equalAverage="0" bottom="0" percent="0" rank="0" text="" dxfId="9">
      <formula>AND(ISNUMBER(Q54),Q54&lt;0.8)</formula>
    </cfRule>
  </conditionalFormatting>
  <conditionalFormatting sqref="T54:T66">
    <cfRule type="expression" priority="56" aboveAverage="0" equalAverage="0" bottom="0" percent="0" rank="0" text="" dxfId="7">
      <formula>AND(ISNUMBER(T54),T54&gt;=0.9)</formula>
    </cfRule>
    <cfRule type="expression" priority="57" aboveAverage="0" equalAverage="0" bottom="0" percent="0" rank="0" text="" dxfId="8">
      <formula>AND(ISNUMBER(T54),T54&gt;=0.8,T54&lt;0.9)</formula>
    </cfRule>
    <cfRule type="expression" priority="58" aboveAverage="0" equalAverage="0" bottom="0" percent="0" rank="0" text="" dxfId="9">
      <formula>AND(ISNUMBER(T54),T54&lt;0.8)</formula>
    </cfRule>
  </conditionalFormatting>
  <conditionalFormatting sqref="W54:W66">
    <cfRule type="expression" priority="59" aboveAverage="0" equalAverage="0" bottom="0" percent="0" rank="0" text="" dxfId="7">
      <formula>AND(ISNUMBER(W54),W54&gt;=0.9)</formula>
    </cfRule>
    <cfRule type="expression" priority="60" aboveAverage="0" equalAverage="0" bottom="0" percent="0" rank="0" text="" dxfId="8">
      <formula>AND(ISNUMBER(W54),W54&gt;=0.8,W54&lt;0.9)</formula>
    </cfRule>
    <cfRule type="expression" priority="61" aboveAverage="0" equalAverage="0" bottom="0" percent="0" rank="0" text="" dxfId="9">
      <formula>AND(ISNUMBER(W54),W54&lt;0.8)</formula>
    </cfRule>
  </conditionalFormatting>
  <conditionalFormatting sqref="Z54:Z66">
    <cfRule type="expression" priority="62" aboveAverage="0" equalAverage="0" bottom="0" percent="0" rank="0" text="" dxfId="7">
      <formula>AND(ISNUMBER(Z54),Z54&gt;=0.9)</formula>
    </cfRule>
    <cfRule type="expression" priority="63" aboveAverage="0" equalAverage="0" bottom="0" percent="0" rank="0" text="" dxfId="8">
      <formula>AND(ISNUMBER(Z54),Z54&gt;=0.8,Z54&lt;0.9)</formula>
    </cfRule>
    <cfRule type="expression" priority="64" aboveAverage="0" equalAverage="0" bottom="0" percent="0" rank="0" text="" dxfId="9">
      <formula>AND(ISNUMBER(Z54),Z54&lt;0.8)</formula>
    </cfRule>
  </conditionalFormatting>
  <conditionalFormatting sqref="E72:E84">
    <cfRule type="expression" priority="65" aboveAverage="0" equalAverage="0" bottom="0" percent="0" rank="0" text="" dxfId="7">
      <formula>AND(ISNUMBER(E72),E72&gt;=0.9)</formula>
    </cfRule>
    <cfRule type="expression" priority="66" aboveAverage="0" equalAverage="0" bottom="0" percent="0" rank="0" text="" dxfId="8">
      <formula>AND(ISNUMBER(E72),E72&gt;=0.8,E72&lt;0.9)</formula>
    </cfRule>
    <cfRule type="expression" priority="67" aboveAverage="0" equalAverage="0" bottom="0" percent="0" rank="0" text="" dxfId="9">
      <formula>AND(ISNUMBER(E72),E72&lt;0.8)</formula>
    </cfRule>
  </conditionalFormatting>
  <conditionalFormatting sqref="H72:H84">
    <cfRule type="expression" priority="68" aboveAverage="0" equalAverage="0" bottom="0" percent="0" rank="0" text="" dxfId="7">
      <formula>AND(ISNUMBER(H72),H72&gt;=0.9)</formula>
    </cfRule>
    <cfRule type="expression" priority="69" aboveAverage="0" equalAverage="0" bottom="0" percent="0" rank="0" text="" dxfId="8">
      <formula>AND(ISNUMBER(H72),H72&gt;=0.8,H72&lt;0.9)</formula>
    </cfRule>
    <cfRule type="expression" priority="70" aboveAverage="0" equalAverage="0" bottom="0" percent="0" rank="0" text="" dxfId="9">
      <formula>AND(ISNUMBER(H72),H72&lt;0.8)</formula>
    </cfRule>
  </conditionalFormatting>
  <conditionalFormatting sqref="K72:K84">
    <cfRule type="expression" priority="71" aboveAverage="0" equalAverage="0" bottom="0" percent="0" rank="0" text="" dxfId="7">
      <formula>AND(ISNUMBER(K72),K72&gt;=0.9)</formula>
    </cfRule>
    <cfRule type="expression" priority="72" aboveAverage="0" equalAverage="0" bottom="0" percent="0" rank="0" text="" dxfId="8">
      <formula>AND(ISNUMBER(K72),K72&gt;=0.8,K72&lt;0.9)</formula>
    </cfRule>
    <cfRule type="expression" priority="73" aboveAverage="0" equalAverage="0" bottom="0" percent="0" rank="0" text="" dxfId="9">
      <formula>AND(ISNUMBER(K72),K72&lt;0.8)</formula>
    </cfRule>
  </conditionalFormatting>
  <conditionalFormatting sqref="N72:N84">
    <cfRule type="expression" priority="74" aboveAverage="0" equalAverage="0" bottom="0" percent="0" rank="0" text="" dxfId="7">
      <formula>AND(ISNUMBER(N72),N72&gt;=0.9)</formula>
    </cfRule>
    <cfRule type="expression" priority="75" aboveAverage="0" equalAverage="0" bottom="0" percent="0" rank="0" text="" dxfId="8">
      <formula>AND(ISNUMBER(N72),N72&gt;=0.8,N72&lt;0.9)</formula>
    </cfRule>
    <cfRule type="expression" priority="76" aboveAverage="0" equalAverage="0" bottom="0" percent="0" rank="0" text="" dxfId="9">
      <formula>AND(ISNUMBER(N72),N72&lt;0.8)</formula>
    </cfRule>
  </conditionalFormatting>
  <conditionalFormatting sqref="Q72:Q84">
    <cfRule type="expression" priority="77" aboveAverage="0" equalAverage="0" bottom="0" percent="0" rank="0" text="" dxfId="7">
      <formula>AND(ISNUMBER(Q72),Q72&gt;=0.9)</formula>
    </cfRule>
    <cfRule type="expression" priority="78" aboveAverage="0" equalAverage="0" bottom="0" percent="0" rank="0" text="" dxfId="8">
      <formula>AND(ISNUMBER(Q72),Q72&gt;=0.8,Q72&lt;0.9)</formula>
    </cfRule>
    <cfRule type="expression" priority="79" aboveAverage="0" equalAverage="0" bottom="0" percent="0" rank="0" text="" dxfId="9">
      <formula>AND(ISNUMBER(Q72),Q72&lt;0.8)</formula>
    </cfRule>
  </conditionalFormatting>
  <conditionalFormatting sqref="T72:T84">
    <cfRule type="expression" priority="80" aboveAverage="0" equalAverage="0" bottom="0" percent="0" rank="0" text="" dxfId="7">
      <formula>AND(ISNUMBER(T72),T72&gt;=0.9)</formula>
    </cfRule>
    <cfRule type="expression" priority="81" aboveAverage="0" equalAverage="0" bottom="0" percent="0" rank="0" text="" dxfId="8">
      <formula>AND(ISNUMBER(T72),T72&gt;=0.8,T72&lt;0.9)</formula>
    </cfRule>
    <cfRule type="expression" priority="82" aboveAverage="0" equalAverage="0" bottom="0" percent="0" rank="0" text="" dxfId="9">
      <formula>AND(ISNUMBER(T72),T72&lt;0.8)</formula>
    </cfRule>
  </conditionalFormatting>
  <conditionalFormatting sqref="W72:W84">
    <cfRule type="expression" priority="83" aboveAverage="0" equalAverage="0" bottom="0" percent="0" rank="0" text="" dxfId="7">
      <formula>AND(ISNUMBER(W72),W72&gt;=0.9)</formula>
    </cfRule>
    <cfRule type="expression" priority="84" aboveAverage="0" equalAverage="0" bottom="0" percent="0" rank="0" text="" dxfId="8">
      <formula>AND(ISNUMBER(W72),W72&gt;=0.8,W72&lt;0.9)</formula>
    </cfRule>
    <cfRule type="expression" priority="85" aboveAverage="0" equalAverage="0" bottom="0" percent="0" rank="0" text="" dxfId="9">
      <formula>AND(ISNUMBER(W72),W72&lt;0.8)</formula>
    </cfRule>
  </conditionalFormatting>
  <conditionalFormatting sqref="Z72:Z84">
    <cfRule type="expression" priority="86" aboveAverage="0" equalAverage="0" bottom="0" percent="0" rank="0" text="" dxfId="7">
      <formula>AND(ISNUMBER(Z72),Z72&gt;=0.9)</formula>
    </cfRule>
    <cfRule type="expression" priority="87" aboveAverage="0" equalAverage="0" bottom="0" percent="0" rank="0" text="" dxfId="8">
      <formula>AND(ISNUMBER(Z72),Z72&gt;=0.8,Z72&lt;0.9)</formula>
    </cfRule>
    <cfRule type="expression" priority="88" aboveAverage="0" equalAverage="0" bottom="0" percent="0" rank="0" text="" dxfId="9">
      <formula>AND(ISNUMBER(Z72),Z72&lt;0.8)</formula>
    </cfRule>
  </conditionalFormatting>
  <dataValidations count="4">
    <dataValidation allowBlank="true" errorStyle="stop" operator="between" showDropDown="false" showErrorMessage="false" showInputMessage="false" sqref="K6:K23" type="list">
      <formula1>$L$109:$L$139</formula1>
      <formula2>0</formula2>
    </dataValidation>
    <dataValidation allowBlank="true" errorStyle="stop" operator="between" showDropDown="false" showErrorMessage="false" showInputMessage="false" sqref="N6:N23" type="list">
      <formula1>"LSI,Injured,L,R"</formula1>
      <formula2>0</formula2>
    </dataValidation>
    <dataValidation allowBlank="true" errorStyle="stop" operator="between" showDropDown="false" showErrorMessage="false" showInputMessage="false" sqref="O6:O23" type="list">
      <formula1>"≥,≤"</formula1>
      <formula2>0</formula2>
    </dataValidation>
    <dataValidation allowBlank="true" errorStyle="stop" operator="between" showDropDown="false" showErrorMessage="false" showInputMessage="false" sqref="T6:T23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28A"/>
    <pageSetUpPr fitToPage="false"/>
  </sheetPr>
  <dimension ref="A1:AA16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"/>
    <col collapsed="false" customWidth="true" hidden="false" outlineLevel="0" max="26" min="3" style="0" width="10"/>
    <col collapsed="false" customWidth="true" hidden="false" outlineLevel="0" max="27" min="27" style="0" width="32"/>
  </cols>
  <sheetData>
    <row r="1" customFormat="false" ht="27.75" hidden="false" customHeight="true" outlineLevel="0" collapsed="false">
      <c r="A1" s="53" t="s">
        <v>215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customFormat="false" ht="25.5" hidden="false" customHeight="true" outlineLevel="0" collapsed="false">
      <c r="A2" s="54" t="s">
        <v>216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</row>
    <row r="4" customFormat="false" ht="19.5" hidden="false" customHeight="true" outlineLevel="0" collapsed="false">
      <c r="A4" s="62" t="s">
        <v>92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</row>
    <row r="5" customFormat="false" ht="30" hidden="false" customHeight="true" outlineLevel="0" collapsed="false">
      <c r="A5" s="63" t="s">
        <v>93</v>
      </c>
      <c r="B5" s="63" t="s">
        <v>94</v>
      </c>
      <c r="C5" s="63"/>
      <c r="D5" s="63" t="s">
        <v>95</v>
      </c>
      <c r="E5" s="63"/>
      <c r="F5" s="63"/>
      <c r="G5" s="63"/>
      <c r="H5" s="63"/>
      <c r="I5" s="63"/>
      <c r="J5" s="63"/>
      <c r="K5" s="63" t="s">
        <v>96</v>
      </c>
      <c r="L5" s="63"/>
      <c r="M5" s="63"/>
      <c r="N5" s="63" t="s">
        <v>97</v>
      </c>
      <c r="O5" s="63" t="s">
        <v>98</v>
      </c>
      <c r="P5" s="63" t="s">
        <v>99</v>
      </c>
      <c r="Q5" s="63" t="s">
        <v>100</v>
      </c>
      <c r="R5" s="63"/>
      <c r="S5" s="63" t="s">
        <v>101</v>
      </c>
      <c r="T5" s="63" t="s">
        <v>102</v>
      </c>
      <c r="U5" s="63" t="s">
        <v>103</v>
      </c>
      <c r="V5" s="63" t="s">
        <v>104</v>
      </c>
      <c r="W5" s="63"/>
      <c r="X5" s="63" t="s">
        <v>84</v>
      </c>
      <c r="Y5" s="63"/>
      <c r="Z5" s="63"/>
      <c r="AA5" s="63"/>
    </row>
    <row r="6" customFormat="false" ht="18" hidden="false" customHeight="true" outlineLevel="0" collapsed="false">
      <c r="A6" s="64" t="n">
        <v>1</v>
      </c>
      <c r="B6" s="65" t="s">
        <v>105</v>
      </c>
      <c r="C6" s="65"/>
      <c r="D6" s="58" t="s">
        <v>217</v>
      </c>
      <c r="E6" s="58"/>
      <c r="F6" s="58"/>
      <c r="G6" s="58"/>
      <c r="H6" s="58"/>
      <c r="I6" s="58"/>
      <c r="J6" s="58"/>
      <c r="K6" s="66" t="s">
        <v>107</v>
      </c>
      <c r="L6" s="66"/>
      <c r="M6" s="66"/>
      <c r="N6" s="67"/>
      <c r="O6" s="67" t="s">
        <v>108</v>
      </c>
      <c r="P6" s="67"/>
      <c r="Q6" s="68" t="str">
        <f aca="false">IF(IF(OR($K6="",$K6="Manual"),"",IF(LEFT($K6,4)="GPS:",IFERROR(CHOOSE(MATCH($K6,Lists!$G$3:$G$8,0),GPS!$G$6,GPS!$G$7,GPS!$G$8,GPS!$G$9,GPS!$G$10,GPS!$G$11),""),IFERROR(IF($N6="LSI",INDEX($I$109:$I$132,MATCH($K6,$C$109:$C$132,0)),IF($N6="L",INDEX($G$109:$G$132,MATCH($K6,$C$109:$C$132,0)),IF($N6="R",INDEX($H$109:$H$132,MATCH($K6,$C$109:$C$132,0)),IF(Dashboard!$K$5="L",INDEX($G$109:$G$132,MATCH($K6,$C$109:$C$132,0)),IF(Dashboard!$K$5="R",INDEX($H$109:$H$132,MATCH($K6,$C$109:$C$132,0)),""))))),"")))="","",IF(OR($N6="LSI",LEFT($K6,4)="GPS:"),TEXT(IF(OR($K6="",$K6="Manual"),"",IF(LEFT($K6,4)="GPS:",IFERROR(CHOOSE(MATCH($K6,Lists!$G$3:$G$8,0),GPS!$G$6,GPS!$G$7,GPS!$G$8,GPS!$G$9,GPS!$G$10,GPS!$G$11),""),IFERROR(IF($N6="LSI",INDEX($I$109:$I$132,MATCH($K6,$C$109:$C$132,0)),IF($N6="L",INDEX($G$109:$G$132,MATCH($K6,$C$109:$C$132,0)),IF($N6="R",INDEX($H$109:$H$132,MATCH($K6,$C$109:$C$132,0)),IF(Dashboard!$K$5="L",INDEX($G$109:$G$132,MATCH($K6,$C$109:$C$132,0)),IF(Dashboard!$K$5="R",INDEX($H$109:$H$132,MATCH($K6,$C$109:$C$132,0)),""))))),""))),"0%"),TEXT(IF(OR($K6="",$K6="Manual"),"",IF(LEFT($K6,4)="GPS:",IFERROR(CHOOSE(MATCH($K6,Lists!$G$3:$G$8,0),GPS!$G$6,GPS!$G$7,GPS!$G$8,GPS!$G$9,GPS!$G$10,GPS!$G$11),""),IFERROR(IF($N6="LSI",INDEX($I$109:$I$132,MATCH($K6,$C$109:$C$132,0)),IF($N6="L",INDEX($G$109:$G$132,MATCH($K6,$C$109:$C$132,0)),IF($N6="R",INDEX($H$109:$H$132,MATCH($K6,$C$109:$C$132,0)),IF(Dashboard!$K$5="L",INDEX($G$109:$G$132,MATCH($K6,$C$109:$C$132,0)),IF(Dashboard!$K$5="R",INDEX($H$109:$H$132,MATCH($K6,$C$109:$C$132,0)),""))))),""))),"0.0")))</f>
        <v/>
      </c>
      <c r="R6" s="68"/>
      <c r="S6" s="69" t="str">
        <f aca="false">IF(OR(IF(OR($K6="",$K6="Manual"),"",IF(LEFT($K6,4)="GPS:",IFERROR(CHOOSE(MATCH($K6,Lists!$G$3:$G$8,0),GPS!$G$6,GPS!$G$7,GPS!$G$8,GPS!$G$9,GPS!$G$10,GPS!$G$11),""),IFERROR(IF($N6="LSI",INDEX($I$109:$I$132,MATCH($K6,$C$109:$C$132,0)),IF($N6="L",INDEX($G$109:$G$132,MATCH($K6,$C$109:$C$132,0)),IF($N6="R",INDEX($H$109:$H$132,MATCH($K6,$C$109:$C$132,0)),IF(Dashboard!$K$5="L",INDEX($G$109:$G$132,MATCH($K6,$C$109:$C$132,0)),IF(Dashboard!$K$5="R",INDEX($H$109:$H$132,MATCH($K6,$C$109:$C$132,0)),""))))),"")))="",$P6=""),"",IF(IF($O6="≤",IF(OR($K6="",$K6="Manual"),"",IF(LEFT($K6,4)="GPS:",IFERROR(CHOOSE(MATCH($K6,Lists!$G$3:$G$8,0),GPS!$G$6,GPS!$G$7,GPS!$G$8,GPS!$G$9,GPS!$G$10,GPS!$G$11),""),IFERROR(IF($N6="LSI",INDEX($I$109:$I$132,MATCH($K6,$C$109:$C$132,0)),IF($N6="L",INDEX($G$109:$G$132,MATCH($K6,$C$109:$C$132,0)),IF($N6="R",INDEX($H$109:$H$132,MATCH($K6,$C$109:$C$132,0)),IF(Dashboard!$K$5="L",INDEX($G$109:$G$132,MATCH($K6,$C$109:$C$132,0)),IF(Dashboard!$K$5="R",INDEX($H$109:$H$132,MATCH($K6,$C$109:$C$132,0)),""))))),"")))&lt;=$P6,IF(OR($K6="",$K6="Manual"),"",IF(LEFT($K6,4)="GPS:",IFERROR(CHOOSE(MATCH($K6,Lists!$G$3:$G$8,0),GPS!$G$6,GPS!$G$7,GPS!$G$8,GPS!$G$9,GPS!$G$10,GPS!$G$11),""),IFERROR(IF($N6="LSI",INDEX($I$109:$I$132,MATCH($K6,$C$109:$C$132,0)),IF($N6="L",INDEX($G$109:$G$132,MATCH($K6,$C$109:$C$132,0)),IF($N6="R",INDEX($H$109:$H$132,MATCH($K6,$C$109:$C$132,0)),IF(Dashboard!$K$5="L",INDEX($G$109:$G$132,MATCH($K6,$C$109:$C$132,0)),IF(Dashboard!$K$5="R",INDEX($H$109:$H$132,MATCH($K6,$C$109:$C$132,0)),""))))),"")))&gt;=$P6),"MET","NOT MET"))</f>
        <v/>
      </c>
      <c r="T6" s="7" t="s">
        <v>218</v>
      </c>
      <c r="U6" s="68" t="str">
        <f aca="false">IF($T6&lt;&gt;"",$T6,IF($S6="MET","Y",IF($S6="NOT MET","N","")))</f>
        <v>Y</v>
      </c>
      <c r="V6" s="70" t="str">
        <f aca="false">IF($U6="Y",IFERROR(IF(LEFT($K6,4)="GPS:","",INDEX($J$109:$J$132,MATCH($K6,$C$109:$C$132,0))),""),"")</f>
        <v/>
      </c>
      <c r="W6" s="70"/>
      <c r="X6" s="58"/>
      <c r="Y6" s="58"/>
      <c r="Z6" s="58"/>
      <c r="AA6" s="58"/>
    </row>
    <row r="7" customFormat="false" ht="18" hidden="false" customHeight="true" outlineLevel="0" collapsed="false">
      <c r="A7" s="64" t="n">
        <v>2</v>
      </c>
      <c r="B7" s="65"/>
      <c r="C7" s="65"/>
      <c r="D7" s="58" t="s">
        <v>219</v>
      </c>
      <c r="E7" s="58"/>
      <c r="F7" s="58"/>
      <c r="G7" s="58"/>
      <c r="H7" s="58"/>
      <c r="I7" s="58"/>
      <c r="J7" s="58"/>
      <c r="K7" s="66" t="s">
        <v>107</v>
      </c>
      <c r="L7" s="66"/>
      <c r="M7" s="66"/>
      <c r="N7" s="67"/>
      <c r="O7" s="67" t="s">
        <v>108</v>
      </c>
      <c r="P7" s="67"/>
      <c r="Q7" s="68" t="str">
        <f aca="false">IF(IF(OR($K7="",$K7="Manual"),"",IF(LEFT($K7,4)="GPS:",IFERROR(CHOOSE(MATCH($K7,Lists!$G$3:$G$8,0),GPS!$G$6,GPS!$G$7,GPS!$G$8,GPS!$G$9,GPS!$G$10,GPS!$G$11),""),IFERROR(IF($N7="LSI",INDEX($I$109:$I$132,MATCH($K7,$C$109:$C$132,0)),IF($N7="L",INDEX($G$109:$G$132,MATCH($K7,$C$109:$C$132,0)),IF($N7="R",INDEX($H$109:$H$132,MATCH($K7,$C$109:$C$132,0)),IF(Dashboard!$K$5="L",INDEX($G$109:$G$132,MATCH($K7,$C$109:$C$132,0)),IF(Dashboard!$K$5="R",INDEX($H$109:$H$132,MATCH($K7,$C$109:$C$132,0)),""))))),"")))="","",IF(OR($N7="LSI",LEFT($K7,4)="GPS:"),TEXT(IF(OR($K7="",$K7="Manual"),"",IF(LEFT($K7,4)="GPS:",IFERROR(CHOOSE(MATCH($K7,Lists!$G$3:$G$8,0),GPS!$G$6,GPS!$G$7,GPS!$G$8,GPS!$G$9,GPS!$G$10,GPS!$G$11),""),IFERROR(IF($N7="LSI",INDEX($I$109:$I$132,MATCH($K7,$C$109:$C$132,0)),IF($N7="L",INDEX($G$109:$G$132,MATCH($K7,$C$109:$C$132,0)),IF($N7="R",INDEX($H$109:$H$132,MATCH($K7,$C$109:$C$132,0)),IF(Dashboard!$K$5="L",INDEX($G$109:$G$132,MATCH($K7,$C$109:$C$132,0)),IF(Dashboard!$K$5="R",INDEX($H$109:$H$132,MATCH($K7,$C$109:$C$132,0)),""))))),""))),"0%"),TEXT(IF(OR($K7="",$K7="Manual"),"",IF(LEFT($K7,4)="GPS:",IFERROR(CHOOSE(MATCH($K7,Lists!$G$3:$G$8,0),GPS!$G$6,GPS!$G$7,GPS!$G$8,GPS!$G$9,GPS!$G$10,GPS!$G$11),""),IFERROR(IF($N7="LSI",INDEX($I$109:$I$132,MATCH($K7,$C$109:$C$132,0)),IF($N7="L",INDEX($G$109:$G$132,MATCH($K7,$C$109:$C$132,0)),IF($N7="R",INDEX($H$109:$H$132,MATCH($K7,$C$109:$C$132,0)),IF(Dashboard!$K$5="L",INDEX($G$109:$G$132,MATCH($K7,$C$109:$C$132,0)),IF(Dashboard!$K$5="R",INDEX($H$109:$H$132,MATCH($K7,$C$109:$C$132,0)),""))))),""))),"0.0")))</f>
        <v/>
      </c>
      <c r="R7" s="68"/>
      <c r="S7" s="69" t="str">
        <f aca="false">IF(OR(IF(OR($K7="",$K7="Manual"),"",IF(LEFT($K7,4)="GPS:",IFERROR(CHOOSE(MATCH($K7,Lists!$G$3:$G$8,0),GPS!$G$6,GPS!$G$7,GPS!$G$8,GPS!$G$9,GPS!$G$10,GPS!$G$11),""),IFERROR(IF($N7="LSI",INDEX($I$109:$I$132,MATCH($K7,$C$109:$C$132,0)),IF($N7="L",INDEX($G$109:$G$132,MATCH($K7,$C$109:$C$132,0)),IF($N7="R",INDEX($H$109:$H$132,MATCH($K7,$C$109:$C$132,0)),IF(Dashboard!$K$5="L",INDEX($G$109:$G$132,MATCH($K7,$C$109:$C$132,0)),IF(Dashboard!$K$5="R",INDEX($H$109:$H$132,MATCH($K7,$C$109:$C$132,0)),""))))),"")))="",$P7=""),"",IF(IF($O7="≤",IF(OR($K7="",$K7="Manual"),"",IF(LEFT($K7,4)="GPS:",IFERROR(CHOOSE(MATCH($K7,Lists!$G$3:$G$8,0),GPS!$G$6,GPS!$G$7,GPS!$G$8,GPS!$G$9,GPS!$G$10,GPS!$G$11),""),IFERROR(IF($N7="LSI",INDEX($I$109:$I$132,MATCH($K7,$C$109:$C$132,0)),IF($N7="L",INDEX($G$109:$G$132,MATCH($K7,$C$109:$C$132,0)),IF($N7="R",INDEX($H$109:$H$132,MATCH($K7,$C$109:$C$132,0)),IF(Dashboard!$K$5="L",INDEX($G$109:$G$132,MATCH($K7,$C$109:$C$132,0)),IF(Dashboard!$K$5="R",INDEX($H$109:$H$132,MATCH($K7,$C$109:$C$132,0)),""))))),"")))&lt;=$P7,IF(OR($K7="",$K7="Manual"),"",IF(LEFT($K7,4)="GPS:",IFERROR(CHOOSE(MATCH($K7,Lists!$G$3:$G$8,0),GPS!$G$6,GPS!$G$7,GPS!$G$8,GPS!$G$9,GPS!$G$10,GPS!$G$11),""),IFERROR(IF($N7="LSI",INDEX($I$109:$I$132,MATCH($K7,$C$109:$C$132,0)),IF($N7="L",INDEX($G$109:$G$132,MATCH($K7,$C$109:$C$132,0)),IF($N7="R",INDEX($H$109:$H$132,MATCH($K7,$C$109:$C$132,0)),IF(Dashboard!$K$5="L",INDEX($G$109:$G$132,MATCH($K7,$C$109:$C$132,0)),IF(Dashboard!$K$5="R",INDEX($H$109:$H$132,MATCH($K7,$C$109:$C$132,0)),""))))),"")))&gt;=$P7),"MET","NOT MET"))</f>
        <v/>
      </c>
      <c r="T7" s="7" t="s">
        <v>218</v>
      </c>
      <c r="U7" s="68" t="str">
        <f aca="false">IF($T7&lt;&gt;"",$T7,IF($S7="MET","Y",IF($S7="NOT MET","N","")))</f>
        <v>Y</v>
      </c>
      <c r="V7" s="70" t="str">
        <f aca="false">IF($U7="Y",IFERROR(IF(LEFT($K7,4)="GPS:","",INDEX($J$109:$J$132,MATCH($K7,$C$109:$C$132,0))),""),"")</f>
        <v/>
      </c>
      <c r="W7" s="70"/>
      <c r="X7" s="58"/>
      <c r="Y7" s="58"/>
      <c r="Z7" s="58"/>
      <c r="AA7" s="58"/>
    </row>
    <row r="8" customFormat="false" ht="18" hidden="false" customHeight="true" outlineLevel="0" collapsed="false">
      <c r="A8" s="64" t="n">
        <v>3</v>
      </c>
      <c r="B8" s="65"/>
      <c r="C8" s="65"/>
      <c r="D8" s="58"/>
      <c r="E8" s="58"/>
      <c r="F8" s="58"/>
      <c r="G8" s="58"/>
      <c r="H8" s="58"/>
      <c r="I8" s="58"/>
      <c r="J8" s="58"/>
      <c r="K8" s="66"/>
      <c r="L8" s="66"/>
      <c r="M8" s="66"/>
      <c r="N8" s="67"/>
      <c r="O8" s="67" t="s">
        <v>108</v>
      </c>
      <c r="P8" s="67"/>
      <c r="Q8" s="68" t="str">
        <f aca="false">IF(IF(OR($K8="",$K8="Manual"),"",IF(LEFT($K8,4)="GPS:",IFERROR(CHOOSE(MATCH($K8,Lists!$G$3:$G$8,0),GPS!$G$6,GPS!$G$7,GPS!$G$8,GPS!$G$9,GPS!$G$10,GPS!$G$11),""),IFERROR(IF($N8="LSI",INDEX($I$109:$I$132,MATCH($K8,$C$109:$C$132,0)),IF($N8="L",INDEX($G$109:$G$132,MATCH($K8,$C$109:$C$132,0)),IF($N8="R",INDEX($H$109:$H$132,MATCH($K8,$C$109:$C$132,0)),IF(Dashboard!$K$5="L",INDEX($G$109:$G$132,MATCH($K8,$C$109:$C$132,0)),IF(Dashboard!$K$5="R",INDEX($H$109:$H$132,MATCH($K8,$C$109:$C$132,0)),""))))),"")))="","",IF(OR($N8="LSI",LEFT($K8,4)="GPS:"),TEXT(IF(OR($K8="",$K8="Manual"),"",IF(LEFT($K8,4)="GPS:",IFERROR(CHOOSE(MATCH($K8,Lists!$G$3:$G$8,0),GPS!$G$6,GPS!$G$7,GPS!$G$8,GPS!$G$9,GPS!$G$10,GPS!$G$11),""),IFERROR(IF($N8="LSI",INDEX($I$109:$I$132,MATCH($K8,$C$109:$C$132,0)),IF($N8="L",INDEX($G$109:$G$132,MATCH($K8,$C$109:$C$132,0)),IF($N8="R",INDEX($H$109:$H$132,MATCH($K8,$C$109:$C$132,0)),IF(Dashboard!$K$5="L",INDEX($G$109:$G$132,MATCH($K8,$C$109:$C$132,0)),IF(Dashboard!$K$5="R",INDEX($H$109:$H$132,MATCH($K8,$C$109:$C$132,0)),""))))),""))),"0%"),TEXT(IF(OR($K8="",$K8="Manual"),"",IF(LEFT($K8,4)="GPS:",IFERROR(CHOOSE(MATCH($K8,Lists!$G$3:$G$8,0),GPS!$G$6,GPS!$G$7,GPS!$G$8,GPS!$G$9,GPS!$G$10,GPS!$G$11),""),IFERROR(IF($N8="LSI",INDEX($I$109:$I$132,MATCH($K8,$C$109:$C$132,0)),IF($N8="L",INDEX($G$109:$G$132,MATCH($K8,$C$109:$C$132,0)),IF($N8="R",INDEX($H$109:$H$132,MATCH($K8,$C$109:$C$132,0)),IF(Dashboard!$K$5="L",INDEX($G$109:$G$132,MATCH($K8,$C$109:$C$132,0)),IF(Dashboard!$K$5="R",INDEX($H$109:$H$132,MATCH($K8,$C$109:$C$132,0)),""))))),""))),"0.0")))</f>
        <v/>
      </c>
      <c r="R8" s="68"/>
      <c r="S8" s="69" t="str">
        <f aca="false">IF(OR(IF(OR($K8="",$K8="Manual"),"",IF(LEFT($K8,4)="GPS:",IFERROR(CHOOSE(MATCH($K8,Lists!$G$3:$G$8,0),GPS!$G$6,GPS!$G$7,GPS!$G$8,GPS!$G$9,GPS!$G$10,GPS!$G$11),""),IFERROR(IF($N8="LSI",INDEX($I$109:$I$132,MATCH($K8,$C$109:$C$132,0)),IF($N8="L",INDEX($G$109:$G$132,MATCH($K8,$C$109:$C$132,0)),IF($N8="R",INDEX($H$109:$H$132,MATCH($K8,$C$109:$C$132,0)),IF(Dashboard!$K$5="L",INDEX($G$109:$G$132,MATCH($K8,$C$109:$C$132,0)),IF(Dashboard!$K$5="R",INDEX($H$109:$H$132,MATCH($K8,$C$109:$C$132,0)),""))))),"")))="",$P8=""),"",IF(IF($O8="≤",IF(OR($K8="",$K8="Manual"),"",IF(LEFT($K8,4)="GPS:",IFERROR(CHOOSE(MATCH($K8,Lists!$G$3:$G$8,0),GPS!$G$6,GPS!$G$7,GPS!$G$8,GPS!$G$9,GPS!$G$10,GPS!$G$11),""),IFERROR(IF($N8="LSI",INDEX($I$109:$I$132,MATCH($K8,$C$109:$C$132,0)),IF($N8="L",INDEX($G$109:$G$132,MATCH($K8,$C$109:$C$132,0)),IF($N8="R",INDEX($H$109:$H$132,MATCH($K8,$C$109:$C$132,0)),IF(Dashboard!$K$5="L",INDEX($G$109:$G$132,MATCH($K8,$C$109:$C$132,0)),IF(Dashboard!$K$5="R",INDEX($H$109:$H$132,MATCH($K8,$C$109:$C$132,0)),""))))),"")))&lt;=$P8,IF(OR($K8="",$K8="Manual"),"",IF(LEFT($K8,4)="GPS:",IFERROR(CHOOSE(MATCH($K8,Lists!$G$3:$G$8,0),GPS!$G$6,GPS!$G$7,GPS!$G$8,GPS!$G$9,GPS!$G$10,GPS!$G$11),""),IFERROR(IF($N8="LSI",INDEX($I$109:$I$132,MATCH($K8,$C$109:$C$132,0)),IF($N8="L",INDEX($G$109:$G$132,MATCH($K8,$C$109:$C$132,0)),IF($N8="R",INDEX($H$109:$H$132,MATCH($K8,$C$109:$C$132,0)),IF(Dashboard!$K$5="L",INDEX($G$109:$G$132,MATCH($K8,$C$109:$C$132,0)),IF(Dashboard!$K$5="R",INDEX($H$109:$H$132,MATCH($K8,$C$109:$C$132,0)),""))))),"")))&gt;=$P8),"MET","NOT MET"))</f>
        <v/>
      </c>
      <c r="T8" s="7"/>
      <c r="U8" s="68" t="str">
        <f aca="false">IF($T8&lt;&gt;"",$T8,IF($S8="MET","Y",IF($S8="NOT MET","N","")))</f>
        <v/>
      </c>
      <c r="V8" s="70" t="str">
        <f aca="false">IF($U8="Y",IFERROR(IF(LEFT($K8,4)="GPS:","",INDEX($J$109:$J$132,MATCH($K8,$C$109:$C$132,0))),""),"")</f>
        <v/>
      </c>
      <c r="W8" s="70"/>
      <c r="X8" s="58"/>
      <c r="Y8" s="58"/>
      <c r="Z8" s="58"/>
      <c r="AA8" s="58"/>
    </row>
    <row r="9" customFormat="false" ht="18" hidden="false" customHeight="true" outlineLevel="0" collapsed="false">
      <c r="A9" s="64" t="n">
        <v>4</v>
      </c>
      <c r="B9" s="65" t="s">
        <v>110</v>
      </c>
      <c r="C9" s="65"/>
      <c r="D9" s="58" t="s">
        <v>220</v>
      </c>
      <c r="E9" s="58"/>
      <c r="F9" s="58"/>
      <c r="G9" s="58"/>
      <c r="H9" s="58"/>
      <c r="I9" s="58"/>
      <c r="J9" s="58"/>
      <c r="K9" s="66" t="s">
        <v>221</v>
      </c>
      <c r="L9" s="66"/>
      <c r="M9" s="66"/>
      <c r="N9" s="67" t="s">
        <v>222</v>
      </c>
      <c r="O9" s="67" t="s">
        <v>108</v>
      </c>
      <c r="P9" s="67" t="n">
        <v>120</v>
      </c>
      <c r="Q9" s="68" t="str">
        <f aca="false">IF(IF(OR($K9="",$K9="Manual"),"",IF(LEFT($K9,4)="GPS:",IFERROR(CHOOSE(MATCH($K9,Lists!$G$3:$G$8,0),GPS!$G$6,GPS!$G$7,GPS!$G$8,GPS!$G$9,GPS!$G$10,GPS!$G$11),""),IFERROR(IF($N9="LSI",INDEX($I$109:$I$132,MATCH($K9,$C$109:$C$132,0)),IF($N9="L",INDEX($G$109:$G$132,MATCH($K9,$C$109:$C$132,0)),IF($N9="R",INDEX($H$109:$H$132,MATCH($K9,$C$109:$C$132,0)),IF(Dashboard!$K$5="L",INDEX($G$109:$G$132,MATCH($K9,$C$109:$C$132,0)),IF(Dashboard!$K$5="R",INDEX($H$109:$H$132,MATCH($K9,$C$109:$C$132,0)),""))))),"")))="","",IF(OR($N9="LSI",LEFT($K9,4)="GPS:"),TEXT(IF(OR($K9="",$K9="Manual"),"",IF(LEFT($K9,4)="GPS:",IFERROR(CHOOSE(MATCH($K9,Lists!$G$3:$G$8,0),GPS!$G$6,GPS!$G$7,GPS!$G$8,GPS!$G$9,GPS!$G$10,GPS!$G$11),""),IFERROR(IF($N9="LSI",INDEX($I$109:$I$132,MATCH($K9,$C$109:$C$132,0)),IF($N9="L",INDEX($G$109:$G$132,MATCH($K9,$C$109:$C$132,0)),IF($N9="R",INDEX($H$109:$H$132,MATCH($K9,$C$109:$C$132,0)),IF(Dashboard!$K$5="L",INDEX($G$109:$G$132,MATCH($K9,$C$109:$C$132,0)),IF(Dashboard!$K$5="R",INDEX($H$109:$H$132,MATCH($K9,$C$109:$C$132,0)),""))))),""))),"0%"),TEXT(IF(OR($K9="",$K9="Manual"),"",IF(LEFT($K9,4)="GPS:",IFERROR(CHOOSE(MATCH($K9,Lists!$G$3:$G$8,0),GPS!$G$6,GPS!$G$7,GPS!$G$8,GPS!$G$9,GPS!$G$10,GPS!$G$11),""),IFERROR(IF($N9="LSI",INDEX($I$109:$I$132,MATCH($K9,$C$109:$C$132,0)),IF($N9="L",INDEX($G$109:$G$132,MATCH($K9,$C$109:$C$132,0)),IF($N9="R",INDEX($H$109:$H$132,MATCH($K9,$C$109:$C$132,0)),IF(Dashboard!$K$5="L",INDEX($G$109:$G$132,MATCH($K9,$C$109:$C$132,0)),IF(Dashboard!$K$5="R",INDEX($H$109:$H$132,MATCH($K9,$C$109:$C$132,0)),""))))),""))),"0.0")))</f>
        <v>135.0</v>
      </c>
      <c r="R9" s="68"/>
      <c r="S9" s="69" t="str">
        <f aca="false">IF(OR(IF(OR($K9="",$K9="Manual"),"",IF(LEFT($K9,4)="GPS:",IFERROR(CHOOSE(MATCH($K9,Lists!$G$3:$G$8,0),GPS!$G$6,GPS!$G$7,GPS!$G$8,GPS!$G$9,GPS!$G$10,GPS!$G$11),""),IFERROR(IF($N9="LSI",INDEX($I$109:$I$132,MATCH($K9,$C$109:$C$132,0)),IF($N9="L",INDEX($G$109:$G$132,MATCH($K9,$C$109:$C$132,0)),IF($N9="R",INDEX($H$109:$H$132,MATCH($K9,$C$109:$C$132,0)),IF(Dashboard!$K$5="L",INDEX($G$109:$G$132,MATCH($K9,$C$109:$C$132,0)),IF(Dashboard!$K$5="R",INDEX($H$109:$H$132,MATCH($K9,$C$109:$C$132,0)),""))))),"")))="",$P9=""),"",IF(IF($O9="≤",IF(OR($K9="",$K9="Manual"),"",IF(LEFT($K9,4)="GPS:",IFERROR(CHOOSE(MATCH($K9,Lists!$G$3:$G$8,0),GPS!$G$6,GPS!$G$7,GPS!$G$8,GPS!$G$9,GPS!$G$10,GPS!$G$11),""),IFERROR(IF($N9="LSI",INDEX($I$109:$I$132,MATCH($K9,$C$109:$C$132,0)),IF($N9="L",INDEX($G$109:$G$132,MATCH($K9,$C$109:$C$132,0)),IF($N9="R",INDEX($H$109:$H$132,MATCH($K9,$C$109:$C$132,0)),IF(Dashboard!$K$5="L",INDEX($G$109:$G$132,MATCH($K9,$C$109:$C$132,0)),IF(Dashboard!$K$5="R",INDEX($H$109:$H$132,MATCH($K9,$C$109:$C$132,0)),""))))),"")))&lt;=$P9,IF(OR($K9="",$K9="Manual"),"",IF(LEFT($K9,4)="GPS:",IFERROR(CHOOSE(MATCH($K9,Lists!$G$3:$G$8,0),GPS!$G$6,GPS!$G$7,GPS!$G$8,GPS!$G$9,GPS!$G$10,GPS!$G$11),""),IFERROR(IF($N9="LSI",INDEX($I$109:$I$132,MATCH($K9,$C$109:$C$132,0)),IF($N9="L",INDEX($G$109:$G$132,MATCH($K9,$C$109:$C$132,0)),IF($N9="R",INDEX($H$109:$H$132,MATCH($K9,$C$109:$C$132,0)),IF(Dashboard!$K$5="L",INDEX($G$109:$G$132,MATCH($K9,$C$109:$C$132,0)),IF(Dashboard!$K$5="R",INDEX($H$109:$H$132,MATCH($K9,$C$109:$C$132,0)),""))))),"")))&gt;=$P9),"MET","NOT MET"))</f>
        <v>MET</v>
      </c>
      <c r="T9" s="7"/>
      <c r="U9" s="68" t="str">
        <f aca="false">IF($T9&lt;&gt;"",$T9,IF($S9="MET","Y",IF($S9="NOT MET","N","")))</f>
        <v>Y</v>
      </c>
      <c r="V9" s="70" t="n">
        <f aca="false">IF($U9="Y",IFERROR(IF(LEFT($K9,4)="GPS:","",INDEX($J$109:$J$132,MATCH($K9,$C$109:$C$132,0))),""),"")</f>
        <v>46286</v>
      </c>
      <c r="W9" s="70"/>
      <c r="X9" s="58"/>
      <c r="Y9" s="58"/>
      <c r="Z9" s="58"/>
      <c r="AA9" s="58"/>
    </row>
    <row r="10" customFormat="false" ht="18" hidden="false" customHeight="true" outlineLevel="0" collapsed="false">
      <c r="A10" s="64" t="n">
        <v>5</v>
      </c>
      <c r="B10" s="65"/>
      <c r="C10" s="65"/>
      <c r="D10" s="58" t="s">
        <v>223</v>
      </c>
      <c r="E10" s="58"/>
      <c r="F10" s="58"/>
      <c r="G10" s="58"/>
      <c r="H10" s="58"/>
      <c r="I10" s="58"/>
      <c r="J10" s="58"/>
      <c r="K10" s="66" t="s">
        <v>214</v>
      </c>
      <c r="L10" s="66"/>
      <c r="M10" s="66"/>
      <c r="N10" s="67" t="s">
        <v>50</v>
      </c>
      <c r="O10" s="67" t="s">
        <v>108</v>
      </c>
      <c r="P10" s="67" t="n">
        <v>0.7</v>
      </c>
      <c r="Q10" s="68" t="str">
        <f aca="false">IF(IF(OR($K10="",$K10="Manual"),"",IF(LEFT($K10,4)="GPS:",IFERROR(CHOOSE(MATCH($K10,Lists!$G$3:$G$8,0),GPS!$G$6,GPS!$G$7,GPS!$G$8,GPS!$G$9,GPS!$G$10,GPS!$G$11),""),IFERROR(IF($N10="LSI",INDEX($I$109:$I$132,MATCH($K10,$C$109:$C$132,0)),IF($N10="L",INDEX($G$109:$G$132,MATCH($K10,$C$109:$C$132,0)),IF($N10="R",INDEX($H$109:$H$132,MATCH($K10,$C$109:$C$132,0)),IF(Dashboard!$K$5="L",INDEX($G$109:$G$132,MATCH($K10,$C$109:$C$132,0)),IF(Dashboard!$K$5="R",INDEX($H$109:$H$132,MATCH($K10,$C$109:$C$132,0)),""))))),"")))="","",IF(OR($N10="LSI",LEFT($K10,4)="GPS:"),TEXT(IF(OR($K10="",$K10="Manual"),"",IF(LEFT($K10,4)="GPS:",IFERROR(CHOOSE(MATCH($K10,Lists!$G$3:$G$8,0),GPS!$G$6,GPS!$G$7,GPS!$G$8,GPS!$G$9,GPS!$G$10,GPS!$G$11),""),IFERROR(IF($N10="LSI",INDEX($I$109:$I$132,MATCH($K10,$C$109:$C$132,0)),IF($N10="L",INDEX($G$109:$G$132,MATCH($K10,$C$109:$C$132,0)),IF($N10="R",INDEX($H$109:$H$132,MATCH($K10,$C$109:$C$132,0)),IF(Dashboard!$K$5="L",INDEX($G$109:$G$132,MATCH($K10,$C$109:$C$132,0)),IF(Dashboard!$K$5="R",INDEX($H$109:$H$132,MATCH($K10,$C$109:$C$132,0)),""))))),""))),"0%"),TEXT(IF(OR($K10="",$K10="Manual"),"",IF(LEFT($K10,4)="GPS:",IFERROR(CHOOSE(MATCH($K10,Lists!$G$3:$G$8,0),GPS!$G$6,GPS!$G$7,GPS!$G$8,GPS!$G$9,GPS!$G$10,GPS!$G$11),""),IFERROR(IF($N10="LSI",INDEX($I$109:$I$132,MATCH($K10,$C$109:$C$132,0)),IF($N10="L",INDEX($G$109:$G$132,MATCH($K10,$C$109:$C$132,0)),IF($N10="R",INDEX($H$109:$H$132,MATCH($K10,$C$109:$C$132,0)),IF(Dashboard!$K$5="L",INDEX($G$109:$G$132,MATCH($K10,$C$109:$C$132,0)),IF(Dashboard!$K$5="R",INDEX($H$109:$H$132,MATCH($K10,$C$109:$C$132,0)),""))))),""))),"0.0")))</f>
        <v>81%</v>
      </c>
      <c r="R10" s="68"/>
      <c r="S10" s="69" t="str">
        <f aca="false">IF(OR(IF(OR($K10="",$K10="Manual"),"",IF(LEFT($K10,4)="GPS:",IFERROR(CHOOSE(MATCH($K10,Lists!$G$3:$G$8,0),GPS!$G$6,GPS!$G$7,GPS!$G$8,GPS!$G$9,GPS!$G$10,GPS!$G$11),""),IFERROR(IF($N10="LSI",INDEX($I$109:$I$132,MATCH($K10,$C$109:$C$132,0)),IF($N10="L",INDEX($G$109:$G$132,MATCH($K10,$C$109:$C$132,0)),IF($N10="R",INDEX($H$109:$H$132,MATCH($K10,$C$109:$C$132,0)),IF(Dashboard!$K$5="L",INDEX($G$109:$G$132,MATCH($K10,$C$109:$C$132,0)),IF(Dashboard!$K$5="R",INDEX($H$109:$H$132,MATCH($K10,$C$109:$C$132,0)),""))))),"")))="",$P10=""),"",IF(IF($O10="≤",IF(OR($K10="",$K10="Manual"),"",IF(LEFT($K10,4)="GPS:",IFERROR(CHOOSE(MATCH($K10,Lists!$G$3:$G$8,0),GPS!$G$6,GPS!$G$7,GPS!$G$8,GPS!$G$9,GPS!$G$10,GPS!$G$11),""),IFERROR(IF($N10="LSI",INDEX($I$109:$I$132,MATCH($K10,$C$109:$C$132,0)),IF($N10="L",INDEX($G$109:$G$132,MATCH($K10,$C$109:$C$132,0)),IF($N10="R",INDEX($H$109:$H$132,MATCH($K10,$C$109:$C$132,0)),IF(Dashboard!$K$5="L",INDEX($G$109:$G$132,MATCH($K10,$C$109:$C$132,0)),IF(Dashboard!$K$5="R",INDEX($H$109:$H$132,MATCH($K10,$C$109:$C$132,0)),""))))),"")))&lt;=$P10,IF(OR($K10="",$K10="Manual"),"",IF(LEFT($K10,4)="GPS:",IFERROR(CHOOSE(MATCH($K10,Lists!$G$3:$G$8,0),GPS!$G$6,GPS!$G$7,GPS!$G$8,GPS!$G$9,GPS!$G$10,GPS!$G$11),""),IFERROR(IF($N10="LSI",INDEX($I$109:$I$132,MATCH($K10,$C$109:$C$132,0)),IF($N10="L",INDEX($G$109:$G$132,MATCH($K10,$C$109:$C$132,0)),IF($N10="R",INDEX($H$109:$H$132,MATCH($K10,$C$109:$C$132,0)),IF(Dashboard!$K$5="L",INDEX($G$109:$G$132,MATCH($K10,$C$109:$C$132,0)),IF(Dashboard!$K$5="R",INDEX($H$109:$H$132,MATCH($K10,$C$109:$C$132,0)),""))))),"")))&gt;=$P10),"MET","NOT MET"))</f>
        <v>MET</v>
      </c>
      <c r="T10" s="7"/>
      <c r="U10" s="68" t="str">
        <f aca="false">IF($T10&lt;&gt;"",$T10,IF($S10="MET","Y",IF($S10="NOT MET","N","")))</f>
        <v>Y</v>
      </c>
      <c r="V10" s="70" t="n">
        <f aca="false">IF($U10="Y",IFERROR(IF(LEFT($K10,4)="GPS:","",INDEX($J$109:$J$132,MATCH($K10,$C$109:$C$132,0))),""),"")</f>
        <v>46307</v>
      </c>
      <c r="W10" s="70"/>
      <c r="X10" s="58"/>
      <c r="Y10" s="58"/>
      <c r="Z10" s="58"/>
      <c r="AA10" s="58"/>
    </row>
    <row r="11" customFormat="false" ht="18" hidden="false" customHeight="true" outlineLevel="0" collapsed="false">
      <c r="A11" s="64" t="n">
        <v>6</v>
      </c>
      <c r="B11" s="65"/>
      <c r="C11" s="65"/>
      <c r="D11" s="58" t="s">
        <v>224</v>
      </c>
      <c r="E11" s="58"/>
      <c r="F11" s="58"/>
      <c r="G11" s="58"/>
      <c r="H11" s="58"/>
      <c r="I11" s="58"/>
      <c r="J11" s="58"/>
      <c r="K11" s="66" t="s">
        <v>107</v>
      </c>
      <c r="L11" s="66"/>
      <c r="M11" s="66"/>
      <c r="N11" s="67"/>
      <c r="O11" s="67" t="s">
        <v>108</v>
      </c>
      <c r="P11" s="67"/>
      <c r="Q11" s="68" t="str">
        <f aca="false">IF(IF(OR($K11="",$K11="Manual"),"",IF(LEFT($K11,4)="GPS:",IFERROR(CHOOSE(MATCH($K11,Lists!$G$3:$G$8,0),GPS!$G$6,GPS!$G$7,GPS!$G$8,GPS!$G$9,GPS!$G$10,GPS!$G$11),""),IFERROR(IF($N11="LSI",INDEX($I$109:$I$132,MATCH($K11,$C$109:$C$132,0)),IF($N11="L",INDEX($G$109:$G$132,MATCH($K11,$C$109:$C$132,0)),IF($N11="R",INDEX($H$109:$H$132,MATCH($K11,$C$109:$C$132,0)),IF(Dashboard!$K$5="L",INDEX($G$109:$G$132,MATCH($K11,$C$109:$C$132,0)),IF(Dashboard!$K$5="R",INDEX($H$109:$H$132,MATCH($K11,$C$109:$C$132,0)),""))))),"")))="","",IF(OR($N11="LSI",LEFT($K11,4)="GPS:"),TEXT(IF(OR($K11="",$K11="Manual"),"",IF(LEFT($K11,4)="GPS:",IFERROR(CHOOSE(MATCH($K11,Lists!$G$3:$G$8,0),GPS!$G$6,GPS!$G$7,GPS!$G$8,GPS!$G$9,GPS!$G$10,GPS!$G$11),""),IFERROR(IF($N11="LSI",INDEX($I$109:$I$132,MATCH($K11,$C$109:$C$132,0)),IF($N11="L",INDEX($G$109:$G$132,MATCH($K11,$C$109:$C$132,0)),IF($N11="R",INDEX($H$109:$H$132,MATCH($K11,$C$109:$C$132,0)),IF(Dashboard!$K$5="L",INDEX($G$109:$G$132,MATCH($K11,$C$109:$C$132,0)),IF(Dashboard!$K$5="R",INDEX($H$109:$H$132,MATCH($K11,$C$109:$C$132,0)),""))))),""))),"0%"),TEXT(IF(OR($K11="",$K11="Manual"),"",IF(LEFT($K11,4)="GPS:",IFERROR(CHOOSE(MATCH($K11,Lists!$G$3:$G$8,0),GPS!$G$6,GPS!$G$7,GPS!$G$8,GPS!$G$9,GPS!$G$10,GPS!$G$11),""),IFERROR(IF($N11="LSI",INDEX($I$109:$I$132,MATCH($K11,$C$109:$C$132,0)),IF($N11="L",INDEX($G$109:$G$132,MATCH($K11,$C$109:$C$132,0)),IF($N11="R",INDEX($H$109:$H$132,MATCH($K11,$C$109:$C$132,0)),IF(Dashboard!$K$5="L",INDEX($G$109:$G$132,MATCH($K11,$C$109:$C$132,0)),IF(Dashboard!$K$5="R",INDEX($H$109:$H$132,MATCH($K11,$C$109:$C$132,0)),""))))),""))),"0.0")))</f>
        <v/>
      </c>
      <c r="R11" s="68"/>
      <c r="S11" s="69" t="str">
        <f aca="false">IF(OR(IF(OR($K11="",$K11="Manual"),"",IF(LEFT($K11,4)="GPS:",IFERROR(CHOOSE(MATCH($K11,Lists!$G$3:$G$8,0),GPS!$G$6,GPS!$G$7,GPS!$G$8,GPS!$G$9,GPS!$G$10,GPS!$G$11),""),IFERROR(IF($N11="LSI",INDEX($I$109:$I$132,MATCH($K11,$C$109:$C$132,0)),IF($N11="L",INDEX($G$109:$G$132,MATCH($K11,$C$109:$C$132,0)),IF($N11="R",INDEX($H$109:$H$132,MATCH($K11,$C$109:$C$132,0)),IF(Dashboard!$K$5="L",INDEX($G$109:$G$132,MATCH($K11,$C$109:$C$132,0)),IF(Dashboard!$K$5="R",INDEX($H$109:$H$132,MATCH($K11,$C$109:$C$132,0)),""))))),"")))="",$P11=""),"",IF(IF($O11="≤",IF(OR($K11="",$K11="Manual"),"",IF(LEFT($K11,4)="GPS:",IFERROR(CHOOSE(MATCH($K11,Lists!$G$3:$G$8,0),GPS!$G$6,GPS!$G$7,GPS!$G$8,GPS!$G$9,GPS!$G$10,GPS!$G$11),""),IFERROR(IF($N11="LSI",INDEX($I$109:$I$132,MATCH($K11,$C$109:$C$132,0)),IF($N11="L",INDEX($G$109:$G$132,MATCH($K11,$C$109:$C$132,0)),IF($N11="R",INDEX($H$109:$H$132,MATCH($K11,$C$109:$C$132,0)),IF(Dashboard!$K$5="L",INDEX($G$109:$G$132,MATCH($K11,$C$109:$C$132,0)),IF(Dashboard!$K$5="R",INDEX($H$109:$H$132,MATCH($K11,$C$109:$C$132,0)),""))))),"")))&lt;=$P11,IF(OR($K11="",$K11="Manual"),"",IF(LEFT($K11,4)="GPS:",IFERROR(CHOOSE(MATCH($K11,Lists!$G$3:$G$8,0),GPS!$G$6,GPS!$G$7,GPS!$G$8,GPS!$G$9,GPS!$G$10,GPS!$G$11),""),IFERROR(IF($N11="LSI",INDEX($I$109:$I$132,MATCH($K11,$C$109:$C$132,0)),IF($N11="L",INDEX($G$109:$G$132,MATCH($K11,$C$109:$C$132,0)),IF($N11="R",INDEX($H$109:$H$132,MATCH($K11,$C$109:$C$132,0)),IF(Dashboard!$K$5="L",INDEX($G$109:$G$132,MATCH($K11,$C$109:$C$132,0)),IF(Dashboard!$K$5="R",INDEX($H$109:$H$132,MATCH($K11,$C$109:$C$132,0)),""))))),"")))&gt;=$P11),"MET","NOT MET"))</f>
        <v/>
      </c>
      <c r="T11" s="7" t="s">
        <v>218</v>
      </c>
      <c r="U11" s="68" t="str">
        <f aca="false">IF($T11&lt;&gt;"",$T11,IF($S11="MET","Y",IF($S11="NOT MET","N","")))</f>
        <v>Y</v>
      </c>
      <c r="V11" s="70" t="str">
        <f aca="false">IF($U11="Y",IFERROR(IF(LEFT($K11,4)="GPS:","",INDEX($J$109:$J$132,MATCH($K11,$C$109:$C$132,0))),""),"")</f>
        <v/>
      </c>
      <c r="W11" s="70"/>
      <c r="X11" s="58"/>
      <c r="Y11" s="58"/>
      <c r="Z11" s="58"/>
      <c r="AA11" s="58"/>
    </row>
    <row r="12" customFormat="false" ht="18" hidden="false" customHeight="true" outlineLevel="0" collapsed="false">
      <c r="A12" s="64" t="n">
        <v>7</v>
      </c>
      <c r="B12" s="65" t="s">
        <v>117</v>
      </c>
      <c r="C12" s="65"/>
      <c r="D12" s="58" t="s">
        <v>225</v>
      </c>
      <c r="E12" s="58"/>
      <c r="F12" s="58"/>
      <c r="G12" s="58"/>
      <c r="H12" s="58"/>
      <c r="I12" s="58"/>
      <c r="J12" s="58"/>
      <c r="K12" s="66" t="s">
        <v>214</v>
      </c>
      <c r="L12" s="66"/>
      <c r="M12" s="66"/>
      <c r="N12" s="67" t="s">
        <v>50</v>
      </c>
      <c r="O12" s="67" t="s">
        <v>108</v>
      </c>
      <c r="P12" s="67" t="n">
        <v>0.8</v>
      </c>
      <c r="Q12" s="68" t="str">
        <f aca="false">IF(IF(OR($K12="",$K12="Manual"),"",IF(LEFT($K12,4)="GPS:",IFERROR(CHOOSE(MATCH($K12,Lists!$G$3:$G$8,0),GPS!$G$6,GPS!$G$7,GPS!$G$8,GPS!$G$9,GPS!$G$10,GPS!$G$11),""),IFERROR(IF($N12="LSI",INDEX($I$109:$I$132,MATCH($K12,$C$109:$C$132,0)),IF($N12="L",INDEX($G$109:$G$132,MATCH($K12,$C$109:$C$132,0)),IF($N12="R",INDEX($H$109:$H$132,MATCH($K12,$C$109:$C$132,0)),IF(Dashboard!$K$5="L",INDEX($G$109:$G$132,MATCH($K12,$C$109:$C$132,0)),IF(Dashboard!$K$5="R",INDEX($H$109:$H$132,MATCH($K12,$C$109:$C$132,0)),""))))),"")))="","",IF(OR($N12="LSI",LEFT($K12,4)="GPS:"),TEXT(IF(OR($K12="",$K12="Manual"),"",IF(LEFT($K12,4)="GPS:",IFERROR(CHOOSE(MATCH($K12,Lists!$G$3:$G$8,0),GPS!$G$6,GPS!$G$7,GPS!$G$8,GPS!$G$9,GPS!$G$10,GPS!$G$11),""),IFERROR(IF($N12="LSI",INDEX($I$109:$I$132,MATCH($K12,$C$109:$C$132,0)),IF($N12="L",INDEX($G$109:$G$132,MATCH($K12,$C$109:$C$132,0)),IF($N12="R",INDEX($H$109:$H$132,MATCH($K12,$C$109:$C$132,0)),IF(Dashboard!$K$5="L",INDEX($G$109:$G$132,MATCH($K12,$C$109:$C$132,0)),IF(Dashboard!$K$5="R",INDEX($H$109:$H$132,MATCH($K12,$C$109:$C$132,0)),""))))),""))),"0%"),TEXT(IF(OR($K12="",$K12="Manual"),"",IF(LEFT($K12,4)="GPS:",IFERROR(CHOOSE(MATCH($K12,Lists!$G$3:$G$8,0),GPS!$G$6,GPS!$G$7,GPS!$G$8,GPS!$G$9,GPS!$G$10,GPS!$G$11),""),IFERROR(IF($N12="LSI",INDEX($I$109:$I$132,MATCH($K12,$C$109:$C$132,0)),IF($N12="L",INDEX($G$109:$G$132,MATCH($K12,$C$109:$C$132,0)),IF($N12="R",INDEX($H$109:$H$132,MATCH($K12,$C$109:$C$132,0)),IF(Dashboard!$K$5="L",INDEX($G$109:$G$132,MATCH($K12,$C$109:$C$132,0)),IF(Dashboard!$K$5="R",INDEX($H$109:$H$132,MATCH($K12,$C$109:$C$132,0)),""))))),""))),"0.0")))</f>
        <v>81%</v>
      </c>
      <c r="R12" s="68"/>
      <c r="S12" s="69" t="str">
        <f aca="false">IF(OR(IF(OR($K12="",$K12="Manual"),"",IF(LEFT($K12,4)="GPS:",IFERROR(CHOOSE(MATCH($K12,Lists!$G$3:$G$8,0),GPS!$G$6,GPS!$G$7,GPS!$G$8,GPS!$G$9,GPS!$G$10,GPS!$G$11),""),IFERROR(IF($N12="LSI",INDEX($I$109:$I$132,MATCH($K12,$C$109:$C$132,0)),IF($N12="L",INDEX($G$109:$G$132,MATCH($K12,$C$109:$C$132,0)),IF($N12="R",INDEX($H$109:$H$132,MATCH($K12,$C$109:$C$132,0)),IF(Dashboard!$K$5="L",INDEX($G$109:$G$132,MATCH($K12,$C$109:$C$132,0)),IF(Dashboard!$K$5="R",INDEX($H$109:$H$132,MATCH($K12,$C$109:$C$132,0)),""))))),"")))="",$P12=""),"",IF(IF($O12="≤",IF(OR($K12="",$K12="Manual"),"",IF(LEFT($K12,4)="GPS:",IFERROR(CHOOSE(MATCH($K12,Lists!$G$3:$G$8,0),GPS!$G$6,GPS!$G$7,GPS!$G$8,GPS!$G$9,GPS!$G$10,GPS!$G$11),""),IFERROR(IF($N12="LSI",INDEX($I$109:$I$132,MATCH($K12,$C$109:$C$132,0)),IF($N12="L",INDEX($G$109:$G$132,MATCH($K12,$C$109:$C$132,0)),IF($N12="R",INDEX($H$109:$H$132,MATCH($K12,$C$109:$C$132,0)),IF(Dashboard!$K$5="L",INDEX($G$109:$G$132,MATCH($K12,$C$109:$C$132,0)),IF(Dashboard!$K$5="R",INDEX($H$109:$H$132,MATCH($K12,$C$109:$C$132,0)),""))))),"")))&lt;=$P12,IF(OR($K12="",$K12="Manual"),"",IF(LEFT($K12,4)="GPS:",IFERROR(CHOOSE(MATCH($K12,Lists!$G$3:$G$8,0),GPS!$G$6,GPS!$G$7,GPS!$G$8,GPS!$G$9,GPS!$G$10,GPS!$G$11),""),IFERROR(IF($N12="LSI",INDEX($I$109:$I$132,MATCH($K12,$C$109:$C$132,0)),IF($N12="L",INDEX($G$109:$G$132,MATCH($K12,$C$109:$C$132,0)),IF($N12="R",INDEX($H$109:$H$132,MATCH($K12,$C$109:$C$132,0)),IF(Dashboard!$K$5="L",INDEX($G$109:$G$132,MATCH($K12,$C$109:$C$132,0)),IF(Dashboard!$K$5="R",INDEX($H$109:$H$132,MATCH($K12,$C$109:$C$132,0)),""))))),"")))&gt;=$P12),"MET","NOT MET"))</f>
        <v>MET</v>
      </c>
      <c r="T12" s="7"/>
      <c r="U12" s="68" t="str">
        <f aca="false">IF($T12&lt;&gt;"",$T12,IF($S12="MET","Y",IF($S12="NOT MET","N","")))</f>
        <v>Y</v>
      </c>
      <c r="V12" s="70" t="n">
        <f aca="false">IF($U12="Y",IFERROR(IF(LEFT($K12,4)="GPS:","",INDEX($J$109:$J$132,MATCH($K12,$C$109:$C$132,0))),""),"")</f>
        <v>46307</v>
      </c>
      <c r="W12" s="70"/>
      <c r="X12" s="58"/>
      <c r="Y12" s="58"/>
      <c r="Z12" s="58"/>
      <c r="AA12" s="58"/>
    </row>
    <row r="13" customFormat="false" ht="18" hidden="false" customHeight="true" outlineLevel="0" collapsed="false">
      <c r="A13" s="64" t="n">
        <v>8</v>
      </c>
      <c r="B13" s="65"/>
      <c r="C13" s="65"/>
      <c r="D13" s="58" t="s">
        <v>226</v>
      </c>
      <c r="E13" s="58"/>
      <c r="F13" s="58"/>
      <c r="G13" s="58"/>
      <c r="H13" s="58"/>
      <c r="I13" s="58"/>
      <c r="J13" s="58"/>
      <c r="K13" s="66" t="s">
        <v>227</v>
      </c>
      <c r="L13" s="66"/>
      <c r="M13" s="66"/>
      <c r="N13" s="67" t="s">
        <v>50</v>
      </c>
      <c r="O13" s="67" t="s">
        <v>108</v>
      </c>
      <c r="P13" s="67" t="n">
        <v>0.8</v>
      </c>
      <c r="Q13" s="68" t="str">
        <f aca="false">IF(IF(OR($K13="",$K13="Manual"),"",IF(LEFT($K13,4)="GPS:",IFERROR(CHOOSE(MATCH($K13,Lists!$G$3:$G$8,0),GPS!$G$6,GPS!$G$7,GPS!$G$8,GPS!$G$9,GPS!$G$10,GPS!$G$11),""),IFERROR(IF($N13="LSI",INDEX($I$109:$I$132,MATCH($K13,$C$109:$C$132,0)),IF($N13="L",INDEX($G$109:$G$132,MATCH($K13,$C$109:$C$132,0)),IF($N13="R",INDEX($H$109:$H$132,MATCH($K13,$C$109:$C$132,0)),IF(Dashboard!$K$5="L",INDEX($G$109:$G$132,MATCH($K13,$C$109:$C$132,0)),IF(Dashboard!$K$5="R",INDEX($H$109:$H$132,MATCH($K13,$C$109:$C$132,0)),""))))),"")))="","",IF(OR($N13="LSI",LEFT($K13,4)="GPS:"),TEXT(IF(OR($K13="",$K13="Manual"),"",IF(LEFT($K13,4)="GPS:",IFERROR(CHOOSE(MATCH($K13,Lists!$G$3:$G$8,0),GPS!$G$6,GPS!$G$7,GPS!$G$8,GPS!$G$9,GPS!$G$10,GPS!$G$11),""),IFERROR(IF($N13="LSI",INDEX($I$109:$I$132,MATCH($K13,$C$109:$C$132,0)),IF($N13="L",INDEX($G$109:$G$132,MATCH($K13,$C$109:$C$132,0)),IF($N13="R",INDEX($H$109:$H$132,MATCH($K13,$C$109:$C$132,0)),IF(Dashboard!$K$5="L",INDEX($G$109:$G$132,MATCH($K13,$C$109:$C$132,0)),IF(Dashboard!$K$5="R",INDEX($H$109:$H$132,MATCH($K13,$C$109:$C$132,0)),""))))),""))),"0%"),TEXT(IF(OR($K13="",$K13="Manual"),"",IF(LEFT($K13,4)="GPS:",IFERROR(CHOOSE(MATCH($K13,Lists!$G$3:$G$8,0),GPS!$G$6,GPS!$G$7,GPS!$G$8,GPS!$G$9,GPS!$G$10,GPS!$G$11),""),IFERROR(IF($N13="LSI",INDEX($I$109:$I$132,MATCH($K13,$C$109:$C$132,0)),IF($N13="L",INDEX($G$109:$G$132,MATCH($K13,$C$109:$C$132,0)),IF($N13="R",INDEX($H$109:$H$132,MATCH($K13,$C$109:$C$132,0)),IF(Dashboard!$K$5="L",INDEX($G$109:$G$132,MATCH($K13,$C$109:$C$132,0)),IF(Dashboard!$K$5="R",INDEX($H$109:$H$132,MATCH($K13,$C$109:$C$132,0)),""))))),""))),"0.0")))</f>
        <v>92%</v>
      </c>
      <c r="R13" s="68"/>
      <c r="S13" s="69" t="str">
        <f aca="false">IF(OR(IF(OR($K13="",$K13="Manual"),"",IF(LEFT($K13,4)="GPS:",IFERROR(CHOOSE(MATCH($K13,Lists!$G$3:$G$8,0),GPS!$G$6,GPS!$G$7,GPS!$G$8,GPS!$G$9,GPS!$G$10,GPS!$G$11),""),IFERROR(IF($N13="LSI",INDEX($I$109:$I$132,MATCH($K13,$C$109:$C$132,0)),IF($N13="L",INDEX($G$109:$G$132,MATCH($K13,$C$109:$C$132,0)),IF($N13="R",INDEX($H$109:$H$132,MATCH($K13,$C$109:$C$132,0)),IF(Dashboard!$K$5="L",INDEX($G$109:$G$132,MATCH($K13,$C$109:$C$132,0)),IF(Dashboard!$K$5="R",INDEX($H$109:$H$132,MATCH($K13,$C$109:$C$132,0)),""))))),"")))="",$P13=""),"",IF(IF($O13="≤",IF(OR($K13="",$K13="Manual"),"",IF(LEFT($K13,4)="GPS:",IFERROR(CHOOSE(MATCH($K13,Lists!$G$3:$G$8,0),GPS!$G$6,GPS!$G$7,GPS!$G$8,GPS!$G$9,GPS!$G$10,GPS!$G$11),""),IFERROR(IF($N13="LSI",INDEX($I$109:$I$132,MATCH($K13,$C$109:$C$132,0)),IF($N13="L",INDEX($G$109:$G$132,MATCH($K13,$C$109:$C$132,0)),IF($N13="R",INDEX($H$109:$H$132,MATCH($K13,$C$109:$C$132,0)),IF(Dashboard!$K$5="L",INDEX($G$109:$G$132,MATCH($K13,$C$109:$C$132,0)),IF(Dashboard!$K$5="R",INDEX($H$109:$H$132,MATCH($K13,$C$109:$C$132,0)),""))))),"")))&lt;=$P13,IF(OR($K13="",$K13="Manual"),"",IF(LEFT($K13,4)="GPS:",IFERROR(CHOOSE(MATCH($K13,Lists!$G$3:$G$8,0),GPS!$G$6,GPS!$G$7,GPS!$G$8,GPS!$G$9,GPS!$G$10,GPS!$G$11),""),IFERROR(IF($N13="LSI",INDEX($I$109:$I$132,MATCH($K13,$C$109:$C$132,0)),IF($N13="L",INDEX($G$109:$G$132,MATCH($K13,$C$109:$C$132,0)),IF($N13="R",INDEX($H$109:$H$132,MATCH($K13,$C$109:$C$132,0)),IF(Dashboard!$K$5="L",INDEX($G$109:$G$132,MATCH($K13,$C$109:$C$132,0)),IF(Dashboard!$K$5="R",INDEX($H$109:$H$132,MATCH($K13,$C$109:$C$132,0)),""))))),"")))&gt;=$P13),"MET","NOT MET"))</f>
        <v>MET</v>
      </c>
      <c r="T13" s="7"/>
      <c r="U13" s="68" t="str">
        <f aca="false">IF($T13&lt;&gt;"",$T13,IF($S13="MET","Y",IF($S13="NOT MET","N","")))</f>
        <v>Y</v>
      </c>
      <c r="V13" s="70" t="n">
        <f aca="false">IF($U13="Y",IFERROR(IF(LEFT($K13,4)="GPS:","",INDEX($J$109:$J$132,MATCH($K13,$C$109:$C$132,0))),""),"")</f>
        <v>46307</v>
      </c>
      <c r="W13" s="70"/>
      <c r="X13" s="58"/>
      <c r="Y13" s="58"/>
      <c r="Z13" s="58"/>
      <c r="AA13" s="58"/>
    </row>
    <row r="14" customFormat="false" ht="18" hidden="false" customHeight="true" outlineLevel="0" collapsed="false">
      <c r="A14" s="64" t="n">
        <v>9</v>
      </c>
      <c r="B14" s="65"/>
      <c r="C14" s="65"/>
      <c r="D14" s="58" t="s">
        <v>197</v>
      </c>
      <c r="E14" s="58"/>
      <c r="F14" s="58"/>
      <c r="G14" s="58"/>
      <c r="H14" s="58"/>
      <c r="I14" s="58"/>
      <c r="J14" s="58"/>
      <c r="K14" s="66" t="s">
        <v>107</v>
      </c>
      <c r="L14" s="66"/>
      <c r="M14" s="66"/>
      <c r="N14" s="67"/>
      <c r="O14" s="67" t="s">
        <v>108</v>
      </c>
      <c r="P14" s="67"/>
      <c r="Q14" s="68" t="str">
        <f aca="false">IF(IF(OR($K14="",$K14="Manual"),"",IF(LEFT($K14,4)="GPS:",IFERROR(CHOOSE(MATCH($K14,Lists!$G$3:$G$8,0),GPS!$G$6,GPS!$G$7,GPS!$G$8,GPS!$G$9,GPS!$G$10,GPS!$G$11),""),IFERROR(IF($N14="LSI",INDEX($I$109:$I$132,MATCH($K14,$C$109:$C$132,0)),IF($N14="L",INDEX($G$109:$G$132,MATCH($K14,$C$109:$C$132,0)),IF($N14="R",INDEX($H$109:$H$132,MATCH($K14,$C$109:$C$132,0)),IF(Dashboard!$K$5="L",INDEX($G$109:$G$132,MATCH($K14,$C$109:$C$132,0)),IF(Dashboard!$K$5="R",INDEX($H$109:$H$132,MATCH($K14,$C$109:$C$132,0)),""))))),"")))="","",IF(OR($N14="LSI",LEFT($K14,4)="GPS:"),TEXT(IF(OR($K14="",$K14="Manual"),"",IF(LEFT($K14,4)="GPS:",IFERROR(CHOOSE(MATCH($K14,Lists!$G$3:$G$8,0),GPS!$G$6,GPS!$G$7,GPS!$G$8,GPS!$G$9,GPS!$G$10,GPS!$G$11),""),IFERROR(IF($N14="LSI",INDEX($I$109:$I$132,MATCH($K14,$C$109:$C$132,0)),IF($N14="L",INDEX($G$109:$G$132,MATCH($K14,$C$109:$C$132,0)),IF($N14="R",INDEX($H$109:$H$132,MATCH($K14,$C$109:$C$132,0)),IF(Dashboard!$K$5="L",INDEX($G$109:$G$132,MATCH($K14,$C$109:$C$132,0)),IF(Dashboard!$K$5="R",INDEX($H$109:$H$132,MATCH($K14,$C$109:$C$132,0)),""))))),""))),"0%"),TEXT(IF(OR($K14="",$K14="Manual"),"",IF(LEFT($K14,4)="GPS:",IFERROR(CHOOSE(MATCH($K14,Lists!$G$3:$G$8,0),GPS!$G$6,GPS!$G$7,GPS!$G$8,GPS!$G$9,GPS!$G$10,GPS!$G$11),""),IFERROR(IF($N14="LSI",INDEX($I$109:$I$132,MATCH($K14,$C$109:$C$132,0)),IF($N14="L",INDEX($G$109:$G$132,MATCH($K14,$C$109:$C$132,0)),IF($N14="R",INDEX($H$109:$H$132,MATCH($K14,$C$109:$C$132,0)),IF(Dashboard!$K$5="L",INDEX($G$109:$G$132,MATCH($K14,$C$109:$C$132,0)),IF(Dashboard!$K$5="R",INDEX($H$109:$H$132,MATCH($K14,$C$109:$C$132,0)),""))))),""))),"0.0")))</f>
        <v/>
      </c>
      <c r="R14" s="68"/>
      <c r="S14" s="69" t="str">
        <f aca="false">IF(OR(IF(OR($K14="",$K14="Manual"),"",IF(LEFT($K14,4)="GPS:",IFERROR(CHOOSE(MATCH($K14,Lists!$G$3:$G$8,0),GPS!$G$6,GPS!$G$7,GPS!$G$8,GPS!$G$9,GPS!$G$10,GPS!$G$11),""),IFERROR(IF($N14="LSI",INDEX($I$109:$I$132,MATCH($K14,$C$109:$C$132,0)),IF($N14="L",INDEX($G$109:$G$132,MATCH($K14,$C$109:$C$132,0)),IF($N14="R",INDEX($H$109:$H$132,MATCH($K14,$C$109:$C$132,0)),IF(Dashboard!$K$5="L",INDEX($G$109:$G$132,MATCH($K14,$C$109:$C$132,0)),IF(Dashboard!$K$5="R",INDEX($H$109:$H$132,MATCH($K14,$C$109:$C$132,0)),""))))),"")))="",$P14=""),"",IF(IF($O14="≤",IF(OR($K14="",$K14="Manual"),"",IF(LEFT($K14,4)="GPS:",IFERROR(CHOOSE(MATCH($K14,Lists!$G$3:$G$8,0),GPS!$G$6,GPS!$G$7,GPS!$G$8,GPS!$G$9,GPS!$G$10,GPS!$G$11),""),IFERROR(IF($N14="LSI",INDEX($I$109:$I$132,MATCH($K14,$C$109:$C$132,0)),IF($N14="L",INDEX($G$109:$G$132,MATCH($K14,$C$109:$C$132,0)),IF($N14="R",INDEX($H$109:$H$132,MATCH($K14,$C$109:$C$132,0)),IF(Dashboard!$K$5="L",INDEX($G$109:$G$132,MATCH($K14,$C$109:$C$132,0)),IF(Dashboard!$K$5="R",INDEX($H$109:$H$132,MATCH($K14,$C$109:$C$132,0)),""))))),"")))&lt;=$P14,IF(OR($K14="",$K14="Manual"),"",IF(LEFT($K14,4)="GPS:",IFERROR(CHOOSE(MATCH($K14,Lists!$G$3:$G$8,0),GPS!$G$6,GPS!$G$7,GPS!$G$8,GPS!$G$9,GPS!$G$10,GPS!$G$11),""),IFERROR(IF($N14="LSI",INDEX($I$109:$I$132,MATCH($K14,$C$109:$C$132,0)),IF($N14="L",INDEX($G$109:$G$132,MATCH($K14,$C$109:$C$132,0)),IF($N14="R",INDEX($H$109:$H$132,MATCH($K14,$C$109:$C$132,0)),IF(Dashboard!$K$5="L",INDEX($G$109:$G$132,MATCH($K14,$C$109:$C$132,0)),IF(Dashboard!$K$5="R",INDEX($H$109:$H$132,MATCH($K14,$C$109:$C$132,0)),""))))),"")))&gt;=$P14),"MET","NOT MET"))</f>
        <v/>
      </c>
      <c r="T14" s="7"/>
      <c r="U14" s="68" t="str">
        <f aca="false">IF($T14&lt;&gt;"",$T14,IF($S14="MET","Y",IF($S14="NOT MET","N","")))</f>
        <v/>
      </c>
      <c r="V14" s="70" t="str">
        <f aca="false">IF($U14="Y",IFERROR(IF(LEFT($K14,4)="GPS:","",INDEX($J$109:$J$132,MATCH($K14,$C$109:$C$132,0))),""),"")</f>
        <v/>
      </c>
      <c r="W14" s="70"/>
      <c r="X14" s="58"/>
      <c r="Y14" s="58"/>
      <c r="Z14" s="58"/>
      <c r="AA14" s="58"/>
    </row>
    <row r="15" customFormat="false" ht="18" hidden="false" customHeight="true" outlineLevel="0" collapsed="false">
      <c r="A15" s="64" t="n">
        <v>10</v>
      </c>
      <c r="B15" s="65" t="s">
        <v>122</v>
      </c>
      <c r="C15" s="65"/>
      <c r="D15" s="58" t="s">
        <v>228</v>
      </c>
      <c r="E15" s="58"/>
      <c r="F15" s="58"/>
      <c r="G15" s="58"/>
      <c r="H15" s="58"/>
      <c r="I15" s="58"/>
      <c r="J15" s="58"/>
      <c r="K15" s="66" t="s">
        <v>214</v>
      </c>
      <c r="L15" s="66"/>
      <c r="M15" s="66"/>
      <c r="N15" s="67" t="s">
        <v>50</v>
      </c>
      <c r="O15" s="67" t="s">
        <v>108</v>
      </c>
      <c r="P15" s="67" t="n">
        <v>0.9</v>
      </c>
      <c r="Q15" s="68" t="str">
        <f aca="false">IF(IF(OR($K15="",$K15="Manual"),"",IF(LEFT($K15,4)="GPS:",IFERROR(CHOOSE(MATCH($K15,Lists!$G$3:$G$8,0),GPS!$G$6,GPS!$G$7,GPS!$G$8,GPS!$G$9,GPS!$G$10,GPS!$G$11),""),IFERROR(IF($N15="LSI",INDEX($I$109:$I$132,MATCH($K15,$C$109:$C$132,0)),IF($N15="L",INDEX($G$109:$G$132,MATCH($K15,$C$109:$C$132,0)),IF($N15="R",INDEX($H$109:$H$132,MATCH($K15,$C$109:$C$132,0)),IF(Dashboard!$K$5="L",INDEX($G$109:$G$132,MATCH($K15,$C$109:$C$132,0)),IF(Dashboard!$K$5="R",INDEX($H$109:$H$132,MATCH($K15,$C$109:$C$132,0)),""))))),"")))="","",IF(OR($N15="LSI",LEFT($K15,4)="GPS:"),TEXT(IF(OR($K15="",$K15="Manual"),"",IF(LEFT($K15,4)="GPS:",IFERROR(CHOOSE(MATCH($K15,Lists!$G$3:$G$8,0),GPS!$G$6,GPS!$G$7,GPS!$G$8,GPS!$G$9,GPS!$G$10,GPS!$G$11),""),IFERROR(IF($N15="LSI",INDEX($I$109:$I$132,MATCH($K15,$C$109:$C$132,0)),IF($N15="L",INDEX($G$109:$G$132,MATCH($K15,$C$109:$C$132,0)),IF($N15="R",INDEX($H$109:$H$132,MATCH($K15,$C$109:$C$132,0)),IF(Dashboard!$K$5="L",INDEX($G$109:$G$132,MATCH($K15,$C$109:$C$132,0)),IF(Dashboard!$K$5="R",INDEX($H$109:$H$132,MATCH($K15,$C$109:$C$132,0)),""))))),""))),"0%"),TEXT(IF(OR($K15="",$K15="Manual"),"",IF(LEFT($K15,4)="GPS:",IFERROR(CHOOSE(MATCH($K15,Lists!$G$3:$G$8,0),GPS!$G$6,GPS!$G$7,GPS!$G$8,GPS!$G$9,GPS!$G$10,GPS!$G$11),""),IFERROR(IF($N15="LSI",INDEX($I$109:$I$132,MATCH($K15,$C$109:$C$132,0)),IF($N15="L",INDEX($G$109:$G$132,MATCH($K15,$C$109:$C$132,0)),IF($N15="R",INDEX($H$109:$H$132,MATCH($K15,$C$109:$C$132,0)),IF(Dashboard!$K$5="L",INDEX($G$109:$G$132,MATCH($K15,$C$109:$C$132,0)),IF(Dashboard!$K$5="R",INDEX($H$109:$H$132,MATCH($K15,$C$109:$C$132,0)),""))))),""))),"0.0")))</f>
        <v>81%</v>
      </c>
      <c r="R15" s="68"/>
      <c r="S15" s="69" t="str">
        <f aca="false">IF(OR(IF(OR($K15="",$K15="Manual"),"",IF(LEFT($K15,4)="GPS:",IFERROR(CHOOSE(MATCH($K15,Lists!$G$3:$G$8,0),GPS!$G$6,GPS!$G$7,GPS!$G$8,GPS!$G$9,GPS!$G$10,GPS!$G$11),""),IFERROR(IF($N15="LSI",INDEX($I$109:$I$132,MATCH($K15,$C$109:$C$132,0)),IF($N15="L",INDEX($G$109:$G$132,MATCH($K15,$C$109:$C$132,0)),IF($N15="R",INDEX($H$109:$H$132,MATCH($K15,$C$109:$C$132,0)),IF(Dashboard!$K$5="L",INDEX($G$109:$G$132,MATCH($K15,$C$109:$C$132,0)),IF(Dashboard!$K$5="R",INDEX($H$109:$H$132,MATCH($K15,$C$109:$C$132,0)),""))))),"")))="",$P15=""),"",IF(IF($O15="≤",IF(OR($K15="",$K15="Manual"),"",IF(LEFT($K15,4)="GPS:",IFERROR(CHOOSE(MATCH($K15,Lists!$G$3:$G$8,0),GPS!$G$6,GPS!$G$7,GPS!$G$8,GPS!$G$9,GPS!$G$10,GPS!$G$11),""),IFERROR(IF($N15="LSI",INDEX($I$109:$I$132,MATCH($K15,$C$109:$C$132,0)),IF($N15="L",INDEX($G$109:$G$132,MATCH($K15,$C$109:$C$132,0)),IF($N15="R",INDEX($H$109:$H$132,MATCH($K15,$C$109:$C$132,0)),IF(Dashboard!$K$5="L",INDEX($G$109:$G$132,MATCH($K15,$C$109:$C$132,0)),IF(Dashboard!$K$5="R",INDEX($H$109:$H$132,MATCH($K15,$C$109:$C$132,0)),""))))),"")))&lt;=$P15,IF(OR($K15="",$K15="Manual"),"",IF(LEFT($K15,4)="GPS:",IFERROR(CHOOSE(MATCH($K15,Lists!$G$3:$G$8,0),GPS!$G$6,GPS!$G$7,GPS!$G$8,GPS!$G$9,GPS!$G$10,GPS!$G$11),""),IFERROR(IF($N15="LSI",INDEX($I$109:$I$132,MATCH($K15,$C$109:$C$132,0)),IF($N15="L",INDEX($G$109:$G$132,MATCH($K15,$C$109:$C$132,0)),IF($N15="R",INDEX($H$109:$H$132,MATCH($K15,$C$109:$C$132,0)),IF(Dashboard!$K$5="L",INDEX($G$109:$G$132,MATCH($K15,$C$109:$C$132,0)),IF(Dashboard!$K$5="R",INDEX($H$109:$H$132,MATCH($K15,$C$109:$C$132,0)),""))))),"")))&gt;=$P15),"MET","NOT MET"))</f>
        <v>NOT MET</v>
      </c>
      <c r="T15" s="7"/>
      <c r="U15" s="68" t="str">
        <f aca="false">IF($T15&lt;&gt;"",$T15,IF($S15="MET","Y",IF($S15="NOT MET","N","")))</f>
        <v>N</v>
      </c>
      <c r="V15" s="70" t="str">
        <f aca="false">IF($U15="Y",IFERROR(IF(LEFT($K15,4)="GPS:","",INDEX($J$109:$J$132,MATCH($K15,$C$109:$C$132,0))),""),"")</f>
        <v/>
      </c>
      <c r="W15" s="70"/>
      <c r="X15" s="58"/>
      <c r="Y15" s="58"/>
      <c r="Z15" s="58"/>
      <c r="AA15" s="58"/>
    </row>
    <row r="16" customFormat="false" ht="18" hidden="false" customHeight="true" outlineLevel="0" collapsed="false">
      <c r="A16" s="64" t="n">
        <v>11</v>
      </c>
      <c r="B16" s="65"/>
      <c r="C16" s="65"/>
      <c r="D16" s="58" t="s">
        <v>126</v>
      </c>
      <c r="E16" s="58"/>
      <c r="F16" s="58"/>
      <c r="G16" s="58"/>
      <c r="H16" s="58"/>
      <c r="I16" s="58"/>
      <c r="J16" s="58"/>
      <c r="K16" s="66" t="s">
        <v>127</v>
      </c>
      <c r="L16" s="66"/>
      <c r="M16" s="66"/>
      <c r="N16" s="67" t="s">
        <v>50</v>
      </c>
      <c r="O16" s="67" t="s">
        <v>108</v>
      </c>
      <c r="P16" s="67" t="n">
        <v>0.9</v>
      </c>
      <c r="Q16" s="68" t="str">
        <f aca="false">IF(IF(OR($K16="",$K16="Manual"),"",IF(LEFT($K16,4)="GPS:",IFERROR(CHOOSE(MATCH($K16,Lists!$G$3:$G$8,0),GPS!$G$6,GPS!$G$7,GPS!$G$8,GPS!$G$9,GPS!$G$10,GPS!$G$11),""),IFERROR(IF($N16="LSI",INDEX($I$109:$I$132,MATCH($K16,$C$109:$C$132,0)),IF($N16="L",INDEX($G$109:$G$132,MATCH($K16,$C$109:$C$132,0)),IF($N16="R",INDEX($H$109:$H$132,MATCH($K16,$C$109:$C$132,0)),IF(Dashboard!$K$5="L",INDEX($G$109:$G$132,MATCH($K16,$C$109:$C$132,0)),IF(Dashboard!$K$5="R",INDEX($H$109:$H$132,MATCH($K16,$C$109:$C$132,0)),""))))),"")))="","",IF(OR($N16="LSI",LEFT($K16,4)="GPS:"),TEXT(IF(OR($K16="",$K16="Manual"),"",IF(LEFT($K16,4)="GPS:",IFERROR(CHOOSE(MATCH($K16,Lists!$G$3:$G$8,0),GPS!$G$6,GPS!$G$7,GPS!$G$8,GPS!$G$9,GPS!$G$10,GPS!$G$11),""),IFERROR(IF($N16="LSI",INDEX($I$109:$I$132,MATCH($K16,$C$109:$C$132,0)),IF($N16="L",INDEX($G$109:$G$132,MATCH($K16,$C$109:$C$132,0)),IF($N16="R",INDEX($H$109:$H$132,MATCH($K16,$C$109:$C$132,0)),IF(Dashboard!$K$5="L",INDEX($G$109:$G$132,MATCH($K16,$C$109:$C$132,0)),IF(Dashboard!$K$5="R",INDEX($H$109:$H$132,MATCH($K16,$C$109:$C$132,0)),""))))),""))),"0%"),TEXT(IF(OR($K16="",$K16="Manual"),"",IF(LEFT($K16,4)="GPS:",IFERROR(CHOOSE(MATCH($K16,Lists!$G$3:$G$8,0),GPS!$G$6,GPS!$G$7,GPS!$G$8,GPS!$G$9,GPS!$G$10,GPS!$G$11),""),IFERROR(IF($N16="LSI",INDEX($I$109:$I$132,MATCH($K16,$C$109:$C$132,0)),IF($N16="L",INDEX($G$109:$G$132,MATCH($K16,$C$109:$C$132,0)),IF($N16="R",INDEX($H$109:$H$132,MATCH($K16,$C$109:$C$132,0)),IF(Dashboard!$K$5="L",INDEX($G$109:$G$132,MATCH($K16,$C$109:$C$132,0)),IF(Dashboard!$K$5="R",INDEX($H$109:$H$132,MATCH($K16,$C$109:$C$132,0)),""))))),""))),"0.0")))</f>
        <v>80%</v>
      </c>
      <c r="R16" s="68"/>
      <c r="S16" s="69" t="str">
        <f aca="false">IF(OR(IF(OR($K16="",$K16="Manual"),"",IF(LEFT($K16,4)="GPS:",IFERROR(CHOOSE(MATCH($K16,Lists!$G$3:$G$8,0),GPS!$G$6,GPS!$G$7,GPS!$G$8,GPS!$G$9,GPS!$G$10,GPS!$G$11),""),IFERROR(IF($N16="LSI",INDEX($I$109:$I$132,MATCH($K16,$C$109:$C$132,0)),IF($N16="L",INDEX($G$109:$G$132,MATCH($K16,$C$109:$C$132,0)),IF($N16="R",INDEX($H$109:$H$132,MATCH($K16,$C$109:$C$132,0)),IF(Dashboard!$K$5="L",INDEX($G$109:$G$132,MATCH($K16,$C$109:$C$132,0)),IF(Dashboard!$K$5="R",INDEX($H$109:$H$132,MATCH($K16,$C$109:$C$132,0)),""))))),"")))="",$P16=""),"",IF(IF($O16="≤",IF(OR($K16="",$K16="Manual"),"",IF(LEFT($K16,4)="GPS:",IFERROR(CHOOSE(MATCH($K16,Lists!$G$3:$G$8,0),GPS!$G$6,GPS!$G$7,GPS!$G$8,GPS!$G$9,GPS!$G$10,GPS!$G$11),""),IFERROR(IF($N16="LSI",INDEX($I$109:$I$132,MATCH($K16,$C$109:$C$132,0)),IF($N16="L",INDEX($G$109:$G$132,MATCH($K16,$C$109:$C$132,0)),IF($N16="R",INDEX($H$109:$H$132,MATCH($K16,$C$109:$C$132,0)),IF(Dashboard!$K$5="L",INDEX($G$109:$G$132,MATCH($K16,$C$109:$C$132,0)),IF(Dashboard!$K$5="R",INDEX($H$109:$H$132,MATCH($K16,$C$109:$C$132,0)),""))))),"")))&lt;=$P16,IF(OR($K16="",$K16="Manual"),"",IF(LEFT($K16,4)="GPS:",IFERROR(CHOOSE(MATCH($K16,Lists!$G$3:$G$8,0),GPS!$G$6,GPS!$G$7,GPS!$G$8,GPS!$G$9,GPS!$G$10,GPS!$G$11),""),IFERROR(IF($N16="LSI",INDEX($I$109:$I$132,MATCH($K16,$C$109:$C$132,0)),IF($N16="L",INDEX($G$109:$G$132,MATCH($K16,$C$109:$C$132,0)),IF($N16="R",INDEX($H$109:$H$132,MATCH($K16,$C$109:$C$132,0)),IF(Dashboard!$K$5="L",INDEX($G$109:$G$132,MATCH($K16,$C$109:$C$132,0)),IF(Dashboard!$K$5="R",INDEX($H$109:$H$132,MATCH($K16,$C$109:$C$132,0)),""))))),"")))&gt;=$P16),"MET","NOT MET"))</f>
        <v>NOT MET</v>
      </c>
      <c r="T16" s="7"/>
      <c r="U16" s="68" t="str">
        <f aca="false">IF($T16&lt;&gt;"",$T16,IF($S16="MET","Y",IF($S16="NOT MET","N","")))</f>
        <v>N</v>
      </c>
      <c r="V16" s="70" t="str">
        <f aca="false">IF($U16="Y",IFERROR(IF(LEFT($K16,4)="GPS:","",INDEX($J$109:$J$132,MATCH($K16,$C$109:$C$132,0))),""),"")</f>
        <v/>
      </c>
      <c r="W16" s="70"/>
      <c r="X16" s="58"/>
      <c r="Y16" s="58"/>
      <c r="Z16" s="58"/>
      <c r="AA16" s="58"/>
    </row>
    <row r="17" customFormat="false" ht="18" hidden="false" customHeight="true" outlineLevel="0" collapsed="false">
      <c r="A17" s="64" t="n">
        <v>12</v>
      </c>
      <c r="B17" s="65"/>
      <c r="C17" s="65"/>
      <c r="D17" s="58" t="s">
        <v>124</v>
      </c>
      <c r="E17" s="58"/>
      <c r="F17" s="58"/>
      <c r="G17" s="58"/>
      <c r="H17" s="58"/>
      <c r="I17" s="58"/>
      <c r="J17" s="58"/>
      <c r="K17" s="66" t="s">
        <v>125</v>
      </c>
      <c r="L17" s="66"/>
      <c r="M17" s="66"/>
      <c r="N17" s="67" t="s">
        <v>50</v>
      </c>
      <c r="O17" s="67" t="s">
        <v>108</v>
      </c>
      <c r="P17" s="67" t="n">
        <v>0.9</v>
      </c>
      <c r="Q17" s="68" t="str">
        <f aca="false">IF(IF(OR($K17="",$K17="Manual"),"",IF(LEFT($K17,4)="GPS:",IFERROR(CHOOSE(MATCH($K17,Lists!$G$3:$G$8,0),GPS!$G$6,GPS!$G$7,GPS!$G$8,GPS!$G$9,GPS!$G$10,GPS!$G$11),""),IFERROR(IF($N17="LSI",INDEX($I$109:$I$132,MATCH($K17,$C$109:$C$132,0)),IF($N17="L",INDEX($G$109:$G$132,MATCH($K17,$C$109:$C$132,0)),IF($N17="R",INDEX($H$109:$H$132,MATCH($K17,$C$109:$C$132,0)),IF(Dashboard!$K$5="L",INDEX($G$109:$G$132,MATCH($K17,$C$109:$C$132,0)),IF(Dashboard!$K$5="R",INDEX($H$109:$H$132,MATCH($K17,$C$109:$C$132,0)),""))))),"")))="","",IF(OR($N17="LSI",LEFT($K17,4)="GPS:"),TEXT(IF(OR($K17="",$K17="Manual"),"",IF(LEFT($K17,4)="GPS:",IFERROR(CHOOSE(MATCH($K17,Lists!$G$3:$G$8,0),GPS!$G$6,GPS!$G$7,GPS!$G$8,GPS!$G$9,GPS!$G$10,GPS!$G$11),""),IFERROR(IF($N17="LSI",INDEX($I$109:$I$132,MATCH($K17,$C$109:$C$132,0)),IF($N17="L",INDEX($G$109:$G$132,MATCH($K17,$C$109:$C$132,0)),IF($N17="R",INDEX($H$109:$H$132,MATCH($K17,$C$109:$C$132,0)),IF(Dashboard!$K$5="L",INDEX($G$109:$G$132,MATCH($K17,$C$109:$C$132,0)),IF(Dashboard!$K$5="R",INDEX($H$109:$H$132,MATCH($K17,$C$109:$C$132,0)),""))))),""))),"0%"),TEXT(IF(OR($K17="",$K17="Manual"),"",IF(LEFT($K17,4)="GPS:",IFERROR(CHOOSE(MATCH($K17,Lists!$G$3:$G$8,0),GPS!$G$6,GPS!$G$7,GPS!$G$8,GPS!$G$9,GPS!$G$10,GPS!$G$11),""),IFERROR(IF($N17="LSI",INDEX($I$109:$I$132,MATCH($K17,$C$109:$C$132,0)),IF($N17="L",INDEX($G$109:$G$132,MATCH($K17,$C$109:$C$132,0)),IF($N17="R",INDEX($H$109:$H$132,MATCH($K17,$C$109:$C$132,0)),IF(Dashboard!$K$5="L",INDEX($G$109:$G$132,MATCH($K17,$C$109:$C$132,0)),IF(Dashboard!$K$5="R",INDEX($H$109:$H$132,MATCH($K17,$C$109:$C$132,0)),""))))),""))),"0.0")))</f>
        <v>75%</v>
      </c>
      <c r="R17" s="68"/>
      <c r="S17" s="69" t="str">
        <f aca="false">IF(OR(IF(OR($K17="",$K17="Manual"),"",IF(LEFT($K17,4)="GPS:",IFERROR(CHOOSE(MATCH($K17,Lists!$G$3:$G$8,0),GPS!$G$6,GPS!$G$7,GPS!$G$8,GPS!$G$9,GPS!$G$10,GPS!$G$11),""),IFERROR(IF($N17="LSI",INDEX($I$109:$I$132,MATCH($K17,$C$109:$C$132,0)),IF($N17="L",INDEX($G$109:$G$132,MATCH($K17,$C$109:$C$132,0)),IF($N17="R",INDEX($H$109:$H$132,MATCH($K17,$C$109:$C$132,0)),IF(Dashboard!$K$5="L",INDEX($G$109:$G$132,MATCH($K17,$C$109:$C$132,0)),IF(Dashboard!$K$5="R",INDEX($H$109:$H$132,MATCH($K17,$C$109:$C$132,0)),""))))),"")))="",$P17=""),"",IF(IF($O17="≤",IF(OR($K17="",$K17="Manual"),"",IF(LEFT($K17,4)="GPS:",IFERROR(CHOOSE(MATCH($K17,Lists!$G$3:$G$8,0),GPS!$G$6,GPS!$G$7,GPS!$G$8,GPS!$G$9,GPS!$G$10,GPS!$G$11),""),IFERROR(IF($N17="LSI",INDEX($I$109:$I$132,MATCH($K17,$C$109:$C$132,0)),IF($N17="L",INDEX($G$109:$G$132,MATCH($K17,$C$109:$C$132,0)),IF($N17="R",INDEX($H$109:$H$132,MATCH($K17,$C$109:$C$132,0)),IF(Dashboard!$K$5="L",INDEX($G$109:$G$132,MATCH($K17,$C$109:$C$132,0)),IF(Dashboard!$K$5="R",INDEX($H$109:$H$132,MATCH($K17,$C$109:$C$132,0)),""))))),"")))&lt;=$P17,IF(OR($K17="",$K17="Manual"),"",IF(LEFT($K17,4)="GPS:",IFERROR(CHOOSE(MATCH($K17,Lists!$G$3:$G$8,0),GPS!$G$6,GPS!$G$7,GPS!$G$8,GPS!$G$9,GPS!$G$10,GPS!$G$11),""),IFERROR(IF($N17="LSI",INDEX($I$109:$I$132,MATCH($K17,$C$109:$C$132,0)),IF($N17="L",INDEX($G$109:$G$132,MATCH($K17,$C$109:$C$132,0)),IF($N17="R",INDEX($H$109:$H$132,MATCH($K17,$C$109:$C$132,0)),IF(Dashboard!$K$5="L",INDEX($G$109:$G$132,MATCH($K17,$C$109:$C$132,0)),IF(Dashboard!$K$5="R",INDEX($H$109:$H$132,MATCH($K17,$C$109:$C$132,0)),""))))),"")))&gt;=$P17),"MET","NOT MET"))</f>
        <v>NOT MET</v>
      </c>
      <c r="T17" s="7"/>
      <c r="U17" s="68" t="str">
        <f aca="false">IF($T17&lt;&gt;"",$T17,IF($S17="MET","Y",IF($S17="NOT MET","N","")))</f>
        <v>N</v>
      </c>
      <c r="V17" s="70" t="str">
        <f aca="false">IF($U17="Y",IFERROR(IF(LEFT($K17,4)="GPS:","",INDEX($J$109:$J$132,MATCH($K17,$C$109:$C$132,0))),""),"")</f>
        <v/>
      </c>
      <c r="W17" s="70"/>
      <c r="X17" s="58"/>
      <c r="Y17" s="58"/>
      <c r="Z17" s="58"/>
      <c r="AA17" s="58"/>
    </row>
    <row r="18" customFormat="false" ht="18" hidden="false" customHeight="true" outlineLevel="0" collapsed="false">
      <c r="A18" s="64" t="n">
        <v>13</v>
      </c>
      <c r="B18" s="65" t="s">
        <v>128</v>
      </c>
      <c r="C18" s="65"/>
      <c r="D18" s="58" t="s">
        <v>129</v>
      </c>
      <c r="E18" s="58"/>
      <c r="F18" s="58"/>
      <c r="G18" s="58"/>
      <c r="H18" s="58"/>
      <c r="I18" s="58"/>
      <c r="J18" s="58"/>
      <c r="K18" s="66" t="s">
        <v>130</v>
      </c>
      <c r="L18" s="66"/>
      <c r="M18" s="66"/>
      <c r="N18" s="67"/>
      <c r="O18" s="67" t="s">
        <v>108</v>
      </c>
      <c r="P18" s="67" t="n">
        <v>0.9</v>
      </c>
      <c r="Q18" s="68" t="str">
        <f aca="false">IF(IF(OR($K18="",$K18="Manual"),"",IF(LEFT($K18,4)="GPS:",IFERROR(CHOOSE(MATCH($K18,Lists!$G$3:$G$8,0),GPS!$G$6,GPS!$G$7,GPS!$G$8,GPS!$G$9,GPS!$G$10,GPS!$G$11),""),IFERROR(IF($N18="LSI",INDEX($I$109:$I$132,MATCH($K18,$C$109:$C$132,0)),IF($N18="L",INDEX($G$109:$G$132,MATCH($K18,$C$109:$C$132,0)),IF($N18="R",INDEX($H$109:$H$132,MATCH($K18,$C$109:$C$132,0)),IF(Dashboard!$K$5="L",INDEX($G$109:$G$132,MATCH($K18,$C$109:$C$132,0)),IF(Dashboard!$K$5="R",INDEX($H$109:$H$132,MATCH($K18,$C$109:$C$132,0)),""))))),"")))="","",IF(OR($N18="LSI",LEFT($K18,4)="GPS:"),TEXT(IF(OR($K18="",$K18="Manual"),"",IF(LEFT($K18,4)="GPS:",IFERROR(CHOOSE(MATCH($K18,Lists!$G$3:$G$8,0),GPS!$G$6,GPS!$G$7,GPS!$G$8,GPS!$G$9,GPS!$G$10,GPS!$G$11),""),IFERROR(IF($N18="LSI",INDEX($I$109:$I$132,MATCH($K18,$C$109:$C$132,0)),IF($N18="L",INDEX($G$109:$G$132,MATCH($K18,$C$109:$C$132,0)),IF($N18="R",INDEX($H$109:$H$132,MATCH($K18,$C$109:$C$132,0)),IF(Dashboard!$K$5="L",INDEX($G$109:$G$132,MATCH($K18,$C$109:$C$132,0)),IF(Dashboard!$K$5="R",INDEX($H$109:$H$132,MATCH($K18,$C$109:$C$132,0)),""))))),""))),"0%"),TEXT(IF(OR($K18="",$K18="Manual"),"",IF(LEFT($K18,4)="GPS:",IFERROR(CHOOSE(MATCH($K18,Lists!$G$3:$G$8,0),GPS!$G$6,GPS!$G$7,GPS!$G$8,GPS!$G$9,GPS!$G$10,GPS!$G$11),""),IFERROR(IF($N18="LSI",INDEX($I$109:$I$132,MATCH($K18,$C$109:$C$132,0)),IF($N18="L",INDEX($G$109:$G$132,MATCH($K18,$C$109:$C$132,0)),IF($N18="R",INDEX($H$109:$H$132,MATCH($K18,$C$109:$C$132,0)),IF(Dashboard!$K$5="L",INDEX($G$109:$G$132,MATCH($K18,$C$109:$C$132,0)),IF(Dashboard!$K$5="R",INDEX($H$109:$H$132,MATCH($K18,$C$109:$C$132,0)),""))))),""))),"0.0")))</f>
        <v>52%</v>
      </c>
      <c r="R18" s="68"/>
      <c r="S18" s="69" t="str">
        <f aca="false">IF(OR(IF(OR($K18="",$K18="Manual"),"",IF(LEFT($K18,4)="GPS:",IFERROR(CHOOSE(MATCH($K18,Lists!$G$3:$G$8,0),GPS!$G$6,GPS!$G$7,GPS!$G$8,GPS!$G$9,GPS!$G$10,GPS!$G$11),""),IFERROR(IF($N18="LSI",INDEX($I$109:$I$132,MATCH($K18,$C$109:$C$132,0)),IF($N18="L",INDEX($G$109:$G$132,MATCH($K18,$C$109:$C$132,0)),IF($N18="R",INDEX($H$109:$H$132,MATCH($K18,$C$109:$C$132,0)),IF(Dashboard!$K$5="L",INDEX($G$109:$G$132,MATCH($K18,$C$109:$C$132,0)),IF(Dashboard!$K$5="R",INDEX($H$109:$H$132,MATCH($K18,$C$109:$C$132,0)),""))))),"")))="",$P18=""),"",IF(IF($O18="≤",IF(OR($K18="",$K18="Manual"),"",IF(LEFT($K18,4)="GPS:",IFERROR(CHOOSE(MATCH($K18,Lists!$G$3:$G$8,0),GPS!$G$6,GPS!$G$7,GPS!$G$8,GPS!$G$9,GPS!$G$10,GPS!$G$11),""),IFERROR(IF($N18="LSI",INDEX($I$109:$I$132,MATCH($K18,$C$109:$C$132,0)),IF($N18="L",INDEX($G$109:$G$132,MATCH($K18,$C$109:$C$132,0)),IF($N18="R",INDEX($H$109:$H$132,MATCH($K18,$C$109:$C$132,0)),IF(Dashboard!$K$5="L",INDEX($G$109:$G$132,MATCH($K18,$C$109:$C$132,0)),IF(Dashboard!$K$5="R",INDEX($H$109:$H$132,MATCH($K18,$C$109:$C$132,0)),""))))),"")))&lt;=$P18,IF(OR($K18="",$K18="Manual"),"",IF(LEFT($K18,4)="GPS:",IFERROR(CHOOSE(MATCH($K18,Lists!$G$3:$G$8,0),GPS!$G$6,GPS!$G$7,GPS!$G$8,GPS!$G$9,GPS!$G$10,GPS!$G$11),""),IFERROR(IF($N18="LSI",INDEX($I$109:$I$132,MATCH($K18,$C$109:$C$132,0)),IF($N18="L",INDEX($G$109:$G$132,MATCH($K18,$C$109:$C$132,0)),IF($N18="R",INDEX($H$109:$H$132,MATCH($K18,$C$109:$C$132,0)),IF(Dashboard!$K$5="L",INDEX($G$109:$G$132,MATCH($K18,$C$109:$C$132,0)),IF(Dashboard!$K$5="R",INDEX($H$109:$H$132,MATCH($K18,$C$109:$C$132,0)),""))))),"")))&gt;=$P18),"MET","NOT MET"))</f>
        <v>NOT MET</v>
      </c>
      <c r="T18" s="7"/>
      <c r="U18" s="68" t="str">
        <f aca="false">IF($T18&lt;&gt;"",$T18,IF($S18="MET","Y",IF($S18="NOT MET","N","")))</f>
        <v>N</v>
      </c>
      <c r="V18" s="70" t="str">
        <f aca="false">IF($U18="Y",IFERROR(IF(LEFT($K18,4)="GPS:","",INDEX($J$109:$J$132,MATCH($K18,$C$109:$C$132,0))),""),"")</f>
        <v/>
      </c>
      <c r="W18" s="70"/>
      <c r="X18" s="58"/>
      <c r="Y18" s="58"/>
      <c r="Z18" s="58"/>
      <c r="AA18" s="58"/>
    </row>
    <row r="19" customFormat="false" ht="18" hidden="false" customHeight="true" outlineLevel="0" collapsed="false">
      <c r="A19" s="64" t="n">
        <v>14</v>
      </c>
      <c r="B19" s="65"/>
      <c r="C19" s="65"/>
      <c r="D19" s="58" t="s">
        <v>131</v>
      </c>
      <c r="E19" s="58"/>
      <c r="F19" s="58"/>
      <c r="G19" s="58"/>
      <c r="H19" s="58"/>
      <c r="I19" s="58"/>
      <c r="J19" s="58"/>
      <c r="K19" s="66" t="s">
        <v>132</v>
      </c>
      <c r="L19" s="66"/>
      <c r="M19" s="66"/>
      <c r="N19" s="67"/>
      <c r="O19" s="67" t="s">
        <v>108</v>
      </c>
      <c r="P19" s="67" t="n">
        <v>0.9</v>
      </c>
      <c r="Q19" s="68" t="str">
        <f aca="false">IF(IF(OR($K19="",$K19="Manual"),"",IF(LEFT($K19,4)="GPS:",IFERROR(CHOOSE(MATCH($K19,Lists!$G$3:$G$8,0),GPS!$G$6,GPS!$G$7,GPS!$G$8,GPS!$G$9,GPS!$G$10,GPS!$G$11),""),IFERROR(IF($N19="LSI",INDEX($I$109:$I$132,MATCH($K19,$C$109:$C$132,0)),IF($N19="L",INDEX($G$109:$G$132,MATCH($K19,$C$109:$C$132,0)),IF($N19="R",INDEX($H$109:$H$132,MATCH($K19,$C$109:$C$132,0)),IF(Dashboard!$K$5="L",INDEX($G$109:$G$132,MATCH($K19,$C$109:$C$132,0)),IF(Dashboard!$K$5="R",INDEX($H$109:$H$132,MATCH($K19,$C$109:$C$132,0)),""))))),"")))="","",IF(OR($N19="LSI",LEFT($K19,4)="GPS:"),TEXT(IF(OR($K19="",$K19="Manual"),"",IF(LEFT($K19,4)="GPS:",IFERROR(CHOOSE(MATCH($K19,Lists!$G$3:$G$8,0),GPS!$G$6,GPS!$G$7,GPS!$G$8,GPS!$G$9,GPS!$G$10,GPS!$G$11),""),IFERROR(IF($N19="LSI",INDEX($I$109:$I$132,MATCH($K19,$C$109:$C$132,0)),IF($N19="L",INDEX($G$109:$G$132,MATCH($K19,$C$109:$C$132,0)),IF($N19="R",INDEX($H$109:$H$132,MATCH($K19,$C$109:$C$132,0)),IF(Dashboard!$K$5="L",INDEX($G$109:$G$132,MATCH($K19,$C$109:$C$132,0)),IF(Dashboard!$K$5="R",INDEX($H$109:$H$132,MATCH($K19,$C$109:$C$132,0)),""))))),""))),"0%"),TEXT(IF(OR($K19="",$K19="Manual"),"",IF(LEFT($K19,4)="GPS:",IFERROR(CHOOSE(MATCH($K19,Lists!$G$3:$G$8,0),GPS!$G$6,GPS!$G$7,GPS!$G$8,GPS!$G$9,GPS!$G$10,GPS!$G$11),""),IFERROR(IF($N19="LSI",INDEX($I$109:$I$132,MATCH($K19,$C$109:$C$132,0)),IF($N19="L",INDEX($G$109:$G$132,MATCH($K19,$C$109:$C$132,0)),IF($N19="R",INDEX($H$109:$H$132,MATCH($K19,$C$109:$C$132,0)),IF(Dashboard!$K$5="L",INDEX($G$109:$G$132,MATCH($K19,$C$109:$C$132,0)),IF(Dashboard!$K$5="R",INDEX($H$109:$H$132,MATCH($K19,$C$109:$C$132,0)),""))))),""))),"0.0")))</f>
        <v>59%</v>
      </c>
      <c r="R19" s="68"/>
      <c r="S19" s="69" t="str">
        <f aca="false">IF(OR(IF(OR($K19="",$K19="Manual"),"",IF(LEFT($K19,4)="GPS:",IFERROR(CHOOSE(MATCH($K19,Lists!$G$3:$G$8,0),GPS!$G$6,GPS!$G$7,GPS!$G$8,GPS!$G$9,GPS!$G$10,GPS!$G$11),""),IFERROR(IF($N19="LSI",INDEX($I$109:$I$132,MATCH($K19,$C$109:$C$132,0)),IF($N19="L",INDEX($G$109:$G$132,MATCH($K19,$C$109:$C$132,0)),IF($N19="R",INDEX($H$109:$H$132,MATCH($K19,$C$109:$C$132,0)),IF(Dashboard!$K$5="L",INDEX($G$109:$G$132,MATCH($K19,$C$109:$C$132,0)),IF(Dashboard!$K$5="R",INDEX($H$109:$H$132,MATCH($K19,$C$109:$C$132,0)),""))))),"")))="",$P19=""),"",IF(IF($O19="≤",IF(OR($K19="",$K19="Manual"),"",IF(LEFT($K19,4)="GPS:",IFERROR(CHOOSE(MATCH($K19,Lists!$G$3:$G$8,0),GPS!$G$6,GPS!$G$7,GPS!$G$8,GPS!$G$9,GPS!$G$10,GPS!$G$11),""),IFERROR(IF($N19="LSI",INDEX($I$109:$I$132,MATCH($K19,$C$109:$C$132,0)),IF($N19="L",INDEX($G$109:$G$132,MATCH($K19,$C$109:$C$132,0)),IF($N19="R",INDEX($H$109:$H$132,MATCH($K19,$C$109:$C$132,0)),IF(Dashboard!$K$5="L",INDEX($G$109:$G$132,MATCH($K19,$C$109:$C$132,0)),IF(Dashboard!$K$5="R",INDEX($H$109:$H$132,MATCH($K19,$C$109:$C$132,0)),""))))),"")))&lt;=$P19,IF(OR($K19="",$K19="Manual"),"",IF(LEFT($K19,4)="GPS:",IFERROR(CHOOSE(MATCH($K19,Lists!$G$3:$G$8,0),GPS!$G$6,GPS!$G$7,GPS!$G$8,GPS!$G$9,GPS!$G$10,GPS!$G$11),""),IFERROR(IF($N19="LSI",INDEX($I$109:$I$132,MATCH($K19,$C$109:$C$132,0)),IF($N19="L",INDEX($G$109:$G$132,MATCH($K19,$C$109:$C$132,0)),IF($N19="R",INDEX($H$109:$H$132,MATCH($K19,$C$109:$C$132,0)),IF(Dashboard!$K$5="L",INDEX($G$109:$G$132,MATCH($K19,$C$109:$C$132,0)),IF(Dashboard!$K$5="R",INDEX($H$109:$H$132,MATCH($K19,$C$109:$C$132,0)),""))))),"")))&gt;=$P19),"MET","NOT MET"))</f>
        <v>NOT MET</v>
      </c>
      <c r="T19" s="7"/>
      <c r="U19" s="68" t="str">
        <f aca="false">IF($T19&lt;&gt;"",$T19,IF($S19="MET","Y",IF($S19="NOT MET","N","")))</f>
        <v>N</v>
      </c>
      <c r="V19" s="70" t="str">
        <f aca="false">IF($U19="Y",IFERROR(IF(LEFT($K19,4)="GPS:","",INDEX($J$109:$J$132,MATCH($K19,$C$109:$C$132,0))),""),"")</f>
        <v/>
      </c>
      <c r="W19" s="70"/>
      <c r="X19" s="58"/>
      <c r="Y19" s="58"/>
      <c r="Z19" s="58"/>
      <c r="AA19" s="58"/>
    </row>
    <row r="20" customFormat="false" ht="18" hidden="false" customHeight="true" outlineLevel="0" collapsed="false">
      <c r="A20" s="64" t="n">
        <v>15</v>
      </c>
      <c r="B20" s="65"/>
      <c r="C20" s="65"/>
      <c r="D20" s="58" t="s">
        <v>133</v>
      </c>
      <c r="E20" s="58"/>
      <c r="F20" s="58"/>
      <c r="G20" s="58"/>
      <c r="H20" s="58"/>
      <c r="I20" s="58"/>
      <c r="J20" s="58"/>
      <c r="K20" s="66" t="s">
        <v>107</v>
      </c>
      <c r="L20" s="66"/>
      <c r="M20" s="66"/>
      <c r="N20" s="67"/>
      <c r="O20" s="67" t="s">
        <v>108</v>
      </c>
      <c r="P20" s="67"/>
      <c r="Q20" s="68" t="str">
        <f aca="false">IF(IF(OR($K20="",$K20="Manual"),"",IF(LEFT($K20,4)="GPS:",IFERROR(CHOOSE(MATCH($K20,Lists!$G$3:$G$8,0),GPS!$G$6,GPS!$G$7,GPS!$G$8,GPS!$G$9,GPS!$G$10,GPS!$G$11),""),IFERROR(IF($N20="LSI",INDEX($I$109:$I$132,MATCH($K20,$C$109:$C$132,0)),IF($N20="L",INDEX($G$109:$G$132,MATCH($K20,$C$109:$C$132,0)),IF($N20="R",INDEX($H$109:$H$132,MATCH($K20,$C$109:$C$132,0)),IF(Dashboard!$K$5="L",INDEX($G$109:$G$132,MATCH($K20,$C$109:$C$132,0)),IF(Dashboard!$K$5="R",INDEX($H$109:$H$132,MATCH($K20,$C$109:$C$132,0)),""))))),"")))="","",IF(OR($N20="LSI",LEFT($K20,4)="GPS:"),TEXT(IF(OR($K20="",$K20="Manual"),"",IF(LEFT($K20,4)="GPS:",IFERROR(CHOOSE(MATCH($K20,Lists!$G$3:$G$8,0),GPS!$G$6,GPS!$G$7,GPS!$G$8,GPS!$G$9,GPS!$G$10,GPS!$G$11),""),IFERROR(IF($N20="LSI",INDEX($I$109:$I$132,MATCH($K20,$C$109:$C$132,0)),IF($N20="L",INDEX($G$109:$G$132,MATCH($K20,$C$109:$C$132,0)),IF($N20="R",INDEX($H$109:$H$132,MATCH($K20,$C$109:$C$132,0)),IF(Dashboard!$K$5="L",INDEX($G$109:$G$132,MATCH($K20,$C$109:$C$132,0)),IF(Dashboard!$K$5="R",INDEX($H$109:$H$132,MATCH($K20,$C$109:$C$132,0)),""))))),""))),"0%"),TEXT(IF(OR($K20="",$K20="Manual"),"",IF(LEFT($K20,4)="GPS:",IFERROR(CHOOSE(MATCH($K20,Lists!$G$3:$G$8,0),GPS!$G$6,GPS!$G$7,GPS!$G$8,GPS!$G$9,GPS!$G$10,GPS!$G$11),""),IFERROR(IF($N20="LSI",INDEX($I$109:$I$132,MATCH($K20,$C$109:$C$132,0)),IF($N20="L",INDEX($G$109:$G$132,MATCH($K20,$C$109:$C$132,0)),IF($N20="R",INDEX($H$109:$H$132,MATCH($K20,$C$109:$C$132,0)),IF(Dashboard!$K$5="L",INDEX($G$109:$G$132,MATCH($K20,$C$109:$C$132,0)),IF(Dashboard!$K$5="R",INDEX($H$109:$H$132,MATCH($K20,$C$109:$C$132,0)),""))))),""))),"0.0")))</f>
        <v/>
      </c>
      <c r="R20" s="68"/>
      <c r="S20" s="69" t="str">
        <f aca="false">IF(OR(IF(OR($K20="",$K20="Manual"),"",IF(LEFT($K20,4)="GPS:",IFERROR(CHOOSE(MATCH($K20,Lists!$G$3:$G$8,0),GPS!$G$6,GPS!$G$7,GPS!$G$8,GPS!$G$9,GPS!$G$10,GPS!$G$11),""),IFERROR(IF($N20="LSI",INDEX($I$109:$I$132,MATCH($K20,$C$109:$C$132,0)),IF($N20="L",INDEX($G$109:$G$132,MATCH($K20,$C$109:$C$132,0)),IF($N20="R",INDEX($H$109:$H$132,MATCH($K20,$C$109:$C$132,0)),IF(Dashboard!$K$5="L",INDEX($G$109:$G$132,MATCH($K20,$C$109:$C$132,0)),IF(Dashboard!$K$5="R",INDEX($H$109:$H$132,MATCH($K20,$C$109:$C$132,0)),""))))),"")))="",$P20=""),"",IF(IF($O20="≤",IF(OR($K20="",$K20="Manual"),"",IF(LEFT($K20,4)="GPS:",IFERROR(CHOOSE(MATCH($K20,Lists!$G$3:$G$8,0),GPS!$G$6,GPS!$G$7,GPS!$G$8,GPS!$G$9,GPS!$G$10,GPS!$G$11),""),IFERROR(IF($N20="LSI",INDEX($I$109:$I$132,MATCH($K20,$C$109:$C$132,0)),IF($N20="L",INDEX($G$109:$G$132,MATCH($K20,$C$109:$C$132,0)),IF($N20="R",INDEX($H$109:$H$132,MATCH($K20,$C$109:$C$132,0)),IF(Dashboard!$K$5="L",INDEX($G$109:$G$132,MATCH($K20,$C$109:$C$132,0)),IF(Dashboard!$K$5="R",INDEX($H$109:$H$132,MATCH($K20,$C$109:$C$132,0)),""))))),"")))&lt;=$P20,IF(OR($K20="",$K20="Manual"),"",IF(LEFT($K20,4)="GPS:",IFERROR(CHOOSE(MATCH($K20,Lists!$G$3:$G$8,0),GPS!$G$6,GPS!$G$7,GPS!$G$8,GPS!$G$9,GPS!$G$10,GPS!$G$11),""),IFERROR(IF($N20="LSI",INDEX($I$109:$I$132,MATCH($K20,$C$109:$C$132,0)),IF($N20="L",INDEX($G$109:$G$132,MATCH($K20,$C$109:$C$132,0)),IF($N20="R",INDEX($H$109:$H$132,MATCH($K20,$C$109:$C$132,0)),IF(Dashboard!$K$5="L",INDEX($G$109:$G$132,MATCH($K20,$C$109:$C$132,0)),IF(Dashboard!$K$5="R",INDEX($H$109:$H$132,MATCH($K20,$C$109:$C$132,0)),""))))),"")))&gt;=$P20),"MET","NOT MET"))</f>
        <v/>
      </c>
      <c r="T20" s="7"/>
      <c r="U20" s="68" t="str">
        <f aca="false">IF($T20&lt;&gt;"",$T20,IF($S20="MET","Y",IF($S20="NOT MET","N","")))</f>
        <v/>
      </c>
      <c r="V20" s="70" t="str">
        <f aca="false">IF($U20="Y",IFERROR(IF(LEFT($K20,4)="GPS:","",INDEX($J$109:$J$132,MATCH($K20,$C$109:$C$132,0))),""),"")</f>
        <v/>
      </c>
      <c r="W20" s="70"/>
      <c r="X20" s="58"/>
      <c r="Y20" s="58"/>
      <c r="Z20" s="58"/>
      <c r="AA20" s="58"/>
    </row>
    <row r="21" customFormat="false" ht="18" hidden="false" customHeight="true" outlineLevel="0" collapsed="false">
      <c r="A21" s="64" t="n">
        <v>16</v>
      </c>
      <c r="B21" s="65" t="s">
        <v>134</v>
      </c>
      <c r="C21" s="65"/>
      <c r="D21" s="58" t="s">
        <v>135</v>
      </c>
      <c r="E21" s="58"/>
      <c r="F21" s="58"/>
      <c r="G21" s="58"/>
      <c r="H21" s="58"/>
      <c r="I21" s="58"/>
      <c r="J21" s="58"/>
      <c r="K21" s="66" t="s">
        <v>130</v>
      </c>
      <c r="L21" s="66"/>
      <c r="M21" s="66"/>
      <c r="N21" s="67"/>
      <c r="O21" s="67" t="s">
        <v>108</v>
      </c>
      <c r="P21" s="67" t="n">
        <v>1</v>
      </c>
      <c r="Q21" s="68" t="str">
        <f aca="false">IF(IF(OR($K21="",$K21="Manual"),"",IF(LEFT($K21,4)="GPS:",IFERROR(CHOOSE(MATCH($K21,Lists!$G$3:$G$8,0),GPS!$G$6,GPS!$G$7,GPS!$G$8,GPS!$G$9,GPS!$G$10,GPS!$G$11),""),IFERROR(IF($N21="LSI",INDEX($I$109:$I$132,MATCH($K21,$C$109:$C$132,0)),IF($N21="L",INDEX($G$109:$G$132,MATCH($K21,$C$109:$C$132,0)),IF($N21="R",INDEX($H$109:$H$132,MATCH($K21,$C$109:$C$132,0)),IF(Dashboard!$K$5="L",INDEX($G$109:$G$132,MATCH($K21,$C$109:$C$132,0)),IF(Dashboard!$K$5="R",INDEX($H$109:$H$132,MATCH($K21,$C$109:$C$132,0)),""))))),"")))="","",IF(OR($N21="LSI",LEFT($K21,4)="GPS:"),TEXT(IF(OR($K21="",$K21="Manual"),"",IF(LEFT($K21,4)="GPS:",IFERROR(CHOOSE(MATCH($K21,Lists!$G$3:$G$8,0),GPS!$G$6,GPS!$G$7,GPS!$G$8,GPS!$G$9,GPS!$G$10,GPS!$G$11),""),IFERROR(IF($N21="LSI",INDEX($I$109:$I$132,MATCH($K21,$C$109:$C$132,0)),IF($N21="L",INDEX($G$109:$G$132,MATCH($K21,$C$109:$C$132,0)),IF($N21="R",INDEX($H$109:$H$132,MATCH($K21,$C$109:$C$132,0)),IF(Dashboard!$K$5="L",INDEX($G$109:$G$132,MATCH($K21,$C$109:$C$132,0)),IF(Dashboard!$K$5="R",INDEX($H$109:$H$132,MATCH($K21,$C$109:$C$132,0)),""))))),""))),"0%"),TEXT(IF(OR($K21="",$K21="Manual"),"",IF(LEFT($K21,4)="GPS:",IFERROR(CHOOSE(MATCH($K21,Lists!$G$3:$G$8,0),GPS!$G$6,GPS!$G$7,GPS!$G$8,GPS!$G$9,GPS!$G$10,GPS!$G$11),""),IFERROR(IF($N21="LSI",INDEX($I$109:$I$132,MATCH($K21,$C$109:$C$132,0)),IF($N21="L",INDEX($G$109:$G$132,MATCH($K21,$C$109:$C$132,0)),IF($N21="R",INDEX($H$109:$H$132,MATCH($K21,$C$109:$C$132,0)),IF(Dashboard!$K$5="L",INDEX($G$109:$G$132,MATCH($K21,$C$109:$C$132,0)),IF(Dashboard!$K$5="R",INDEX($H$109:$H$132,MATCH($K21,$C$109:$C$132,0)),""))))),""))),"0.0")))</f>
        <v>52%</v>
      </c>
      <c r="R21" s="68"/>
      <c r="S21" s="69" t="str">
        <f aca="false">IF(OR(IF(OR($K21="",$K21="Manual"),"",IF(LEFT($K21,4)="GPS:",IFERROR(CHOOSE(MATCH($K21,Lists!$G$3:$G$8,0),GPS!$G$6,GPS!$G$7,GPS!$G$8,GPS!$G$9,GPS!$G$10,GPS!$G$11),""),IFERROR(IF($N21="LSI",INDEX($I$109:$I$132,MATCH($K21,$C$109:$C$132,0)),IF($N21="L",INDEX($G$109:$G$132,MATCH($K21,$C$109:$C$132,0)),IF($N21="R",INDEX($H$109:$H$132,MATCH($K21,$C$109:$C$132,0)),IF(Dashboard!$K$5="L",INDEX($G$109:$G$132,MATCH($K21,$C$109:$C$132,0)),IF(Dashboard!$K$5="R",INDEX($H$109:$H$132,MATCH($K21,$C$109:$C$132,0)),""))))),"")))="",$P21=""),"",IF(IF($O21="≤",IF(OR($K21="",$K21="Manual"),"",IF(LEFT($K21,4)="GPS:",IFERROR(CHOOSE(MATCH($K21,Lists!$G$3:$G$8,0),GPS!$G$6,GPS!$G$7,GPS!$G$8,GPS!$G$9,GPS!$G$10,GPS!$G$11),""),IFERROR(IF($N21="LSI",INDEX($I$109:$I$132,MATCH($K21,$C$109:$C$132,0)),IF($N21="L",INDEX($G$109:$G$132,MATCH($K21,$C$109:$C$132,0)),IF($N21="R",INDEX($H$109:$H$132,MATCH($K21,$C$109:$C$132,0)),IF(Dashboard!$K$5="L",INDEX($G$109:$G$132,MATCH($K21,$C$109:$C$132,0)),IF(Dashboard!$K$5="R",INDEX($H$109:$H$132,MATCH($K21,$C$109:$C$132,0)),""))))),"")))&lt;=$P21,IF(OR($K21="",$K21="Manual"),"",IF(LEFT($K21,4)="GPS:",IFERROR(CHOOSE(MATCH($K21,Lists!$G$3:$G$8,0),GPS!$G$6,GPS!$G$7,GPS!$G$8,GPS!$G$9,GPS!$G$10,GPS!$G$11),""),IFERROR(IF($N21="LSI",INDEX($I$109:$I$132,MATCH($K21,$C$109:$C$132,0)),IF($N21="L",INDEX($G$109:$G$132,MATCH($K21,$C$109:$C$132,0)),IF($N21="R",INDEX($H$109:$H$132,MATCH($K21,$C$109:$C$132,0)),IF(Dashboard!$K$5="L",INDEX($G$109:$G$132,MATCH($K21,$C$109:$C$132,0)),IF(Dashboard!$K$5="R",INDEX($H$109:$H$132,MATCH($K21,$C$109:$C$132,0)),""))))),"")))&gt;=$P21),"MET","NOT MET"))</f>
        <v>NOT MET</v>
      </c>
      <c r="T21" s="7"/>
      <c r="U21" s="68" t="str">
        <f aca="false">IF($T21&lt;&gt;"",$T21,IF($S21="MET","Y",IF($S21="NOT MET","N","")))</f>
        <v>N</v>
      </c>
      <c r="V21" s="70" t="str">
        <f aca="false">IF($U21="Y",IFERROR(IF(LEFT($K21,4)="GPS:","",INDEX($J$109:$J$132,MATCH($K21,$C$109:$C$132,0))),""),"")</f>
        <v/>
      </c>
      <c r="W21" s="70"/>
      <c r="X21" s="58"/>
      <c r="Y21" s="58"/>
      <c r="Z21" s="58"/>
      <c r="AA21" s="58"/>
    </row>
    <row r="22" customFormat="false" ht="18" hidden="false" customHeight="true" outlineLevel="0" collapsed="false">
      <c r="A22" s="64" t="n">
        <v>17</v>
      </c>
      <c r="B22" s="65"/>
      <c r="C22" s="65"/>
      <c r="D22" s="58" t="s">
        <v>136</v>
      </c>
      <c r="E22" s="58"/>
      <c r="F22" s="58"/>
      <c r="G22" s="58"/>
      <c r="H22" s="58"/>
      <c r="I22" s="58"/>
      <c r="J22" s="58"/>
      <c r="K22" s="66" t="s">
        <v>137</v>
      </c>
      <c r="L22" s="66"/>
      <c r="M22" s="66"/>
      <c r="N22" s="67"/>
      <c r="O22" s="67" t="s">
        <v>108</v>
      </c>
      <c r="P22" s="67" t="n">
        <v>0.95</v>
      </c>
      <c r="Q22" s="68" t="str">
        <f aca="false">IF(IF(OR($K22="",$K22="Manual"),"",IF(LEFT($K22,4)="GPS:",IFERROR(CHOOSE(MATCH($K22,Lists!$G$3:$G$8,0),GPS!$G$6,GPS!$G$7,GPS!$G$8,GPS!$G$9,GPS!$G$10,GPS!$G$11),""),IFERROR(IF($N22="LSI",INDEX($I$109:$I$132,MATCH($K22,$C$109:$C$132,0)),IF($N22="L",INDEX($G$109:$G$132,MATCH($K22,$C$109:$C$132,0)),IF($N22="R",INDEX($H$109:$H$132,MATCH($K22,$C$109:$C$132,0)),IF(Dashboard!$K$5="L",INDEX($G$109:$G$132,MATCH($K22,$C$109:$C$132,0)),IF(Dashboard!$K$5="R",INDEX($H$109:$H$132,MATCH($K22,$C$109:$C$132,0)),""))))),"")))="","",IF(OR($N22="LSI",LEFT($K22,4)="GPS:"),TEXT(IF(OR($K22="",$K22="Manual"),"",IF(LEFT($K22,4)="GPS:",IFERROR(CHOOSE(MATCH($K22,Lists!$G$3:$G$8,0),GPS!$G$6,GPS!$G$7,GPS!$G$8,GPS!$G$9,GPS!$G$10,GPS!$G$11),""),IFERROR(IF($N22="LSI",INDEX($I$109:$I$132,MATCH($K22,$C$109:$C$132,0)),IF($N22="L",INDEX($G$109:$G$132,MATCH($K22,$C$109:$C$132,0)),IF($N22="R",INDEX($H$109:$H$132,MATCH($K22,$C$109:$C$132,0)),IF(Dashboard!$K$5="L",INDEX($G$109:$G$132,MATCH($K22,$C$109:$C$132,0)),IF(Dashboard!$K$5="R",INDEX($H$109:$H$132,MATCH($K22,$C$109:$C$132,0)),""))))),""))),"0%"),TEXT(IF(OR($K22="",$K22="Manual"),"",IF(LEFT($K22,4)="GPS:",IFERROR(CHOOSE(MATCH($K22,Lists!$G$3:$G$8,0),GPS!$G$6,GPS!$G$7,GPS!$G$8,GPS!$G$9,GPS!$G$10,GPS!$G$11),""),IFERROR(IF($N22="LSI",INDEX($I$109:$I$132,MATCH($K22,$C$109:$C$132,0)),IF($N22="L",INDEX($G$109:$G$132,MATCH($K22,$C$109:$C$132,0)),IF($N22="R",INDEX($H$109:$H$132,MATCH($K22,$C$109:$C$132,0)),IF(Dashboard!$K$5="L",INDEX($G$109:$G$132,MATCH($K22,$C$109:$C$132,0)),IF(Dashboard!$K$5="R",INDEX($H$109:$H$132,MATCH($K22,$C$109:$C$132,0)),""))))),""))),"0.0")))</f>
        <v>42%</v>
      </c>
      <c r="R22" s="68"/>
      <c r="S22" s="69" t="str">
        <f aca="false">IF(OR(IF(OR($K22="",$K22="Manual"),"",IF(LEFT($K22,4)="GPS:",IFERROR(CHOOSE(MATCH($K22,Lists!$G$3:$G$8,0),GPS!$G$6,GPS!$G$7,GPS!$G$8,GPS!$G$9,GPS!$G$10,GPS!$G$11),""),IFERROR(IF($N22="LSI",INDEX($I$109:$I$132,MATCH($K22,$C$109:$C$132,0)),IF($N22="L",INDEX($G$109:$G$132,MATCH($K22,$C$109:$C$132,0)),IF($N22="R",INDEX($H$109:$H$132,MATCH($K22,$C$109:$C$132,0)),IF(Dashboard!$K$5="L",INDEX($G$109:$G$132,MATCH($K22,$C$109:$C$132,0)),IF(Dashboard!$K$5="R",INDEX($H$109:$H$132,MATCH($K22,$C$109:$C$132,0)),""))))),"")))="",$P22=""),"",IF(IF($O22="≤",IF(OR($K22="",$K22="Manual"),"",IF(LEFT($K22,4)="GPS:",IFERROR(CHOOSE(MATCH($K22,Lists!$G$3:$G$8,0),GPS!$G$6,GPS!$G$7,GPS!$G$8,GPS!$G$9,GPS!$G$10,GPS!$G$11),""),IFERROR(IF($N22="LSI",INDEX($I$109:$I$132,MATCH($K22,$C$109:$C$132,0)),IF($N22="L",INDEX($G$109:$G$132,MATCH($K22,$C$109:$C$132,0)),IF($N22="R",INDEX($H$109:$H$132,MATCH($K22,$C$109:$C$132,0)),IF(Dashboard!$K$5="L",INDEX($G$109:$G$132,MATCH($K22,$C$109:$C$132,0)),IF(Dashboard!$K$5="R",INDEX($H$109:$H$132,MATCH($K22,$C$109:$C$132,0)),""))))),"")))&lt;=$P22,IF(OR($K22="",$K22="Manual"),"",IF(LEFT($K22,4)="GPS:",IFERROR(CHOOSE(MATCH($K22,Lists!$G$3:$G$8,0),GPS!$G$6,GPS!$G$7,GPS!$G$8,GPS!$G$9,GPS!$G$10,GPS!$G$11),""),IFERROR(IF($N22="LSI",INDEX($I$109:$I$132,MATCH($K22,$C$109:$C$132,0)),IF($N22="L",INDEX($G$109:$G$132,MATCH($K22,$C$109:$C$132,0)),IF($N22="R",INDEX($H$109:$H$132,MATCH($K22,$C$109:$C$132,0)),IF(Dashboard!$K$5="L",INDEX($G$109:$G$132,MATCH($K22,$C$109:$C$132,0)),IF(Dashboard!$K$5="R",INDEX($H$109:$H$132,MATCH($K22,$C$109:$C$132,0)),""))))),"")))&gt;=$P22),"MET","NOT MET"))</f>
        <v>NOT MET</v>
      </c>
      <c r="T22" s="7"/>
      <c r="U22" s="68" t="str">
        <f aca="false">IF($T22&lt;&gt;"",$T22,IF($S22="MET","Y",IF($S22="NOT MET","N","")))</f>
        <v>N</v>
      </c>
      <c r="V22" s="70" t="str">
        <f aca="false">IF($U22="Y",IFERROR(IF(LEFT($K22,4)="GPS:","",INDEX($J$109:$J$132,MATCH($K22,$C$109:$C$132,0))),""),"")</f>
        <v/>
      </c>
      <c r="W22" s="70"/>
      <c r="X22" s="58"/>
      <c r="Y22" s="58"/>
      <c r="Z22" s="58"/>
      <c r="AA22" s="58"/>
    </row>
    <row r="23" customFormat="false" ht="18" hidden="false" customHeight="true" outlineLevel="0" collapsed="false">
      <c r="A23" s="64" t="n">
        <v>18</v>
      </c>
      <c r="B23" s="65"/>
      <c r="C23" s="65"/>
      <c r="D23" s="58" t="s">
        <v>229</v>
      </c>
      <c r="E23" s="58"/>
      <c r="F23" s="58"/>
      <c r="G23" s="58"/>
      <c r="H23" s="58"/>
      <c r="I23" s="58"/>
      <c r="J23" s="58"/>
      <c r="K23" s="66" t="s">
        <v>107</v>
      </c>
      <c r="L23" s="66"/>
      <c r="M23" s="66"/>
      <c r="N23" s="67"/>
      <c r="O23" s="67" t="s">
        <v>108</v>
      </c>
      <c r="P23" s="67"/>
      <c r="Q23" s="68" t="str">
        <f aca="false">IF(IF(OR($K23="",$K23="Manual"),"",IF(LEFT($K23,4)="GPS:",IFERROR(CHOOSE(MATCH($K23,Lists!$G$3:$G$8,0),GPS!$G$6,GPS!$G$7,GPS!$G$8,GPS!$G$9,GPS!$G$10,GPS!$G$11),""),IFERROR(IF($N23="LSI",INDEX($I$109:$I$132,MATCH($K23,$C$109:$C$132,0)),IF($N23="L",INDEX($G$109:$G$132,MATCH($K23,$C$109:$C$132,0)),IF($N23="R",INDEX($H$109:$H$132,MATCH($K23,$C$109:$C$132,0)),IF(Dashboard!$K$5="L",INDEX($G$109:$G$132,MATCH($K23,$C$109:$C$132,0)),IF(Dashboard!$K$5="R",INDEX($H$109:$H$132,MATCH($K23,$C$109:$C$132,0)),""))))),"")))="","",IF(OR($N23="LSI",LEFT($K23,4)="GPS:"),TEXT(IF(OR($K23="",$K23="Manual"),"",IF(LEFT($K23,4)="GPS:",IFERROR(CHOOSE(MATCH($K23,Lists!$G$3:$G$8,0),GPS!$G$6,GPS!$G$7,GPS!$G$8,GPS!$G$9,GPS!$G$10,GPS!$G$11),""),IFERROR(IF($N23="LSI",INDEX($I$109:$I$132,MATCH($K23,$C$109:$C$132,0)),IF($N23="L",INDEX($G$109:$G$132,MATCH($K23,$C$109:$C$132,0)),IF($N23="R",INDEX($H$109:$H$132,MATCH($K23,$C$109:$C$132,0)),IF(Dashboard!$K$5="L",INDEX($G$109:$G$132,MATCH($K23,$C$109:$C$132,0)),IF(Dashboard!$K$5="R",INDEX($H$109:$H$132,MATCH($K23,$C$109:$C$132,0)),""))))),""))),"0%"),TEXT(IF(OR($K23="",$K23="Manual"),"",IF(LEFT($K23,4)="GPS:",IFERROR(CHOOSE(MATCH($K23,Lists!$G$3:$G$8,0),GPS!$G$6,GPS!$G$7,GPS!$G$8,GPS!$G$9,GPS!$G$10,GPS!$G$11),""),IFERROR(IF($N23="LSI",INDEX($I$109:$I$132,MATCH($K23,$C$109:$C$132,0)),IF($N23="L",INDEX($G$109:$G$132,MATCH($K23,$C$109:$C$132,0)),IF($N23="R",INDEX($H$109:$H$132,MATCH($K23,$C$109:$C$132,0)),IF(Dashboard!$K$5="L",INDEX($G$109:$G$132,MATCH($K23,$C$109:$C$132,0)),IF(Dashboard!$K$5="R",INDEX($H$109:$H$132,MATCH($K23,$C$109:$C$132,0)),""))))),""))),"0.0")))</f>
        <v/>
      </c>
      <c r="R23" s="68"/>
      <c r="S23" s="69" t="str">
        <f aca="false">IF(OR(IF(OR($K23="",$K23="Manual"),"",IF(LEFT($K23,4)="GPS:",IFERROR(CHOOSE(MATCH($K23,Lists!$G$3:$G$8,0),GPS!$G$6,GPS!$G$7,GPS!$G$8,GPS!$G$9,GPS!$G$10,GPS!$G$11),""),IFERROR(IF($N23="LSI",INDEX($I$109:$I$132,MATCH($K23,$C$109:$C$132,0)),IF($N23="L",INDEX($G$109:$G$132,MATCH($K23,$C$109:$C$132,0)),IF($N23="R",INDEX($H$109:$H$132,MATCH($K23,$C$109:$C$132,0)),IF(Dashboard!$K$5="L",INDEX($G$109:$G$132,MATCH($K23,$C$109:$C$132,0)),IF(Dashboard!$K$5="R",INDEX($H$109:$H$132,MATCH($K23,$C$109:$C$132,0)),""))))),"")))="",$P23=""),"",IF(IF($O23="≤",IF(OR($K23="",$K23="Manual"),"",IF(LEFT($K23,4)="GPS:",IFERROR(CHOOSE(MATCH($K23,Lists!$G$3:$G$8,0),GPS!$G$6,GPS!$G$7,GPS!$G$8,GPS!$G$9,GPS!$G$10,GPS!$G$11),""),IFERROR(IF($N23="LSI",INDEX($I$109:$I$132,MATCH($K23,$C$109:$C$132,0)),IF($N23="L",INDEX($G$109:$G$132,MATCH($K23,$C$109:$C$132,0)),IF($N23="R",INDEX($H$109:$H$132,MATCH($K23,$C$109:$C$132,0)),IF(Dashboard!$K$5="L",INDEX($G$109:$G$132,MATCH($K23,$C$109:$C$132,0)),IF(Dashboard!$K$5="R",INDEX($H$109:$H$132,MATCH($K23,$C$109:$C$132,0)),""))))),"")))&lt;=$P23,IF(OR($K23="",$K23="Manual"),"",IF(LEFT($K23,4)="GPS:",IFERROR(CHOOSE(MATCH($K23,Lists!$G$3:$G$8,0),GPS!$G$6,GPS!$G$7,GPS!$G$8,GPS!$G$9,GPS!$G$10,GPS!$G$11),""),IFERROR(IF($N23="LSI",INDEX($I$109:$I$132,MATCH($K23,$C$109:$C$132,0)),IF($N23="L",INDEX($G$109:$G$132,MATCH($K23,$C$109:$C$132,0)),IF($N23="R",INDEX($H$109:$H$132,MATCH($K23,$C$109:$C$132,0)),IF(Dashboard!$K$5="L",INDEX($G$109:$G$132,MATCH($K23,$C$109:$C$132,0)),IF(Dashboard!$K$5="R",INDEX($H$109:$H$132,MATCH($K23,$C$109:$C$132,0)),""))))),"")))&gt;=$P23),"MET","NOT MET"))</f>
        <v/>
      </c>
      <c r="T23" s="7"/>
      <c r="U23" s="68" t="str">
        <f aca="false">IF($T23&lt;&gt;"",$T23,IF($S23="MET","Y",IF($S23="NOT MET","N","")))</f>
        <v/>
      </c>
      <c r="V23" s="70" t="str">
        <f aca="false">IF($U23="Y",IFERROR(IF(LEFT($K23,4)="GPS:","",INDEX($J$109:$J$132,MATCH($K23,$C$109:$C$132,0))),""),"")</f>
        <v/>
      </c>
      <c r="W23" s="70"/>
      <c r="X23" s="58"/>
      <c r="Y23" s="58"/>
      <c r="Z23" s="58"/>
      <c r="AA23" s="58"/>
    </row>
    <row r="24" customFormat="false" ht="15.75" hidden="false" customHeight="true" outlineLevel="0" collapsed="false">
      <c r="A24" s="33"/>
      <c r="B24" s="33" t="s">
        <v>94</v>
      </c>
      <c r="C24" s="33"/>
      <c r="D24" s="33" t="s">
        <v>139</v>
      </c>
      <c r="E24" s="33"/>
      <c r="F24" s="33"/>
      <c r="G24" s="33"/>
      <c r="H24" s="33"/>
      <c r="I24" s="33"/>
      <c r="J24" s="33"/>
      <c r="K24" s="33" t="s">
        <v>140</v>
      </c>
      <c r="L24" s="33"/>
      <c r="M24" s="33"/>
      <c r="N24" s="33" t="s">
        <v>141</v>
      </c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 customFormat="false" ht="15" hidden="false" customHeight="true" outlineLevel="0" collapsed="false">
      <c r="A25" s="57" t="n">
        <v>1</v>
      </c>
      <c r="B25" s="71" t="s">
        <v>105</v>
      </c>
      <c r="C25" s="71"/>
      <c r="D25" s="72" t="str">
        <f aca="false">IF(COUNTA($D$6:$D$8)=0,"No criteria defined",COUNTIFS($D$6:$D$8,"&lt;&gt;",$U$6:$U$8,"Y")&amp;" / "&amp;COUNTA($D$6:$D$8))</f>
        <v>2 / 2</v>
      </c>
      <c r="E25" s="72"/>
      <c r="F25" s="72"/>
      <c r="G25" s="72"/>
      <c r="H25" s="72"/>
      <c r="I25" s="72"/>
      <c r="J25" s="72"/>
      <c r="K25" s="68" t="str">
        <f aca="false">IF(AND(COUNTA($D$6:$D$8)&gt;0,COUNTIFS($D$6:$D$8,"&lt;&gt;",$U$6:$U$8,"Y")=COUNTA($D$6:$D$8)),"Y","N")</f>
        <v>Y</v>
      </c>
      <c r="L25" s="68"/>
      <c r="M25" s="68"/>
      <c r="N25" s="73" t="str">
        <f aca="false">IF(K25="Y","—",IF(AND($D$6&lt;&gt;"",$U$6&lt;&gt;"Y"),$D$6,IF(AND($D$7&lt;&gt;"",$U$7&lt;&gt;"Y"),$D$7,IF(AND($D$8&lt;&gt;"",$U$8&lt;&gt;"Y"),$D$8,""))))</f>
        <v>—</v>
      </c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</row>
    <row r="26" customFormat="false" ht="15" hidden="false" customHeight="true" outlineLevel="0" collapsed="false">
      <c r="A26" s="57" t="n">
        <v>2</v>
      </c>
      <c r="B26" s="71" t="s">
        <v>110</v>
      </c>
      <c r="C26" s="71"/>
      <c r="D26" s="72" t="str">
        <f aca="false">IF(COUNTA($D$9:$D$11)=0,"No criteria defined",COUNTIFS($D$9:$D$11,"&lt;&gt;",$U$9:$U$11,"Y")&amp;" / "&amp;COUNTA($D$9:$D$11))</f>
        <v>3 / 3</v>
      </c>
      <c r="E26" s="72"/>
      <c r="F26" s="72"/>
      <c r="G26" s="72"/>
      <c r="H26" s="72"/>
      <c r="I26" s="72"/>
      <c r="J26" s="72"/>
      <c r="K26" s="68" t="str">
        <f aca="false">IF(AND(COUNTA($D$9:$D$11)&gt;0,COUNTIFS($D$9:$D$11,"&lt;&gt;",$U$9:$U$11,"Y")=COUNTA($D$9:$D$11)),"Y","N")</f>
        <v>Y</v>
      </c>
      <c r="L26" s="68"/>
      <c r="M26" s="68"/>
      <c r="N26" s="73" t="str">
        <f aca="false">IF(K26="Y","—",IF(AND($D$9&lt;&gt;"",$U$9&lt;&gt;"Y"),$D$9,IF(AND($D$10&lt;&gt;"",$U$10&lt;&gt;"Y"),$D$10,IF(AND($D$11&lt;&gt;"",$U$11&lt;&gt;"Y"),$D$11,""))))</f>
        <v>—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</row>
    <row r="27" customFormat="false" ht="15" hidden="false" customHeight="true" outlineLevel="0" collapsed="false">
      <c r="A27" s="57" t="n">
        <v>3</v>
      </c>
      <c r="B27" s="71" t="s">
        <v>117</v>
      </c>
      <c r="C27" s="71"/>
      <c r="D27" s="72" t="str">
        <f aca="false">IF(COUNTA($D$12:$D$14)=0,"No criteria defined",COUNTIFS($D$12:$D$14,"&lt;&gt;",$U$12:$U$14,"Y")&amp;" / "&amp;COUNTA($D$12:$D$14))</f>
        <v>2 / 3</v>
      </c>
      <c r="E27" s="72"/>
      <c r="F27" s="72"/>
      <c r="G27" s="72"/>
      <c r="H27" s="72"/>
      <c r="I27" s="72"/>
      <c r="J27" s="72"/>
      <c r="K27" s="68" t="str">
        <f aca="false">IF(AND(COUNTA($D$12:$D$14)&gt;0,COUNTIFS($D$12:$D$14,"&lt;&gt;",$U$12:$U$14,"Y")=COUNTA($D$12:$D$14)),"Y","N")</f>
        <v>N</v>
      </c>
      <c r="L27" s="68"/>
      <c r="M27" s="68"/>
      <c r="N27" s="73" t="str">
        <f aca="false">IF(K27="Y","—",IF(AND($D$12&lt;&gt;"",$U$12&lt;&gt;"Y"),$D$12,IF(AND($D$13&lt;&gt;"",$U$13&lt;&gt;"Y"),$D$13,IF(AND($D$14&lt;&gt;"",$U$14&lt;&gt;"Y"),$D$14,""))))</f>
        <v>Pain-free jogging</v>
      </c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</row>
    <row r="28" customFormat="false" ht="15" hidden="false" customHeight="true" outlineLevel="0" collapsed="false">
      <c r="A28" s="57" t="n">
        <v>4</v>
      </c>
      <c r="B28" s="71" t="s">
        <v>122</v>
      </c>
      <c r="C28" s="71"/>
      <c r="D28" s="72" t="str">
        <f aca="false">IF(COUNTA($D$15:$D$17)=0,"No criteria defined",COUNTIFS($D$15:$D$17,"&lt;&gt;",$U$15:$U$17,"Y")&amp;" / "&amp;COUNTA($D$15:$D$17))</f>
        <v>0 / 3</v>
      </c>
      <c r="E28" s="72"/>
      <c r="F28" s="72"/>
      <c r="G28" s="72"/>
      <c r="H28" s="72"/>
      <c r="I28" s="72"/>
      <c r="J28" s="72"/>
      <c r="K28" s="68" t="str">
        <f aca="false">IF(AND(COUNTA($D$15:$D$17)&gt;0,COUNTIFS($D$15:$D$17,"&lt;&gt;",$U$15:$U$17,"Y")=COUNTA($D$15:$D$17)),"Y","N")</f>
        <v>N</v>
      </c>
      <c r="L28" s="68"/>
      <c r="M28" s="68"/>
      <c r="N28" s="73" t="str">
        <f aca="false">IF(K28="Y","—",IF(AND($D$15&lt;&gt;"",$U$15&lt;&gt;"Y"),$D$15,IF(AND($D$16&lt;&gt;"",$U$16&lt;&gt;"Y"),$D$16,IF(AND($D$17&lt;&gt;"",$U$17&lt;&gt;"Y"),$D$17,""))))</f>
        <v>Quadriceps ≥ 90% LSI</v>
      </c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</row>
    <row r="29" customFormat="false" ht="15" hidden="false" customHeight="true" outlineLevel="0" collapsed="false">
      <c r="A29" s="57" t="n">
        <v>5</v>
      </c>
      <c r="B29" s="71" t="s">
        <v>128</v>
      </c>
      <c r="C29" s="71"/>
      <c r="D29" s="72" t="str">
        <f aca="false">IF(COUNTA($D$18:$D$20)=0,"No criteria defined",COUNTIFS($D$18:$D$20,"&lt;&gt;",$U$18:$U$20,"Y")&amp;" / "&amp;COUNTA($D$18:$D$20))</f>
        <v>0 / 3</v>
      </c>
      <c r="E29" s="72"/>
      <c r="F29" s="72"/>
      <c r="G29" s="72"/>
      <c r="H29" s="72"/>
      <c r="I29" s="72"/>
      <c r="J29" s="72"/>
      <c r="K29" s="68" t="str">
        <f aca="false">IF(AND(COUNTA($D$18:$D$20)&gt;0,COUNTIFS($D$18:$D$20,"&lt;&gt;",$U$18:$U$20,"Y")=COUNTA($D$18:$D$20)),"Y","N")</f>
        <v>N</v>
      </c>
      <c r="L29" s="68"/>
      <c r="M29" s="68"/>
      <c r="N29" s="73" t="str">
        <f aca="false">IF(K29="Y","—",IF(AND($D$18&lt;&gt;"",$U$18&lt;&gt;"Y"),$D$18,IF(AND($D$19&lt;&gt;"",$U$19&lt;&gt;"Y"),$D$19,IF(AND($D$20&lt;&gt;"",$U$20&lt;&gt;"Y"),$D$20,""))))</f>
        <v>Total distance ≥ 90% of baseline</v>
      </c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</row>
    <row r="30" customFormat="false" ht="15" hidden="false" customHeight="true" outlineLevel="0" collapsed="false">
      <c r="A30" s="57" t="n">
        <v>6</v>
      </c>
      <c r="B30" s="71" t="s">
        <v>134</v>
      </c>
      <c r="C30" s="71"/>
      <c r="D30" s="72" t="str">
        <f aca="false">IF(COUNTA($D$21:$D$23)=0,"No criteria defined",COUNTIFS($D$21:$D$23,"&lt;&gt;",$U$21:$U$23,"Y")&amp;" / "&amp;COUNTA($D$21:$D$23))</f>
        <v>0 / 3</v>
      </c>
      <c r="E30" s="72"/>
      <c r="F30" s="72"/>
      <c r="G30" s="72"/>
      <c r="H30" s="72"/>
      <c r="I30" s="72"/>
      <c r="J30" s="72"/>
      <c r="K30" s="68" t="str">
        <f aca="false">IF(AND(COUNTA($D$21:$D$23)&gt;0,COUNTIFS($D$21:$D$23,"&lt;&gt;",$U$21:$U$23,"Y")=COUNTA($D$21:$D$23)),"Y","N")</f>
        <v>N</v>
      </c>
      <c r="L30" s="68"/>
      <c r="M30" s="68"/>
      <c r="N30" s="73" t="str">
        <f aca="false">IF(K30="Y","—",IF(AND($D$21&lt;&gt;"",$U$21&lt;&gt;"Y"),$D$21,IF(AND($D$22&lt;&gt;"",$U$22&lt;&gt;"Y"),$D$22,IF(AND($D$23&lt;&gt;"",$U$23&lt;&gt;"Y"),$D$23,""))))</f>
        <v>Total distance ≥ 100% of baseline</v>
      </c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</row>
    <row r="31" customFormat="false" ht="30" hidden="false" customHeight="true" outlineLevel="0" collapsed="false">
      <c r="A31" s="74" t="s">
        <v>41</v>
      </c>
      <c r="B31" s="74"/>
      <c r="C31" s="74"/>
      <c r="D31" s="74"/>
      <c r="E31" s="75" t="str">
        <f aca="false">IFERROR(INDEX($B$25:$B$30,MATCH("N",$K$25:$K$30,0)),"Rehab complete — RTP")</f>
        <v>3. Specific Loading</v>
      </c>
      <c r="F31" s="75"/>
      <c r="G31" s="75"/>
      <c r="H31" s="75"/>
      <c r="I31" s="75"/>
      <c r="J31" s="75"/>
      <c r="K31" s="65" t="s">
        <v>142</v>
      </c>
      <c r="L31" s="65"/>
      <c r="M31" s="65"/>
      <c r="N31" s="65"/>
      <c r="O31" s="68" t="str">
        <f aca="false">COUNTIF($K$25:$K$30,"Y")&amp;" / 6"</f>
        <v>2 / 6</v>
      </c>
      <c r="P31" s="68"/>
      <c r="Q31" s="68"/>
      <c r="R31" s="69" t="str">
        <f aca="false">IF(COUNTIF($K$25:$K$30,"Y")&gt;=6,"COMPLETE",IF(COUNTIF($K$25:$K$30,"Y")=0,"NOT STARTED","IN PROGRESS"))</f>
        <v>IN PROGRESS</v>
      </c>
      <c r="S31" s="76" t="s">
        <v>143</v>
      </c>
      <c r="T31" s="60" t="str">
        <f aca="false">IFERROR(_xlfn.TEXTJOIN("   ·   ",TRUE(),IF(AND(INDEX($D$6:$D$23,((MATCH("N",$K$25:$K$30,0))-1)*3+1)&lt;&gt;"",INDEX($U$6:$U$23,((MATCH("N",$K$25:$K$30,0))-1)*3+1)&lt;&gt;"Y"),INDEX($D$6:$D$23,((MATCH("N",$K$25:$K$30,0))-1)*3+1),""),IF(AND(INDEX($D$6:$D$23,((MATCH("N",$K$25:$K$30,0))-1)*3+2)&lt;&gt;"",INDEX($U$6:$U$23,((MATCH("N",$K$25:$K$30,0))-1)*3+2)&lt;&gt;"Y"),INDEX($D$6:$D$23,((MATCH("N",$K$25:$K$30,0))-1)*3+2),""),IF(AND(INDEX($D$6:$D$23,((MATCH("N",$K$25:$K$30,0))-1)*3+3)&lt;&gt;"",INDEX($U$6:$U$23,((MATCH("N",$K$25:$K$30,0))-1)*3+3)&lt;&gt;"Y"),INDEX($D$6:$D$23,((MATCH("N",$K$25:$K$30,0))-1)*3+3),"")),"")</f>
        <v>Pain-free jogging</v>
      </c>
      <c r="U31" s="60"/>
      <c r="V31" s="60"/>
      <c r="W31" s="60"/>
      <c r="X31" s="60"/>
      <c r="Y31" s="60"/>
      <c r="Z31" s="60"/>
      <c r="AA31" s="60"/>
    </row>
    <row r="33" customFormat="false" ht="19.5" hidden="false" customHeight="true" outlineLevel="0" collapsed="false">
      <c r="A33" s="62" t="s">
        <v>144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</row>
    <row r="34" customFormat="false" ht="31.5" hidden="false" customHeight="true" outlineLevel="0" collapsed="false">
      <c r="A34" s="55" t="s">
        <v>52</v>
      </c>
      <c r="B34" s="55" t="s">
        <v>75</v>
      </c>
      <c r="C34" s="77" t="s">
        <v>221</v>
      </c>
      <c r="D34" s="77"/>
      <c r="E34" s="77"/>
      <c r="F34" s="77" t="s">
        <v>230</v>
      </c>
      <c r="G34" s="77"/>
      <c r="H34" s="77"/>
      <c r="I34" s="77" t="s">
        <v>231</v>
      </c>
      <c r="J34" s="77"/>
      <c r="K34" s="77"/>
      <c r="L34" s="77" t="s">
        <v>232</v>
      </c>
      <c r="M34" s="77"/>
      <c r="N34" s="77"/>
      <c r="O34" s="78" t="s">
        <v>150</v>
      </c>
      <c r="P34" s="78"/>
      <c r="Q34" s="78"/>
      <c r="R34" s="78" t="s">
        <v>150</v>
      </c>
      <c r="S34" s="78"/>
      <c r="T34" s="78"/>
      <c r="U34" s="78" t="s">
        <v>150</v>
      </c>
      <c r="V34" s="78"/>
      <c r="W34" s="78"/>
      <c r="X34" s="78" t="s">
        <v>150</v>
      </c>
      <c r="Y34" s="78"/>
      <c r="Z34" s="78"/>
      <c r="AA34" s="55" t="s">
        <v>84</v>
      </c>
    </row>
    <row r="35" customFormat="false" ht="15.75" hidden="false" customHeight="true" outlineLevel="0" collapsed="false">
      <c r="A35" s="55"/>
      <c r="B35" s="55"/>
      <c r="C35" s="55" t="s">
        <v>12</v>
      </c>
      <c r="D35" s="55" t="s">
        <v>49</v>
      </c>
      <c r="E35" s="55" t="s">
        <v>50</v>
      </c>
      <c r="F35" s="55" t="s">
        <v>12</v>
      </c>
      <c r="G35" s="55" t="s">
        <v>49</v>
      </c>
      <c r="H35" s="55" t="s">
        <v>50</v>
      </c>
      <c r="I35" s="55" t="s">
        <v>12</v>
      </c>
      <c r="J35" s="55" t="s">
        <v>49</v>
      </c>
      <c r="K35" s="55" t="s">
        <v>50</v>
      </c>
      <c r="L35" s="55" t="s">
        <v>12</v>
      </c>
      <c r="M35" s="55" t="s">
        <v>49</v>
      </c>
      <c r="N35" s="55" t="s">
        <v>50</v>
      </c>
      <c r="O35" s="55" t="s">
        <v>12</v>
      </c>
      <c r="P35" s="55" t="s">
        <v>49</v>
      </c>
      <c r="Q35" s="55" t="s">
        <v>50</v>
      </c>
      <c r="R35" s="55" t="s">
        <v>12</v>
      </c>
      <c r="S35" s="55" t="s">
        <v>49</v>
      </c>
      <c r="T35" s="55" t="s">
        <v>50</v>
      </c>
      <c r="U35" s="55" t="s">
        <v>12</v>
      </c>
      <c r="V35" s="55" t="s">
        <v>49</v>
      </c>
      <c r="W35" s="55" t="s">
        <v>50</v>
      </c>
      <c r="X35" s="55" t="s">
        <v>12</v>
      </c>
      <c r="Y35" s="55" t="s">
        <v>49</v>
      </c>
      <c r="Z35" s="55" t="s">
        <v>50</v>
      </c>
      <c r="AA35" s="55"/>
    </row>
    <row r="36" customFormat="false" ht="15" hidden="false" customHeight="false" outlineLevel="0" collapsed="false">
      <c r="A36" s="56" t="n">
        <v>46258</v>
      </c>
      <c r="B36" s="57" t="n">
        <f aca="false">IF(A36="","",IF(Dashboard!$L$5="","",INT((A36-Dashboard!$L$5)/7)+1))</f>
        <v>3</v>
      </c>
      <c r="C36" s="67" t="n">
        <v>118</v>
      </c>
      <c r="D36" s="67" t="n">
        <v>140</v>
      </c>
      <c r="E36" s="79" t="n">
        <f aca="false">IFERROR(IF(OR(C36="",D36=""),"",IF(Dashboard!$K$5="L",IF(D36=0,"",C36/D36),IF(Dashboard!$K$5="R",IF(C36=0,"",D36/C36),IF(MAX(C36,D36)=0,"",MIN(C36,D36)/MAX(C36,D36))))),"")</f>
        <v>0.842857142857143</v>
      </c>
      <c r="F36" s="67" t="n">
        <v>2</v>
      </c>
      <c r="G36" s="67" t="n">
        <v>3</v>
      </c>
      <c r="H36" s="79" t="n">
        <f aca="false">IFERROR(IF(OR(F36="",G36=""),"",IF(Dashboard!$K$5="L",IF(G36=0,"",F36/G36),IF(Dashboard!$K$5="R",IF(F36=0,"",G36/F36),IF(MAX(F36,G36)=0,"",MIN(F36,G36)/MAX(F36,G36))))),"")</f>
        <v>0.666666666666667</v>
      </c>
      <c r="I36" s="67" t="n">
        <v>9.5</v>
      </c>
      <c r="J36" s="67" t="n">
        <v>12</v>
      </c>
      <c r="K36" s="79" t="n">
        <f aca="false">IFERROR(IF(OR(I36="",J36=""),"",IF(Dashboard!$K$5="L",IF(J36=0,"",I36/J36),IF(Dashboard!$K$5="R",IF(I36=0,"",J36/I36),IF(MAX(I36,J36)=0,"",MIN(I36,J36)/MAX(I36,J36))))),"")</f>
        <v>0.791666666666667</v>
      </c>
      <c r="L36" s="67" t="n">
        <v>44.5</v>
      </c>
      <c r="M36" s="67" t="n">
        <v>47</v>
      </c>
      <c r="N36" s="79" t="n">
        <f aca="false">IFERROR(IF(OR(L36="",M36=""),"",IF(Dashboard!$K$5="L",IF(M36=0,"",L36/M36),IF(Dashboard!$K$5="R",IF(L36=0,"",M36/L36),IF(MAX(L36,M36)=0,"",MIN(L36,M36)/MAX(L36,M36))))),"")</f>
        <v>0.946808510638298</v>
      </c>
      <c r="O36" s="67"/>
      <c r="P36" s="67"/>
      <c r="Q36" s="79" t="str">
        <f aca="false">IFERROR(IF(OR(O36="",P36=""),"",IF(Dashboard!$K$5="L",IF(P36=0,"",O36/P36),IF(Dashboard!$K$5="R",IF(O36=0,"",P36/O36),IF(MAX(O36,P36)=0,"",MIN(O36,P36)/MAX(O36,P36))))),"")</f>
        <v/>
      </c>
      <c r="R36" s="67"/>
      <c r="S36" s="67"/>
      <c r="T36" s="79" t="str">
        <f aca="false">IFERROR(IF(OR(R36="",S36=""),"",IF(Dashboard!$K$5="L",IF(S36=0,"",R36/S36),IF(Dashboard!$K$5="R",IF(R36=0,"",S36/R36),IF(MAX(R36,S36)=0,"",MIN(R36,S36)/MAX(R36,S36))))),"")</f>
        <v/>
      </c>
      <c r="U36" s="67"/>
      <c r="V36" s="67"/>
      <c r="W36" s="79" t="str">
        <f aca="false">IFERROR(IF(OR(U36="",V36=""),"",IF(Dashboard!$K$5="L",IF(V36=0,"",U36/V36),IF(Dashboard!$K$5="R",IF(U36=0,"",V36/U36),IF(MAX(U36,V36)=0,"",MIN(U36,V36)/MAX(U36,V36))))),"")</f>
        <v/>
      </c>
      <c r="X36" s="67"/>
      <c r="Y36" s="67"/>
      <c r="Z36" s="79" t="str">
        <f aca="false">IFERROR(IF(OR(X36="",Y36=""),"",IF(Dashboard!$K$5="L",IF(Y36=0,"",X36/Y36),IF(Dashboard!$K$5="R",IF(X36=0,"",Y36/X36),IF(MAX(X36,Y36)=0,"",MIN(X36,Y36)/MAX(X36,Y36))))),"")</f>
        <v/>
      </c>
      <c r="AA36" s="61" t="s">
        <v>87</v>
      </c>
    </row>
    <row r="37" customFormat="false" ht="15" hidden="false" customHeight="false" outlineLevel="0" collapsed="false">
      <c r="A37" s="56" t="n">
        <v>46286</v>
      </c>
      <c r="B37" s="57" t="n">
        <f aca="false">IF(A37="","",IF(Dashboard!$L$5="","",INT((A37-Dashboard!$L$5)/7)+1))</f>
        <v>7</v>
      </c>
      <c r="C37" s="67" t="n">
        <v>135</v>
      </c>
      <c r="D37" s="67" t="n">
        <v>141</v>
      </c>
      <c r="E37" s="79" t="n">
        <f aca="false">IFERROR(IF(OR(C37="",D37=""),"",IF(Dashboard!$K$5="L",IF(D37=0,"",C37/D37),IF(Dashboard!$K$5="R",IF(C37=0,"",D37/C37),IF(MAX(C37,D37)=0,"",MIN(C37,D37)/MAX(C37,D37))))),"")</f>
        <v>0.957446808510638</v>
      </c>
      <c r="F37" s="67" t="n">
        <v>3</v>
      </c>
      <c r="G37" s="67" t="n">
        <v>3</v>
      </c>
      <c r="H37" s="79" t="n">
        <f aca="false">IFERROR(IF(OR(F37="",G37=""),"",IF(Dashboard!$K$5="L",IF(G37=0,"",F37/G37),IF(Dashboard!$K$5="R",IF(F37=0,"",G37/F37),IF(MAX(F37,G37)=0,"",MIN(F37,G37)/MAX(F37,G37))))),"")</f>
        <v>1</v>
      </c>
      <c r="I37" s="67" t="n">
        <v>11</v>
      </c>
      <c r="J37" s="67" t="n">
        <v>12</v>
      </c>
      <c r="K37" s="79" t="n">
        <f aca="false">IFERROR(IF(OR(I37="",J37=""),"",IF(Dashboard!$K$5="L",IF(J37=0,"",I37/J37),IF(Dashboard!$K$5="R",IF(I37=0,"",J37/I37),IF(MAX(I37,J37)=0,"",MIN(I37,J37)/MAX(I37,J37))))),"")</f>
        <v>0.916666666666667</v>
      </c>
      <c r="L37" s="67" t="n">
        <v>45.5</v>
      </c>
      <c r="M37" s="67" t="n">
        <v>47</v>
      </c>
      <c r="N37" s="79" t="n">
        <f aca="false">IFERROR(IF(OR(L37="",M37=""),"",IF(Dashboard!$K$5="L",IF(M37=0,"",L37/M37),IF(Dashboard!$K$5="R",IF(L37=0,"",M37/L37),IF(MAX(L37,M37)=0,"",MIN(L37,M37)/MAX(L37,M37))))),"")</f>
        <v>0.968085106382979</v>
      </c>
      <c r="O37" s="67"/>
      <c r="P37" s="67"/>
      <c r="Q37" s="79" t="str">
        <f aca="false">IFERROR(IF(OR(O37="",P37=""),"",IF(Dashboard!$K$5="L",IF(P37=0,"",O37/P37),IF(Dashboard!$K$5="R",IF(O37=0,"",P37/O37),IF(MAX(O37,P37)=0,"",MIN(O37,P37)/MAX(O37,P37))))),"")</f>
        <v/>
      </c>
      <c r="R37" s="67"/>
      <c r="S37" s="67"/>
      <c r="T37" s="79" t="str">
        <f aca="false">IFERROR(IF(OR(R37="",S37=""),"",IF(Dashboard!$K$5="L",IF(S37=0,"",R37/S37),IF(Dashboard!$K$5="R",IF(R37=0,"",S37/R37),IF(MAX(R37,S37)=0,"",MIN(R37,S37)/MAX(R37,S37))))),"")</f>
        <v/>
      </c>
      <c r="U37" s="67"/>
      <c r="V37" s="67"/>
      <c r="W37" s="79" t="str">
        <f aca="false">IFERROR(IF(OR(U37="",V37=""),"",IF(Dashboard!$K$5="L",IF(V37=0,"",U37/V37),IF(Dashboard!$K$5="R",IF(U37=0,"",V37/U37),IF(MAX(U37,V37)=0,"",MIN(U37,V37)/MAX(U37,V37))))),"")</f>
        <v/>
      </c>
      <c r="X37" s="67"/>
      <c r="Y37" s="67"/>
      <c r="Z37" s="79" t="str">
        <f aca="false">IFERROR(IF(OR(X37="",Y37=""),"",IF(Dashboard!$K$5="L",IF(Y37=0,"",X37/Y37),IF(Dashboard!$K$5="R",IF(X37=0,"",Y37/X37),IF(MAX(X37,Y37)=0,"",MIN(X37,Y37)/MAX(X37,Y37))))),"")</f>
        <v/>
      </c>
      <c r="AA37" s="61" t="s">
        <v>87</v>
      </c>
    </row>
    <row r="38" customFormat="false" ht="15" hidden="false" customHeight="false" outlineLevel="0" collapsed="false">
      <c r="A38" s="56"/>
      <c r="B38" s="57" t="str">
        <f aca="false">IF(A38="","",IF(Dashboard!$L$5="","",INT((A38-Dashboard!$L$5)/7)+1))</f>
        <v/>
      </c>
      <c r="C38" s="67"/>
      <c r="D38" s="67"/>
      <c r="E38" s="79" t="str">
        <f aca="false">IFERROR(IF(OR(C38="",D38=""),"",IF(Dashboard!$K$5="L",IF(D38=0,"",C38/D38),IF(Dashboard!$K$5="R",IF(C38=0,"",D38/C38),IF(MAX(C38,D38)=0,"",MIN(C38,D38)/MAX(C38,D38))))),"")</f>
        <v/>
      </c>
      <c r="F38" s="67"/>
      <c r="G38" s="67"/>
      <c r="H38" s="79" t="str">
        <f aca="false">IFERROR(IF(OR(F38="",G38=""),"",IF(Dashboard!$K$5="L",IF(G38=0,"",F38/G38),IF(Dashboard!$K$5="R",IF(F38=0,"",G38/F38),IF(MAX(F38,G38)=0,"",MIN(F38,G38)/MAX(F38,G38))))),"")</f>
        <v/>
      </c>
      <c r="I38" s="67"/>
      <c r="J38" s="67"/>
      <c r="K38" s="79" t="str">
        <f aca="false">IFERROR(IF(OR(I38="",J38=""),"",IF(Dashboard!$K$5="L",IF(J38=0,"",I38/J38),IF(Dashboard!$K$5="R",IF(I38=0,"",J38/I38),IF(MAX(I38,J38)=0,"",MIN(I38,J38)/MAX(I38,J38))))),"")</f>
        <v/>
      </c>
      <c r="L38" s="67"/>
      <c r="M38" s="67"/>
      <c r="N38" s="79" t="str">
        <f aca="false">IFERROR(IF(OR(L38="",M38=""),"",IF(Dashboard!$K$5="L",IF(M38=0,"",L38/M38),IF(Dashboard!$K$5="R",IF(L38=0,"",M38/L38),IF(MAX(L38,M38)=0,"",MIN(L38,M38)/MAX(L38,M38))))),"")</f>
        <v/>
      </c>
      <c r="O38" s="67"/>
      <c r="P38" s="67"/>
      <c r="Q38" s="79" t="str">
        <f aca="false">IFERROR(IF(OR(O38="",P38=""),"",IF(Dashboard!$K$5="L",IF(P38=0,"",O38/P38),IF(Dashboard!$K$5="R",IF(O38=0,"",P38/O38),IF(MAX(O38,P38)=0,"",MIN(O38,P38)/MAX(O38,P38))))),"")</f>
        <v/>
      </c>
      <c r="R38" s="67"/>
      <c r="S38" s="67"/>
      <c r="T38" s="79" t="str">
        <f aca="false">IFERROR(IF(OR(R38="",S38=""),"",IF(Dashboard!$K$5="L",IF(S38=0,"",R38/S38),IF(Dashboard!$K$5="R",IF(R38=0,"",S38/R38),IF(MAX(R38,S38)=0,"",MIN(R38,S38)/MAX(R38,S38))))),"")</f>
        <v/>
      </c>
      <c r="U38" s="67"/>
      <c r="V38" s="67"/>
      <c r="W38" s="79" t="str">
        <f aca="false">IFERROR(IF(OR(U38="",V38=""),"",IF(Dashboard!$K$5="L",IF(V38=0,"",U38/V38),IF(Dashboard!$K$5="R",IF(U38=0,"",V38/U38),IF(MAX(U38,V38)=0,"",MIN(U38,V38)/MAX(U38,V38))))),"")</f>
        <v/>
      </c>
      <c r="X38" s="67"/>
      <c r="Y38" s="67"/>
      <c r="Z38" s="79" t="str">
        <f aca="false">IFERROR(IF(OR(X38="",Y38=""),"",IF(Dashboard!$K$5="L",IF(Y38=0,"",X38/Y38),IF(Dashboard!$K$5="R",IF(X38=0,"",Y38/X38),IF(MAX(X38,Y38)=0,"",MIN(X38,Y38)/MAX(X38,Y38))))),"")</f>
        <v/>
      </c>
      <c r="AA38" s="58"/>
    </row>
    <row r="39" customFormat="false" ht="15" hidden="false" customHeight="false" outlineLevel="0" collapsed="false">
      <c r="A39" s="56"/>
      <c r="B39" s="57" t="str">
        <f aca="false">IF(A39="","",IF(Dashboard!$L$5="","",INT((A39-Dashboard!$L$5)/7)+1))</f>
        <v/>
      </c>
      <c r="C39" s="67"/>
      <c r="D39" s="67"/>
      <c r="E39" s="79" t="str">
        <f aca="false">IFERROR(IF(OR(C39="",D39=""),"",IF(Dashboard!$K$5="L",IF(D39=0,"",C39/D39),IF(Dashboard!$K$5="R",IF(C39=0,"",D39/C39),IF(MAX(C39,D39)=0,"",MIN(C39,D39)/MAX(C39,D39))))),"")</f>
        <v/>
      </c>
      <c r="F39" s="67"/>
      <c r="G39" s="67"/>
      <c r="H39" s="79" t="str">
        <f aca="false">IFERROR(IF(OR(F39="",G39=""),"",IF(Dashboard!$K$5="L",IF(G39=0,"",F39/G39),IF(Dashboard!$K$5="R",IF(F39=0,"",G39/F39),IF(MAX(F39,G39)=0,"",MIN(F39,G39)/MAX(F39,G39))))),"")</f>
        <v/>
      </c>
      <c r="I39" s="67"/>
      <c r="J39" s="67"/>
      <c r="K39" s="79" t="str">
        <f aca="false">IFERROR(IF(OR(I39="",J39=""),"",IF(Dashboard!$K$5="L",IF(J39=0,"",I39/J39),IF(Dashboard!$K$5="R",IF(I39=0,"",J39/I39),IF(MAX(I39,J39)=0,"",MIN(I39,J39)/MAX(I39,J39))))),"")</f>
        <v/>
      </c>
      <c r="L39" s="67"/>
      <c r="M39" s="67"/>
      <c r="N39" s="79" t="str">
        <f aca="false">IFERROR(IF(OR(L39="",M39=""),"",IF(Dashboard!$K$5="L",IF(M39=0,"",L39/M39),IF(Dashboard!$K$5="R",IF(L39=0,"",M39/L39),IF(MAX(L39,M39)=0,"",MIN(L39,M39)/MAX(L39,M39))))),"")</f>
        <v/>
      </c>
      <c r="O39" s="67"/>
      <c r="P39" s="67"/>
      <c r="Q39" s="79" t="str">
        <f aca="false">IFERROR(IF(OR(O39="",P39=""),"",IF(Dashboard!$K$5="L",IF(P39=0,"",O39/P39),IF(Dashboard!$K$5="R",IF(O39=0,"",P39/O39),IF(MAX(O39,P39)=0,"",MIN(O39,P39)/MAX(O39,P39))))),"")</f>
        <v/>
      </c>
      <c r="R39" s="67"/>
      <c r="S39" s="67"/>
      <c r="T39" s="79" t="str">
        <f aca="false">IFERROR(IF(OR(R39="",S39=""),"",IF(Dashboard!$K$5="L",IF(S39=0,"",R39/S39),IF(Dashboard!$K$5="R",IF(R39=0,"",S39/R39),IF(MAX(R39,S39)=0,"",MIN(R39,S39)/MAX(R39,S39))))),"")</f>
        <v/>
      </c>
      <c r="U39" s="67"/>
      <c r="V39" s="67"/>
      <c r="W39" s="79" t="str">
        <f aca="false">IFERROR(IF(OR(U39="",V39=""),"",IF(Dashboard!$K$5="L",IF(V39=0,"",U39/V39),IF(Dashboard!$K$5="R",IF(U39=0,"",V39/U39),IF(MAX(U39,V39)=0,"",MIN(U39,V39)/MAX(U39,V39))))),"")</f>
        <v/>
      </c>
      <c r="X39" s="67"/>
      <c r="Y39" s="67"/>
      <c r="Z39" s="79" t="str">
        <f aca="false">IFERROR(IF(OR(X39="",Y39=""),"",IF(Dashboard!$K$5="L",IF(Y39=0,"",X39/Y39),IF(Dashboard!$K$5="R",IF(X39=0,"",Y39/X39),IF(MAX(X39,Y39)=0,"",MIN(X39,Y39)/MAX(X39,Y39))))),"")</f>
        <v/>
      </c>
      <c r="AA39" s="58"/>
    </row>
    <row r="40" customFormat="false" ht="15" hidden="false" customHeight="false" outlineLevel="0" collapsed="false">
      <c r="A40" s="56"/>
      <c r="B40" s="57" t="str">
        <f aca="false">IF(A40="","",IF(Dashboard!$L$5="","",INT((A40-Dashboard!$L$5)/7)+1))</f>
        <v/>
      </c>
      <c r="C40" s="67"/>
      <c r="D40" s="67"/>
      <c r="E40" s="79" t="str">
        <f aca="false">IFERROR(IF(OR(C40="",D40=""),"",IF(Dashboard!$K$5="L",IF(D40=0,"",C40/D40),IF(Dashboard!$K$5="R",IF(C40=0,"",D40/C40),IF(MAX(C40,D40)=0,"",MIN(C40,D40)/MAX(C40,D40))))),"")</f>
        <v/>
      </c>
      <c r="F40" s="67"/>
      <c r="G40" s="67"/>
      <c r="H40" s="79" t="str">
        <f aca="false">IFERROR(IF(OR(F40="",G40=""),"",IF(Dashboard!$K$5="L",IF(G40=0,"",F40/G40),IF(Dashboard!$K$5="R",IF(F40=0,"",G40/F40),IF(MAX(F40,G40)=0,"",MIN(F40,G40)/MAX(F40,G40))))),"")</f>
        <v/>
      </c>
      <c r="I40" s="67"/>
      <c r="J40" s="67"/>
      <c r="K40" s="79" t="str">
        <f aca="false">IFERROR(IF(OR(I40="",J40=""),"",IF(Dashboard!$K$5="L",IF(J40=0,"",I40/J40),IF(Dashboard!$K$5="R",IF(I40=0,"",J40/I40),IF(MAX(I40,J40)=0,"",MIN(I40,J40)/MAX(I40,J40))))),"")</f>
        <v/>
      </c>
      <c r="L40" s="67"/>
      <c r="M40" s="67"/>
      <c r="N40" s="79" t="str">
        <f aca="false">IFERROR(IF(OR(L40="",M40=""),"",IF(Dashboard!$K$5="L",IF(M40=0,"",L40/M40),IF(Dashboard!$K$5="R",IF(L40=0,"",M40/L40),IF(MAX(L40,M40)=0,"",MIN(L40,M40)/MAX(L40,M40))))),"")</f>
        <v/>
      </c>
      <c r="O40" s="67"/>
      <c r="P40" s="67"/>
      <c r="Q40" s="79" t="str">
        <f aca="false">IFERROR(IF(OR(O40="",P40=""),"",IF(Dashboard!$K$5="L",IF(P40=0,"",O40/P40),IF(Dashboard!$K$5="R",IF(O40=0,"",P40/O40),IF(MAX(O40,P40)=0,"",MIN(O40,P40)/MAX(O40,P40))))),"")</f>
        <v/>
      </c>
      <c r="R40" s="67"/>
      <c r="S40" s="67"/>
      <c r="T40" s="79" t="str">
        <f aca="false">IFERROR(IF(OR(R40="",S40=""),"",IF(Dashboard!$K$5="L",IF(S40=0,"",R40/S40),IF(Dashboard!$K$5="R",IF(R40=0,"",S40/R40),IF(MAX(R40,S40)=0,"",MIN(R40,S40)/MAX(R40,S40))))),"")</f>
        <v/>
      </c>
      <c r="U40" s="67"/>
      <c r="V40" s="67"/>
      <c r="W40" s="79" t="str">
        <f aca="false">IFERROR(IF(OR(U40="",V40=""),"",IF(Dashboard!$K$5="L",IF(V40=0,"",U40/V40),IF(Dashboard!$K$5="R",IF(U40=0,"",V40/U40),IF(MAX(U40,V40)=0,"",MIN(U40,V40)/MAX(U40,V40))))),"")</f>
        <v/>
      </c>
      <c r="X40" s="67"/>
      <c r="Y40" s="67"/>
      <c r="Z40" s="79" t="str">
        <f aca="false">IFERROR(IF(OR(X40="",Y40=""),"",IF(Dashboard!$K$5="L",IF(Y40=0,"",X40/Y40),IF(Dashboard!$K$5="R",IF(X40=0,"",Y40/X40),IF(MAX(X40,Y40)=0,"",MIN(X40,Y40)/MAX(X40,Y40))))),"")</f>
        <v/>
      </c>
      <c r="AA40" s="58"/>
    </row>
    <row r="41" customFormat="false" ht="15" hidden="false" customHeight="false" outlineLevel="0" collapsed="false">
      <c r="A41" s="56"/>
      <c r="B41" s="57" t="str">
        <f aca="false">IF(A41="","",IF(Dashboard!$L$5="","",INT((A41-Dashboard!$L$5)/7)+1))</f>
        <v/>
      </c>
      <c r="C41" s="67"/>
      <c r="D41" s="67"/>
      <c r="E41" s="79" t="str">
        <f aca="false">IFERROR(IF(OR(C41="",D41=""),"",IF(Dashboard!$K$5="L",IF(D41=0,"",C41/D41),IF(Dashboard!$K$5="R",IF(C41=0,"",D41/C41),IF(MAX(C41,D41)=0,"",MIN(C41,D41)/MAX(C41,D41))))),"")</f>
        <v/>
      </c>
      <c r="F41" s="67"/>
      <c r="G41" s="67"/>
      <c r="H41" s="79" t="str">
        <f aca="false">IFERROR(IF(OR(F41="",G41=""),"",IF(Dashboard!$K$5="L",IF(G41=0,"",F41/G41),IF(Dashboard!$K$5="R",IF(F41=0,"",G41/F41),IF(MAX(F41,G41)=0,"",MIN(F41,G41)/MAX(F41,G41))))),"")</f>
        <v/>
      </c>
      <c r="I41" s="67"/>
      <c r="J41" s="67"/>
      <c r="K41" s="79" t="str">
        <f aca="false">IFERROR(IF(OR(I41="",J41=""),"",IF(Dashboard!$K$5="L",IF(J41=0,"",I41/J41),IF(Dashboard!$K$5="R",IF(I41=0,"",J41/I41),IF(MAX(I41,J41)=0,"",MIN(I41,J41)/MAX(I41,J41))))),"")</f>
        <v/>
      </c>
      <c r="L41" s="67"/>
      <c r="M41" s="67"/>
      <c r="N41" s="79" t="str">
        <f aca="false">IFERROR(IF(OR(L41="",M41=""),"",IF(Dashboard!$K$5="L",IF(M41=0,"",L41/M41),IF(Dashboard!$K$5="R",IF(L41=0,"",M41/L41),IF(MAX(L41,M41)=0,"",MIN(L41,M41)/MAX(L41,M41))))),"")</f>
        <v/>
      </c>
      <c r="O41" s="67"/>
      <c r="P41" s="67"/>
      <c r="Q41" s="79" t="str">
        <f aca="false">IFERROR(IF(OR(O41="",P41=""),"",IF(Dashboard!$K$5="L",IF(P41=0,"",O41/P41),IF(Dashboard!$K$5="R",IF(O41=0,"",P41/O41),IF(MAX(O41,P41)=0,"",MIN(O41,P41)/MAX(O41,P41))))),"")</f>
        <v/>
      </c>
      <c r="R41" s="67"/>
      <c r="S41" s="67"/>
      <c r="T41" s="79" t="str">
        <f aca="false">IFERROR(IF(OR(R41="",S41=""),"",IF(Dashboard!$K$5="L",IF(S41=0,"",R41/S41),IF(Dashboard!$K$5="R",IF(R41=0,"",S41/R41),IF(MAX(R41,S41)=0,"",MIN(R41,S41)/MAX(R41,S41))))),"")</f>
        <v/>
      </c>
      <c r="U41" s="67"/>
      <c r="V41" s="67"/>
      <c r="W41" s="79" t="str">
        <f aca="false">IFERROR(IF(OR(U41="",V41=""),"",IF(Dashboard!$K$5="L",IF(V41=0,"",U41/V41),IF(Dashboard!$K$5="R",IF(U41=0,"",V41/U41),IF(MAX(U41,V41)=0,"",MIN(U41,V41)/MAX(U41,V41))))),"")</f>
        <v/>
      </c>
      <c r="X41" s="67"/>
      <c r="Y41" s="67"/>
      <c r="Z41" s="79" t="str">
        <f aca="false">IFERROR(IF(OR(X41="",Y41=""),"",IF(Dashboard!$K$5="L",IF(Y41=0,"",X41/Y41),IF(Dashboard!$K$5="R",IF(X41=0,"",Y41/X41),IF(MAX(X41,Y41)=0,"",MIN(X41,Y41)/MAX(X41,Y41))))),"")</f>
        <v/>
      </c>
      <c r="AA41" s="58"/>
    </row>
    <row r="42" customFormat="false" ht="15" hidden="false" customHeight="false" outlineLevel="0" collapsed="false">
      <c r="A42" s="56"/>
      <c r="B42" s="57" t="str">
        <f aca="false">IF(A42="","",IF(Dashboard!$L$5="","",INT((A42-Dashboard!$L$5)/7)+1))</f>
        <v/>
      </c>
      <c r="C42" s="67"/>
      <c r="D42" s="67"/>
      <c r="E42" s="79" t="str">
        <f aca="false">IFERROR(IF(OR(C42="",D42=""),"",IF(Dashboard!$K$5="L",IF(D42=0,"",C42/D42),IF(Dashboard!$K$5="R",IF(C42=0,"",D42/C42),IF(MAX(C42,D42)=0,"",MIN(C42,D42)/MAX(C42,D42))))),"")</f>
        <v/>
      </c>
      <c r="F42" s="67"/>
      <c r="G42" s="67"/>
      <c r="H42" s="79" t="str">
        <f aca="false">IFERROR(IF(OR(F42="",G42=""),"",IF(Dashboard!$K$5="L",IF(G42=0,"",F42/G42),IF(Dashboard!$K$5="R",IF(F42=0,"",G42/F42),IF(MAX(F42,G42)=0,"",MIN(F42,G42)/MAX(F42,G42))))),"")</f>
        <v/>
      </c>
      <c r="I42" s="67"/>
      <c r="J42" s="67"/>
      <c r="K42" s="79" t="str">
        <f aca="false">IFERROR(IF(OR(I42="",J42=""),"",IF(Dashboard!$K$5="L",IF(J42=0,"",I42/J42),IF(Dashboard!$K$5="R",IF(I42=0,"",J42/I42),IF(MAX(I42,J42)=0,"",MIN(I42,J42)/MAX(I42,J42))))),"")</f>
        <v/>
      </c>
      <c r="L42" s="67"/>
      <c r="M42" s="67"/>
      <c r="N42" s="79" t="str">
        <f aca="false">IFERROR(IF(OR(L42="",M42=""),"",IF(Dashboard!$K$5="L",IF(M42=0,"",L42/M42),IF(Dashboard!$K$5="R",IF(L42=0,"",M42/L42),IF(MAX(L42,M42)=0,"",MIN(L42,M42)/MAX(L42,M42))))),"")</f>
        <v/>
      </c>
      <c r="O42" s="67"/>
      <c r="P42" s="67"/>
      <c r="Q42" s="79" t="str">
        <f aca="false">IFERROR(IF(OR(O42="",P42=""),"",IF(Dashboard!$K$5="L",IF(P42=0,"",O42/P42),IF(Dashboard!$K$5="R",IF(O42=0,"",P42/O42),IF(MAX(O42,P42)=0,"",MIN(O42,P42)/MAX(O42,P42))))),"")</f>
        <v/>
      </c>
      <c r="R42" s="67"/>
      <c r="S42" s="67"/>
      <c r="T42" s="79" t="str">
        <f aca="false">IFERROR(IF(OR(R42="",S42=""),"",IF(Dashboard!$K$5="L",IF(S42=0,"",R42/S42),IF(Dashboard!$K$5="R",IF(R42=0,"",S42/R42),IF(MAX(R42,S42)=0,"",MIN(R42,S42)/MAX(R42,S42))))),"")</f>
        <v/>
      </c>
      <c r="U42" s="67"/>
      <c r="V42" s="67"/>
      <c r="W42" s="79" t="str">
        <f aca="false">IFERROR(IF(OR(U42="",V42=""),"",IF(Dashboard!$K$5="L",IF(V42=0,"",U42/V42),IF(Dashboard!$K$5="R",IF(U42=0,"",V42/U42),IF(MAX(U42,V42)=0,"",MIN(U42,V42)/MAX(U42,V42))))),"")</f>
        <v/>
      </c>
      <c r="X42" s="67"/>
      <c r="Y42" s="67"/>
      <c r="Z42" s="79" t="str">
        <f aca="false">IFERROR(IF(OR(X42="",Y42=""),"",IF(Dashboard!$K$5="L",IF(Y42=0,"",X42/Y42),IF(Dashboard!$K$5="R",IF(X42=0,"",Y42/X42),IF(MAX(X42,Y42)=0,"",MIN(X42,Y42)/MAX(X42,Y42))))),"")</f>
        <v/>
      </c>
      <c r="AA42" s="58"/>
    </row>
    <row r="43" customFormat="false" ht="15" hidden="false" customHeight="false" outlineLevel="0" collapsed="false">
      <c r="A43" s="56"/>
      <c r="B43" s="57" t="str">
        <f aca="false">IF(A43="","",IF(Dashboard!$L$5="","",INT((A43-Dashboard!$L$5)/7)+1))</f>
        <v/>
      </c>
      <c r="C43" s="67"/>
      <c r="D43" s="67"/>
      <c r="E43" s="79" t="str">
        <f aca="false">IFERROR(IF(OR(C43="",D43=""),"",IF(Dashboard!$K$5="L",IF(D43=0,"",C43/D43),IF(Dashboard!$K$5="R",IF(C43=0,"",D43/C43),IF(MAX(C43,D43)=0,"",MIN(C43,D43)/MAX(C43,D43))))),"")</f>
        <v/>
      </c>
      <c r="F43" s="67"/>
      <c r="G43" s="67"/>
      <c r="H43" s="79" t="str">
        <f aca="false">IFERROR(IF(OR(F43="",G43=""),"",IF(Dashboard!$K$5="L",IF(G43=0,"",F43/G43),IF(Dashboard!$K$5="R",IF(F43=0,"",G43/F43),IF(MAX(F43,G43)=0,"",MIN(F43,G43)/MAX(F43,G43))))),"")</f>
        <v/>
      </c>
      <c r="I43" s="67"/>
      <c r="J43" s="67"/>
      <c r="K43" s="79" t="str">
        <f aca="false">IFERROR(IF(OR(I43="",J43=""),"",IF(Dashboard!$K$5="L",IF(J43=0,"",I43/J43),IF(Dashboard!$K$5="R",IF(I43=0,"",J43/I43),IF(MAX(I43,J43)=0,"",MIN(I43,J43)/MAX(I43,J43))))),"")</f>
        <v/>
      </c>
      <c r="L43" s="67"/>
      <c r="M43" s="67"/>
      <c r="N43" s="79" t="str">
        <f aca="false">IFERROR(IF(OR(L43="",M43=""),"",IF(Dashboard!$K$5="L",IF(M43=0,"",L43/M43),IF(Dashboard!$K$5="R",IF(L43=0,"",M43/L43),IF(MAX(L43,M43)=0,"",MIN(L43,M43)/MAX(L43,M43))))),"")</f>
        <v/>
      </c>
      <c r="O43" s="67"/>
      <c r="P43" s="67"/>
      <c r="Q43" s="79" t="str">
        <f aca="false">IFERROR(IF(OR(O43="",P43=""),"",IF(Dashboard!$K$5="L",IF(P43=0,"",O43/P43),IF(Dashboard!$K$5="R",IF(O43=0,"",P43/O43),IF(MAX(O43,P43)=0,"",MIN(O43,P43)/MAX(O43,P43))))),"")</f>
        <v/>
      </c>
      <c r="R43" s="67"/>
      <c r="S43" s="67"/>
      <c r="T43" s="79" t="str">
        <f aca="false">IFERROR(IF(OR(R43="",S43=""),"",IF(Dashboard!$K$5="L",IF(S43=0,"",R43/S43),IF(Dashboard!$K$5="R",IF(R43=0,"",S43/R43),IF(MAX(R43,S43)=0,"",MIN(R43,S43)/MAX(R43,S43))))),"")</f>
        <v/>
      </c>
      <c r="U43" s="67"/>
      <c r="V43" s="67"/>
      <c r="W43" s="79" t="str">
        <f aca="false">IFERROR(IF(OR(U43="",V43=""),"",IF(Dashboard!$K$5="L",IF(V43=0,"",U43/V43),IF(Dashboard!$K$5="R",IF(U43=0,"",V43/U43),IF(MAX(U43,V43)=0,"",MIN(U43,V43)/MAX(U43,V43))))),"")</f>
        <v/>
      </c>
      <c r="X43" s="67"/>
      <c r="Y43" s="67"/>
      <c r="Z43" s="79" t="str">
        <f aca="false">IFERROR(IF(OR(X43="",Y43=""),"",IF(Dashboard!$K$5="L",IF(Y43=0,"",X43/Y43),IF(Dashboard!$K$5="R",IF(X43=0,"",Y43/X43),IF(MAX(X43,Y43)=0,"",MIN(X43,Y43)/MAX(X43,Y43))))),"")</f>
        <v/>
      </c>
      <c r="AA43" s="58"/>
    </row>
    <row r="44" customFormat="false" ht="15" hidden="false" customHeight="false" outlineLevel="0" collapsed="false">
      <c r="A44" s="56"/>
      <c r="B44" s="57" t="str">
        <f aca="false">IF(A44="","",IF(Dashboard!$L$5="","",INT((A44-Dashboard!$L$5)/7)+1))</f>
        <v/>
      </c>
      <c r="C44" s="67"/>
      <c r="D44" s="67"/>
      <c r="E44" s="79" t="str">
        <f aca="false">IFERROR(IF(OR(C44="",D44=""),"",IF(Dashboard!$K$5="L",IF(D44=0,"",C44/D44),IF(Dashboard!$K$5="R",IF(C44=0,"",D44/C44),IF(MAX(C44,D44)=0,"",MIN(C44,D44)/MAX(C44,D44))))),"")</f>
        <v/>
      </c>
      <c r="F44" s="67"/>
      <c r="G44" s="67"/>
      <c r="H44" s="79" t="str">
        <f aca="false">IFERROR(IF(OR(F44="",G44=""),"",IF(Dashboard!$K$5="L",IF(G44=0,"",F44/G44),IF(Dashboard!$K$5="R",IF(F44=0,"",G44/F44),IF(MAX(F44,G44)=0,"",MIN(F44,G44)/MAX(F44,G44))))),"")</f>
        <v/>
      </c>
      <c r="I44" s="67"/>
      <c r="J44" s="67"/>
      <c r="K44" s="79" t="str">
        <f aca="false">IFERROR(IF(OR(I44="",J44=""),"",IF(Dashboard!$K$5="L",IF(J44=0,"",I44/J44),IF(Dashboard!$K$5="R",IF(I44=0,"",J44/I44),IF(MAX(I44,J44)=0,"",MIN(I44,J44)/MAX(I44,J44))))),"")</f>
        <v/>
      </c>
      <c r="L44" s="67"/>
      <c r="M44" s="67"/>
      <c r="N44" s="79" t="str">
        <f aca="false">IFERROR(IF(OR(L44="",M44=""),"",IF(Dashboard!$K$5="L",IF(M44=0,"",L44/M44),IF(Dashboard!$K$5="R",IF(L44=0,"",M44/L44),IF(MAX(L44,M44)=0,"",MIN(L44,M44)/MAX(L44,M44))))),"")</f>
        <v/>
      </c>
      <c r="O44" s="67"/>
      <c r="P44" s="67"/>
      <c r="Q44" s="79" t="str">
        <f aca="false">IFERROR(IF(OR(O44="",P44=""),"",IF(Dashboard!$K$5="L",IF(P44=0,"",O44/P44),IF(Dashboard!$K$5="R",IF(O44=0,"",P44/O44),IF(MAX(O44,P44)=0,"",MIN(O44,P44)/MAX(O44,P44))))),"")</f>
        <v/>
      </c>
      <c r="R44" s="67"/>
      <c r="S44" s="67"/>
      <c r="T44" s="79" t="str">
        <f aca="false">IFERROR(IF(OR(R44="",S44=""),"",IF(Dashboard!$K$5="L",IF(S44=0,"",R44/S44),IF(Dashboard!$K$5="R",IF(R44=0,"",S44/R44),IF(MAX(R44,S44)=0,"",MIN(R44,S44)/MAX(R44,S44))))),"")</f>
        <v/>
      </c>
      <c r="U44" s="67"/>
      <c r="V44" s="67"/>
      <c r="W44" s="79" t="str">
        <f aca="false">IFERROR(IF(OR(U44="",V44=""),"",IF(Dashboard!$K$5="L",IF(V44=0,"",U44/V44),IF(Dashboard!$K$5="R",IF(U44=0,"",V44/U44),IF(MAX(U44,V44)=0,"",MIN(U44,V44)/MAX(U44,V44))))),"")</f>
        <v/>
      </c>
      <c r="X44" s="67"/>
      <c r="Y44" s="67"/>
      <c r="Z44" s="79" t="str">
        <f aca="false">IFERROR(IF(OR(X44="",Y44=""),"",IF(Dashboard!$K$5="L",IF(Y44=0,"",X44/Y44),IF(Dashboard!$K$5="R",IF(X44=0,"",Y44/X44),IF(MAX(X44,Y44)=0,"",MIN(X44,Y44)/MAX(X44,Y44))))),"")</f>
        <v/>
      </c>
      <c r="AA44" s="58"/>
    </row>
    <row r="45" customFormat="false" ht="15" hidden="false" customHeight="false" outlineLevel="0" collapsed="false">
      <c r="A45" s="56"/>
      <c r="B45" s="57" t="str">
        <f aca="false">IF(A45="","",IF(Dashboard!$L$5="","",INT((A45-Dashboard!$L$5)/7)+1))</f>
        <v/>
      </c>
      <c r="C45" s="67"/>
      <c r="D45" s="67"/>
      <c r="E45" s="79" t="str">
        <f aca="false">IFERROR(IF(OR(C45="",D45=""),"",IF(Dashboard!$K$5="L",IF(D45=0,"",C45/D45),IF(Dashboard!$K$5="R",IF(C45=0,"",D45/C45),IF(MAX(C45,D45)=0,"",MIN(C45,D45)/MAX(C45,D45))))),"")</f>
        <v/>
      </c>
      <c r="F45" s="67"/>
      <c r="G45" s="67"/>
      <c r="H45" s="79" t="str">
        <f aca="false">IFERROR(IF(OR(F45="",G45=""),"",IF(Dashboard!$K$5="L",IF(G45=0,"",F45/G45),IF(Dashboard!$K$5="R",IF(F45=0,"",G45/F45),IF(MAX(F45,G45)=0,"",MIN(F45,G45)/MAX(F45,G45))))),"")</f>
        <v/>
      </c>
      <c r="I45" s="67"/>
      <c r="J45" s="67"/>
      <c r="K45" s="79" t="str">
        <f aca="false">IFERROR(IF(OR(I45="",J45=""),"",IF(Dashboard!$K$5="L",IF(J45=0,"",I45/J45),IF(Dashboard!$K$5="R",IF(I45=0,"",J45/I45),IF(MAX(I45,J45)=0,"",MIN(I45,J45)/MAX(I45,J45))))),"")</f>
        <v/>
      </c>
      <c r="L45" s="67"/>
      <c r="M45" s="67"/>
      <c r="N45" s="79" t="str">
        <f aca="false">IFERROR(IF(OR(L45="",M45=""),"",IF(Dashboard!$K$5="L",IF(M45=0,"",L45/M45),IF(Dashboard!$K$5="R",IF(L45=0,"",M45/L45),IF(MAX(L45,M45)=0,"",MIN(L45,M45)/MAX(L45,M45))))),"")</f>
        <v/>
      </c>
      <c r="O45" s="67"/>
      <c r="P45" s="67"/>
      <c r="Q45" s="79" t="str">
        <f aca="false">IFERROR(IF(OR(O45="",P45=""),"",IF(Dashboard!$K$5="L",IF(P45=0,"",O45/P45),IF(Dashboard!$K$5="R",IF(O45=0,"",P45/O45),IF(MAX(O45,P45)=0,"",MIN(O45,P45)/MAX(O45,P45))))),"")</f>
        <v/>
      </c>
      <c r="R45" s="67"/>
      <c r="S45" s="67"/>
      <c r="T45" s="79" t="str">
        <f aca="false">IFERROR(IF(OR(R45="",S45=""),"",IF(Dashboard!$K$5="L",IF(S45=0,"",R45/S45),IF(Dashboard!$K$5="R",IF(R45=0,"",S45/R45),IF(MAX(R45,S45)=0,"",MIN(R45,S45)/MAX(R45,S45))))),"")</f>
        <v/>
      </c>
      <c r="U45" s="67"/>
      <c r="V45" s="67"/>
      <c r="W45" s="79" t="str">
        <f aca="false">IFERROR(IF(OR(U45="",V45=""),"",IF(Dashboard!$K$5="L",IF(V45=0,"",U45/V45),IF(Dashboard!$K$5="R",IF(U45=0,"",V45/U45),IF(MAX(U45,V45)=0,"",MIN(U45,V45)/MAX(U45,V45))))),"")</f>
        <v/>
      </c>
      <c r="X45" s="67"/>
      <c r="Y45" s="67"/>
      <c r="Z45" s="79" t="str">
        <f aca="false">IFERROR(IF(OR(X45="",Y45=""),"",IF(Dashboard!$K$5="L",IF(Y45=0,"",X45/Y45),IF(Dashboard!$K$5="R",IF(X45=0,"",Y45/X45),IF(MAX(X45,Y45)=0,"",MIN(X45,Y45)/MAX(X45,Y45))))),"")</f>
        <v/>
      </c>
      <c r="AA45" s="58"/>
    </row>
    <row r="46" customFormat="false" ht="15" hidden="false" customHeight="false" outlineLevel="0" collapsed="false">
      <c r="A46" s="56"/>
      <c r="B46" s="57" t="str">
        <f aca="false">IF(A46="","",IF(Dashboard!$L$5="","",INT((A46-Dashboard!$L$5)/7)+1))</f>
        <v/>
      </c>
      <c r="C46" s="67"/>
      <c r="D46" s="67"/>
      <c r="E46" s="79" t="str">
        <f aca="false">IFERROR(IF(OR(C46="",D46=""),"",IF(Dashboard!$K$5="L",IF(D46=0,"",C46/D46),IF(Dashboard!$K$5="R",IF(C46=0,"",D46/C46),IF(MAX(C46,D46)=0,"",MIN(C46,D46)/MAX(C46,D46))))),"")</f>
        <v/>
      </c>
      <c r="F46" s="67"/>
      <c r="G46" s="67"/>
      <c r="H46" s="79" t="str">
        <f aca="false">IFERROR(IF(OR(F46="",G46=""),"",IF(Dashboard!$K$5="L",IF(G46=0,"",F46/G46),IF(Dashboard!$K$5="R",IF(F46=0,"",G46/F46),IF(MAX(F46,G46)=0,"",MIN(F46,G46)/MAX(F46,G46))))),"")</f>
        <v/>
      </c>
      <c r="I46" s="67"/>
      <c r="J46" s="67"/>
      <c r="K46" s="79" t="str">
        <f aca="false">IFERROR(IF(OR(I46="",J46=""),"",IF(Dashboard!$K$5="L",IF(J46=0,"",I46/J46),IF(Dashboard!$K$5="R",IF(I46=0,"",J46/I46),IF(MAX(I46,J46)=0,"",MIN(I46,J46)/MAX(I46,J46))))),"")</f>
        <v/>
      </c>
      <c r="L46" s="67"/>
      <c r="M46" s="67"/>
      <c r="N46" s="79" t="str">
        <f aca="false">IFERROR(IF(OR(L46="",M46=""),"",IF(Dashboard!$K$5="L",IF(M46=0,"",L46/M46),IF(Dashboard!$K$5="R",IF(L46=0,"",M46/L46),IF(MAX(L46,M46)=0,"",MIN(L46,M46)/MAX(L46,M46))))),"")</f>
        <v/>
      </c>
      <c r="O46" s="67"/>
      <c r="P46" s="67"/>
      <c r="Q46" s="79" t="str">
        <f aca="false">IFERROR(IF(OR(O46="",P46=""),"",IF(Dashboard!$K$5="L",IF(P46=0,"",O46/P46),IF(Dashboard!$K$5="R",IF(O46=0,"",P46/O46),IF(MAX(O46,P46)=0,"",MIN(O46,P46)/MAX(O46,P46))))),"")</f>
        <v/>
      </c>
      <c r="R46" s="67"/>
      <c r="S46" s="67"/>
      <c r="T46" s="79" t="str">
        <f aca="false">IFERROR(IF(OR(R46="",S46=""),"",IF(Dashboard!$K$5="L",IF(S46=0,"",R46/S46),IF(Dashboard!$K$5="R",IF(R46=0,"",S46/R46),IF(MAX(R46,S46)=0,"",MIN(R46,S46)/MAX(R46,S46))))),"")</f>
        <v/>
      </c>
      <c r="U46" s="67"/>
      <c r="V46" s="67"/>
      <c r="W46" s="79" t="str">
        <f aca="false">IFERROR(IF(OR(U46="",V46=""),"",IF(Dashboard!$K$5="L",IF(V46=0,"",U46/V46),IF(Dashboard!$K$5="R",IF(U46=0,"",V46/U46),IF(MAX(U46,V46)=0,"",MIN(U46,V46)/MAX(U46,V46))))),"")</f>
        <v/>
      </c>
      <c r="X46" s="67"/>
      <c r="Y46" s="67"/>
      <c r="Z46" s="79" t="str">
        <f aca="false">IFERROR(IF(OR(X46="",Y46=""),"",IF(Dashboard!$K$5="L",IF(Y46=0,"",X46/Y46),IF(Dashboard!$K$5="R",IF(X46=0,"",Y46/X46),IF(MAX(X46,Y46)=0,"",MIN(X46,Y46)/MAX(X46,Y46))))),"")</f>
        <v/>
      </c>
      <c r="AA46" s="58"/>
    </row>
    <row r="47" customFormat="false" ht="15" hidden="false" customHeight="false" outlineLevel="0" collapsed="false">
      <c r="A47" s="56"/>
      <c r="B47" s="57" t="str">
        <f aca="false">IF(A47="","",IF(Dashboard!$L$5="","",INT((A47-Dashboard!$L$5)/7)+1))</f>
        <v/>
      </c>
      <c r="C47" s="67"/>
      <c r="D47" s="67"/>
      <c r="E47" s="79" t="str">
        <f aca="false">IFERROR(IF(OR(C47="",D47=""),"",IF(Dashboard!$K$5="L",IF(D47=0,"",C47/D47),IF(Dashboard!$K$5="R",IF(C47=0,"",D47/C47),IF(MAX(C47,D47)=0,"",MIN(C47,D47)/MAX(C47,D47))))),"")</f>
        <v/>
      </c>
      <c r="F47" s="67"/>
      <c r="G47" s="67"/>
      <c r="H47" s="79" t="str">
        <f aca="false">IFERROR(IF(OR(F47="",G47=""),"",IF(Dashboard!$K$5="L",IF(G47=0,"",F47/G47),IF(Dashboard!$K$5="R",IF(F47=0,"",G47/F47),IF(MAX(F47,G47)=0,"",MIN(F47,G47)/MAX(F47,G47))))),"")</f>
        <v/>
      </c>
      <c r="I47" s="67"/>
      <c r="J47" s="67"/>
      <c r="K47" s="79" t="str">
        <f aca="false">IFERROR(IF(OR(I47="",J47=""),"",IF(Dashboard!$K$5="L",IF(J47=0,"",I47/J47),IF(Dashboard!$K$5="R",IF(I47=0,"",J47/I47),IF(MAX(I47,J47)=0,"",MIN(I47,J47)/MAX(I47,J47))))),"")</f>
        <v/>
      </c>
      <c r="L47" s="67"/>
      <c r="M47" s="67"/>
      <c r="N47" s="79" t="str">
        <f aca="false">IFERROR(IF(OR(L47="",M47=""),"",IF(Dashboard!$K$5="L",IF(M47=0,"",L47/M47),IF(Dashboard!$K$5="R",IF(L47=0,"",M47/L47),IF(MAX(L47,M47)=0,"",MIN(L47,M47)/MAX(L47,M47))))),"")</f>
        <v/>
      </c>
      <c r="O47" s="67"/>
      <c r="P47" s="67"/>
      <c r="Q47" s="79" t="str">
        <f aca="false">IFERROR(IF(OR(O47="",P47=""),"",IF(Dashboard!$K$5="L",IF(P47=0,"",O47/P47),IF(Dashboard!$K$5="R",IF(O47=0,"",P47/O47),IF(MAX(O47,P47)=0,"",MIN(O47,P47)/MAX(O47,P47))))),"")</f>
        <v/>
      </c>
      <c r="R47" s="67"/>
      <c r="S47" s="67"/>
      <c r="T47" s="79" t="str">
        <f aca="false">IFERROR(IF(OR(R47="",S47=""),"",IF(Dashboard!$K$5="L",IF(S47=0,"",R47/S47),IF(Dashboard!$K$5="R",IF(R47=0,"",S47/R47),IF(MAX(R47,S47)=0,"",MIN(R47,S47)/MAX(R47,S47))))),"")</f>
        <v/>
      </c>
      <c r="U47" s="67"/>
      <c r="V47" s="67"/>
      <c r="W47" s="79" t="str">
        <f aca="false">IFERROR(IF(OR(U47="",V47=""),"",IF(Dashboard!$K$5="L",IF(V47=0,"",U47/V47),IF(Dashboard!$K$5="R",IF(U47=0,"",V47/U47),IF(MAX(U47,V47)=0,"",MIN(U47,V47)/MAX(U47,V47))))),"")</f>
        <v/>
      </c>
      <c r="X47" s="67"/>
      <c r="Y47" s="67"/>
      <c r="Z47" s="79" t="str">
        <f aca="false">IFERROR(IF(OR(X47="",Y47=""),"",IF(Dashboard!$K$5="L",IF(Y47=0,"",X47/Y47),IF(Dashboard!$K$5="R",IF(X47=0,"",Y47/X47),IF(MAX(X47,Y47)=0,"",MIN(X47,Y47)/MAX(X47,Y47))))),"")</f>
        <v/>
      </c>
      <c r="AA47" s="58"/>
    </row>
    <row r="48" customFormat="false" ht="18" hidden="false" customHeight="true" outlineLevel="0" collapsed="false">
      <c r="A48" s="77" t="s">
        <v>151</v>
      </c>
      <c r="B48" s="77"/>
      <c r="C48" s="77" t="n">
        <f aca="false">IF(COUNT(C36:C47)=0,"",INDEX(C36:C47,SUMPRODUCT(MAX(ISNUMBER(C36:C47)*(($A$36:$A$47)=SUMPRODUCT(MAX(ISNUMBER(C36:C47)*($A$36:$A$47))))*(ROW(C36:C47)-ROW(C$36)+1)))))</f>
        <v>135</v>
      </c>
      <c r="D48" s="77" t="n">
        <f aca="false">IF(COUNT(D36:D47)=0,"",INDEX(D36:D47,SUMPRODUCT(MAX(ISNUMBER(D36:D47)*(($A$36:$A$47)=SUMPRODUCT(MAX(ISNUMBER(D36:D47)*($A$36:$A$47))))*(ROW(D36:D47)-ROW(D$36)+1)))))</f>
        <v>141</v>
      </c>
      <c r="E48" s="80" t="n">
        <f aca="false">IF(COUNT(E36:E47)=0,"",INDEX(E36:E47,SUMPRODUCT(MAX(ISNUMBER(E36:E47)*(($A$36:$A$47)=SUMPRODUCT(MAX(ISNUMBER(E36:E47)*($A$36:$A$47))))*(ROW(E36:E47)-ROW(E$36)+1)))))</f>
        <v>0.957446808510638</v>
      </c>
      <c r="F48" s="77" t="n">
        <f aca="false">IF(COUNT(F36:F47)=0,"",INDEX(F36:F47,SUMPRODUCT(MAX(ISNUMBER(F36:F47)*(($A$36:$A$47)=SUMPRODUCT(MAX(ISNUMBER(F36:F47)*($A$36:$A$47))))*(ROW(F36:F47)-ROW(F$36)+1)))))</f>
        <v>3</v>
      </c>
      <c r="G48" s="77" t="n">
        <f aca="false">IF(COUNT(G36:G47)=0,"",INDEX(G36:G47,SUMPRODUCT(MAX(ISNUMBER(G36:G47)*(($A$36:$A$47)=SUMPRODUCT(MAX(ISNUMBER(G36:G47)*($A$36:$A$47))))*(ROW(G36:G47)-ROW(G$36)+1)))))</f>
        <v>3</v>
      </c>
      <c r="H48" s="80" t="n">
        <f aca="false">IF(COUNT(H36:H47)=0,"",INDEX(H36:H47,SUMPRODUCT(MAX(ISNUMBER(H36:H47)*(($A$36:$A$47)=SUMPRODUCT(MAX(ISNUMBER(H36:H47)*($A$36:$A$47))))*(ROW(H36:H47)-ROW(H$36)+1)))))</f>
        <v>1</v>
      </c>
      <c r="I48" s="77" t="n">
        <f aca="false">IF(COUNT(I36:I47)=0,"",INDEX(I36:I47,SUMPRODUCT(MAX(ISNUMBER(I36:I47)*(($A$36:$A$47)=SUMPRODUCT(MAX(ISNUMBER(I36:I47)*($A$36:$A$47))))*(ROW(I36:I47)-ROW(I$36)+1)))))</f>
        <v>11</v>
      </c>
      <c r="J48" s="77" t="n">
        <f aca="false">IF(COUNT(J36:J47)=0,"",INDEX(J36:J47,SUMPRODUCT(MAX(ISNUMBER(J36:J47)*(($A$36:$A$47)=SUMPRODUCT(MAX(ISNUMBER(J36:J47)*($A$36:$A$47))))*(ROW(J36:J47)-ROW(J$36)+1)))))</f>
        <v>12</v>
      </c>
      <c r="K48" s="80" t="n">
        <f aca="false">IF(COUNT(K36:K47)=0,"",INDEX(K36:K47,SUMPRODUCT(MAX(ISNUMBER(K36:K47)*(($A$36:$A$47)=SUMPRODUCT(MAX(ISNUMBER(K36:K47)*($A$36:$A$47))))*(ROW(K36:K47)-ROW(K$36)+1)))))</f>
        <v>0.916666666666667</v>
      </c>
      <c r="L48" s="77" t="n">
        <f aca="false">IF(COUNT(L36:L47)=0,"",INDEX(L36:L47,SUMPRODUCT(MAX(ISNUMBER(L36:L47)*(($A$36:$A$47)=SUMPRODUCT(MAX(ISNUMBER(L36:L47)*($A$36:$A$47))))*(ROW(L36:L47)-ROW(L$36)+1)))))</f>
        <v>45.5</v>
      </c>
      <c r="M48" s="77" t="n">
        <f aca="false">IF(COUNT(M36:M47)=0,"",INDEX(M36:M47,SUMPRODUCT(MAX(ISNUMBER(M36:M47)*(($A$36:$A$47)=SUMPRODUCT(MAX(ISNUMBER(M36:M47)*($A$36:$A$47))))*(ROW(M36:M47)-ROW(M$36)+1)))))</f>
        <v>47</v>
      </c>
      <c r="N48" s="80" t="n">
        <f aca="false">IF(COUNT(N36:N47)=0,"",INDEX(N36:N47,SUMPRODUCT(MAX(ISNUMBER(N36:N47)*(($A$36:$A$47)=SUMPRODUCT(MAX(ISNUMBER(N36:N47)*($A$36:$A$47))))*(ROW(N36:N47)-ROW(N$36)+1)))))</f>
        <v>0.968085106382979</v>
      </c>
      <c r="O48" s="77" t="str">
        <f aca="false">IF(COUNT(O36:O47)=0,"",INDEX(O36:O47,SUMPRODUCT(MAX(ISNUMBER(O36:O47)*(($A$36:$A$47)=SUMPRODUCT(MAX(ISNUMBER(O36:O47)*($A$36:$A$47))))*(ROW(O36:O47)-ROW(O$36)+1)))))</f>
        <v/>
      </c>
      <c r="P48" s="77" t="str">
        <f aca="false">IF(COUNT(P36:P47)=0,"",INDEX(P36:P47,SUMPRODUCT(MAX(ISNUMBER(P36:P47)*(($A$36:$A$47)=SUMPRODUCT(MAX(ISNUMBER(P36:P47)*($A$36:$A$47))))*(ROW(P36:P47)-ROW(P$36)+1)))))</f>
        <v/>
      </c>
      <c r="Q48" s="80" t="str">
        <f aca="false">IF(COUNT(Q36:Q47)=0,"",INDEX(Q36:Q47,SUMPRODUCT(MAX(ISNUMBER(Q36:Q47)*(($A$36:$A$47)=SUMPRODUCT(MAX(ISNUMBER(Q36:Q47)*($A$36:$A$47))))*(ROW(Q36:Q47)-ROW(Q$36)+1)))))</f>
        <v/>
      </c>
      <c r="R48" s="77" t="str">
        <f aca="false">IF(COUNT(R36:R47)=0,"",INDEX(R36:R47,SUMPRODUCT(MAX(ISNUMBER(R36:R47)*(($A$36:$A$47)=SUMPRODUCT(MAX(ISNUMBER(R36:R47)*($A$36:$A$47))))*(ROW(R36:R47)-ROW(R$36)+1)))))</f>
        <v/>
      </c>
      <c r="S48" s="77" t="str">
        <f aca="false">IF(COUNT(S36:S47)=0,"",INDEX(S36:S47,SUMPRODUCT(MAX(ISNUMBER(S36:S47)*(($A$36:$A$47)=SUMPRODUCT(MAX(ISNUMBER(S36:S47)*($A$36:$A$47))))*(ROW(S36:S47)-ROW(S$36)+1)))))</f>
        <v/>
      </c>
      <c r="T48" s="80" t="str">
        <f aca="false">IF(COUNT(T36:T47)=0,"",INDEX(T36:T47,SUMPRODUCT(MAX(ISNUMBER(T36:T47)*(($A$36:$A$47)=SUMPRODUCT(MAX(ISNUMBER(T36:T47)*($A$36:$A$47))))*(ROW(T36:T47)-ROW(T$36)+1)))))</f>
        <v/>
      </c>
      <c r="U48" s="77" t="str">
        <f aca="false">IF(COUNT(U36:U47)=0,"",INDEX(U36:U47,SUMPRODUCT(MAX(ISNUMBER(U36:U47)*(($A$36:$A$47)=SUMPRODUCT(MAX(ISNUMBER(U36:U47)*($A$36:$A$47))))*(ROW(U36:U47)-ROW(U$36)+1)))))</f>
        <v/>
      </c>
      <c r="V48" s="77" t="str">
        <f aca="false">IF(COUNT(V36:V47)=0,"",INDEX(V36:V47,SUMPRODUCT(MAX(ISNUMBER(V36:V47)*(($A$36:$A$47)=SUMPRODUCT(MAX(ISNUMBER(V36:V47)*($A$36:$A$47))))*(ROW(V36:V47)-ROW(V$36)+1)))))</f>
        <v/>
      </c>
      <c r="W48" s="80" t="str">
        <f aca="false">IF(COUNT(W36:W47)=0,"",INDEX(W36:W47,SUMPRODUCT(MAX(ISNUMBER(W36:W47)*(($A$36:$A$47)=SUMPRODUCT(MAX(ISNUMBER(W36:W47)*($A$36:$A$47))))*(ROW(W36:W47)-ROW(W$36)+1)))))</f>
        <v/>
      </c>
      <c r="X48" s="77" t="str">
        <f aca="false">IF(COUNT(X36:X47)=0,"",INDEX(X36:X47,SUMPRODUCT(MAX(ISNUMBER(X36:X47)*(($A$36:$A$47)=SUMPRODUCT(MAX(ISNUMBER(X36:X47)*($A$36:$A$47))))*(ROW(X36:X47)-ROW(X$36)+1)))))</f>
        <v/>
      </c>
      <c r="Y48" s="77" t="str">
        <f aca="false">IF(COUNT(Y36:Y47)=0,"",INDEX(Y36:Y47,SUMPRODUCT(MAX(ISNUMBER(Y36:Y47)*(($A$36:$A$47)=SUMPRODUCT(MAX(ISNUMBER(Y36:Y47)*($A$36:$A$47))))*(ROW(Y36:Y47)-ROW(Y$36)+1)))))</f>
        <v/>
      </c>
      <c r="Z48" s="80" t="str">
        <f aca="false">IF(COUNT(Z36:Z47)=0,"",INDEX(Z36:Z47,SUMPRODUCT(MAX(ISNUMBER(Z36:Z47)*(($A$36:$A$47)=SUMPRODUCT(MAX(ISNUMBER(Z36:Z47)*($A$36:$A$47))))*(ROW(Z36:Z47)-ROW(Z$36)+1)))))</f>
        <v/>
      </c>
      <c r="AA48" s="81" t="s">
        <v>152</v>
      </c>
    </row>
    <row r="49" customFormat="false" ht="15" hidden="false" customHeight="true" outlineLevel="0" collapsed="false">
      <c r="A49" s="65" t="s">
        <v>153</v>
      </c>
      <c r="B49" s="65"/>
      <c r="C49" s="70" t="n">
        <f aca="false">IF(OR(COUNT(C36:C47)=0,SUMPRODUCT(MAX(ISNUMBER(C36:C47)*($A$36:$A$47)))=0),"",SUMPRODUCT(MAX(ISNUMBER(C36:C47)*($A$36:$A$47))))</f>
        <v>46286</v>
      </c>
      <c r="D49" s="70"/>
      <c r="E49" s="70"/>
      <c r="F49" s="70" t="n">
        <f aca="false">IF(OR(COUNT(F36:F47)=0,SUMPRODUCT(MAX(ISNUMBER(F36:F47)*($A$36:$A$47)))=0),"",SUMPRODUCT(MAX(ISNUMBER(F36:F47)*($A$36:$A$47))))</f>
        <v>46286</v>
      </c>
      <c r="G49" s="70"/>
      <c r="H49" s="70"/>
      <c r="I49" s="70" t="n">
        <f aca="false">IF(OR(COUNT(I36:I47)=0,SUMPRODUCT(MAX(ISNUMBER(I36:I47)*($A$36:$A$47)))=0),"",SUMPRODUCT(MAX(ISNUMBER(I36:I47)*($A$36:$A$47))))</f>
        <v>46286</v>
      </c>
      <c r="J49" s="70"/>
      <c r="K49" s="70"/>
      <c r="L49" s="70" t="n">
        <f aca="false">IF(OR(COUNT(L36:L47)=0,SUMPRODUCT(MAX(ISNUMBER(L36:L47)*($A$36:$A$47)))=0),"",SUMPRODUCT(MAX(ISNUMBER(L36:L47)*($A$36:$A$47))))</f>
        <v>46286</v>
      </c>
      <c r="M49" s="70"/>
      <c r="N49" s="70"/>
      <c r="O49" s="70" t="str">
        <f aca="false">IF(OR(COUNT(O36:O47)=0,SUMPRODUCT(MAX(ISNUMBER(O36:O47)*($A$36:$A$47)))=0),"",SUMPRODUCT(MAX(ISNUMBER(O36:O47)*($A$36:$A$47))))</f>
        <v/>
      </c>
      <c r="P49" s="70"/>
      <c r="Q49" s="70"/>
      <c r="R49" s="70" t="str">
        <f aca="false">IF(OR(COUNT(R36:R47)=0,SUMPRODUCT(MAX(ISNUMBER(R36:R47)*($A$36:$A$47)))=0),"",SUMPRODUCT(MAX(ISNUMBER(R36:R47)*($A$36:$A$47))))</f>
        <v/>
      </c>
      <c r="S49" s="70"/>
      <c r="T49" s="70"/>
      <c r="U49" s="70" t="str">
        <f aca="false">IF(OR(COUNT(U36:U47)=0,SUMPRODUCT(MAX(ISNUMBER(U36:U47)*($A$36:$A$47)))=0),"",SUMPRODUCT(MAX(ISNUMBER(U36:U47)*($A$36:$A$47))))</f>
        <v/>
      </c>
      <c r="V49" s="70"/>
      <c r="W49" s="70"/>
      <c r="X49" s="70" t="str">
        <f aca="false">IF(OR(COUNT(X36:X47)=0,SUMPRODUCT(MAX(ISNUMBER(X36:X47)*($A$36:$A$47)))=0),"",SUMPRODUCT(MAX(ISNUMBER(X36:X47)*($A$36:$A$47))))</f>
        <v/>
      </c>
      <c r="Y49" s="70"/>
      <c r="Z49" s="70"/>
      <c r="AA49" s="82"/>
    </row>
    <row r="51" customFormat="false" ht="19.5" hidden="false" customHeight="true" outlineLevel="0" collapsed="false">
      <c r="A51" s="62" t="s">
        <v>233</v>
      </c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</row>
    <row r="52" customFormat="false" ht="31.5" hidden="false" customHeight="true" outlineLevel="0" collapsed="false">
      <c r="A52" s="55" t="s">
        <v>52</v>
      </c>
      <c r="B52" s="55" t="s">
        <v>75</v>
      </c>
      <c r="C52" s="77" t="s">
        <v>214</v>
      </c>
      <c r="D52" s="77"/>
      <c r="E52" s="77"/>
      <c r="F52" s="77" t="s">
        <v>227</v>
      </c>
      <c r="G52" s="77"/>
      <c r="H52" s="77"/>
      <c r="I52" s="77" t="s">
        <v>234</v>
      </c>
      <c r="J52" s="77"/>
      <c r="K52" s="77"/>
      <c r="L52" s="77" t="s">
        <v>235</v>
      </c>
      <c r="M52" s="77"/>
      <c r="N52" s="77"/>
      <c r="O52" s="78" t="s">
        <v>150</v>
      </c>
      <c r="P52" s="78"/>
      <c r="Q52" s="78"/>
      <c r="R52" s="78" t="s">
        <v>150</v>
      </c>
      <c r="S52" s="78"/>
      <c r="T52" s="78"/>
      <c r="U52" s="78" t="s">
        <v>150</v>
      </c>
      <c r="V52" s="78"/>
      <c r="W52" s="78"/>
      <c r="X52" s="78" t="s">
        <v>150</v>
      </c>
      <c r="Y52" s="78"/>
      <c r="Z52" s="78"/>
      <c r="AA52" s="55" t="s">
        <v>84</v>
      </c>
    </row>
    <row r="53" customFormat="false" ht="15.75" hidden="false" customHeight="true" outlineLevel="0" collapsed="false">
      <c r="A53" s="55"/>
      <c r="B53" s="55"/>
      <c r="C53" s="55" t="s">
        <v>12</v>
      </c>
      <c r="D53" s="55" t="s">
        <v>49</v>
      </c>
      <c r="E53" s="55" t="s">
        <v>50</v>
      </c>
      <c r="F53" s="55" t="s">
        <v>12</v>
      </c>
      <c r="G53" s="55" t="s">
        <v>49</v>
      </c>
      <c r="H53" s="55" t="s">
        <v>50</v>
      </c>
      <c r="I53" s="55" t="s">
        <v>12</v>
      </c>
      <c r="J53" s="55" t="s">
        <v>49</v>
      </c>
      <c r="K53" s="55" t="s">
        <v>50</v>
      </c>
      <c r="L53" s="55" t="s">
        <v>12</v>
      </c>
      <c r="M53" s="55" t="s">
        <v>49</v>
      </c>
      <c r="N53" s="55" t="s">
        <v>50</v>
      </c>
      <c r="O53" s="55" t="s">
        <v>12</v>
      </c>
      <c r="P53" s="55" t="s">
        <v>49</v>
      </c>
      <c r="Q53" s="55" t="s">
        <v>50</v>
      </c>
      <c r="R53" s="55" t="s">
        <v>12</v>
      </c>
      <c r="S53" s="55" t="s">
        <v>49</v>
      </c>
      <c r="T53" s="55" t="s">
        <v>50</v>
      </c>
      <c r="U53" s="55" t="s">
        <v>12</v>
      </c>
      <c r="V53" s="55" t="s">
        <v>49</v>
      </c>
      <c r="W53" s="55" t="s">
        <v>50</v>
      </c>
      <c r="X53" s="55" t="s">
        <v>12</v>
      </c>
      <c r="Y53" s="55" t="s">
        <v>49</v>
      </c>
      <c r="Z53" s="55" t="s">
        <v>50</v>
      </c>
      <c r="AA53" s="55"/>
    </row>
    <row r="54" customFormat="false" ht="15" hidden="false" customHeight="false" outlineLevel="0" collapsed="false">
      <c r="A54" s="56" t="n">
        <v>46272</v>
      </c>
      <c r="B54" s="57" t="n">
        <f aca="false">IF(A54="","",IF(Dashboard!$L$5="","",INT((A54-Dashboard!$L$5)/7)+1))</f>
        <v>5</v>
      </c>
      <c r="C54" s="67" t="n">
        <v>312</v>
      </c>
      <c r="D54" s="67" t="n">
        <v>480</v>
      </c>
      <c r="E54" s="79" t="n">
        <f aca="false">IFERROR(IF(OR(C54="",D54=""),"",IF(Dashboard!$K$5="L",IF(D54=0,"",C54/D54),IF(Dashboard!$K$5="R",IF(C54=0,"",D54/C54),IF(MAX(C54,D54)=0,"",MIN(C54,D54)/MAX(C54,D54))))),"")</f>
        <v>0.65</v>
      </c>
      <c r="F54" s="67" t="n">
        <v>255</v>
      </c>
      <c r="G54" s="67" t="n">
        <v>300</v>
      </c>
      <c r="H54" s="79" t="n">
        <f aca="false">IFERROR(IF(OR(F54="",G54=""),"",IF(Dashboard!$K$5="L",IF(G54=0,"",F54/G54),IF(Dashboard!$K$5="R",IF(F54=0,"",G54/F54),IF(MAX(F54,G54)=0,"",MIN(F54,G54)/MAX(F54,G54))))),"")</f>
        <v>0.85</v>
      </c>
      <c r="I54" s="67" t="n">
        <v>1210</v>
      </c>
      <c r="J54" s="67" t="n">
        <v>1500</v>
      </c>
      <c r="K54" s="79" t="n">
        <f aca="false">IFERROR(IF(OR(I54="",J54=""),"",IF(Dashboard!$K$5="L",IF(J54=0,"",I54/J54),IF(Dashboard!$K$5="R",IF(I54=0,"",J54/I54),IF(MAX(I54,J54)=0,"",MIN(I54,J54)/MAX(I54,J54))))),"")</f>
        <v>0.806666666666667</v>
      </c>
      <c r="L54" s="67" t="n">
        <v>260</v>
      </c>
      <c r="M54" s="67" t="n">
        <v>280</v>
      </c>
      <c r="N54" s="79" t="n">
        <f aca="false">IFERROR(IF(OR(L54="",M54=""),"",IF(Dashboard!$K$5="L",IF(M54=0,"",L54/M54),IF(Dashboard!$K$5="R",IF(L54=0,"",M54/L54),IF(MAX(L54,M54)=0,"",MIN(L54,M54)/MAX(L54,M54))))),"")</f>
        <v>0.928571428571429</v>
      </c>
      <c r="O54" s="67"/>
      <c r="P54" s="67"/>
      <c r="Q54" s="79" t="str">
        <f aca="false">IFERROR(IF(OR(O54="",P54=""),"",IF(Dashboard!$K$5="L",IF(P54=0,"",O54/P54),IF(Dashboard!$K$5="R",IF(O54=0,"",P54/O54),IF(MAX(O54,P54)=0,"",MIN(O54,P54)/MAX(O54,P54))))),"")</f>
        <v/>
      </c>
      <c r="R54" s="67"/>
      <c r="S54" s="67"/>
      <c r="T54" s="79" t="str">
        <f aca="false">IFERROR(IF(OR(R54="",S54=""),"",IF(Dashboard!$K$5="L",IF(S54=0,"",R54/S54),IF(Dashboard!$K$5="R",IF(R54=0,"",S54/R54),IF(MAX(R54,S54)=0,"",MIN(R54,S54)/MAX(R54,S54))))),"")</f>
        <v/>
      </c>
      <c r="U54" s="67"/>
      <c r="V54" s="67"/>
      <c r="W54" s="79" t="str">
        <f aca="false">IFERROR(IF(OR(U54="",V54=""),"",IF(Dashboard!$K$5="L",IF(V54=0,"",U54/V54),IF(Dashboard!$K$5="R",IF(U54=0,"",V54/U54),IF(MAX(U54,V54)=0,"",MIN(U54,V54)/MAX(U54,V54))))),"")</f>
        <v/>
      </c>
      <c r="X54" s="67"/>
      <c r="Y54" s="67"/>
      <c r="Z54" s="79" t="str">
        <f aca="false">IFERROR(IF(OR(X54="",Y54=""),"",IF(Dashboard!$K$5="L",IF(Y54=0,"",X54/Y54),IF(Dashboard!$K$5="R",IF(X54=0,"",Y54/X54),IF(MAX(X54,Y54)=0,"",MIN(X54,Y54)/MAX(X54,Y54))))),"")</f>
        <v/>
      </c>
      <c r="AA54" s="61" t="s">
        <v>87</v>
      </c>
    </row>
    <row r="55" customFormat="false" ht="15" hidden="false" customHeight="false" outlineLevel="0" collapsed="false">
      <c r="A55" s="56" t="n">
        <v>46307</v>
      </c>
      <c r="B55" s="57" t="n">
        <f aca="false">IF(A55="","",IF(Dashboard!$L$5="","",INT((A55-Dashboard!$L$5)/7)+1))</f>
        <v>10</v>
      </c>
      <c r="C55" s="67" t="n">
        <v>395</v>
      </c>
      <c r="D55" s="67" t="n">
        <v>490</v>
      </c>
      <c r="E55" s="79" t="n">
        <f aca="false">IFERROR(IF(OR(C55="",D55=""),"",IF(Dashboard!$K$5="L",IF(D55=0,"",C55/D55),IF(Dashboard!$K$5="R",IF(C55=0,"",D55/C55),IF(MAX(C55,D55)=0,"",MIN(C55,D55)/MAX(C55,D55))))),"")</f>
        <v>0.806122448979592</v>
      </c>
      <c r="F55" s="67" t="n">
        <v>281</v>
      </c>
      <c r="G55" s="67" t="n">
        <v>305</v>
      </c>
      <c r="H55" s="79" t="n">
        <f aca="false">IFERROR(IF(OR(F55="",G55=""),"",IF(Dashboard!$K$5="L",IF(G55=0,"",F55/G55),IF(Dashboard!$K$5="R",IF(F55=0,"",G55/F55),IF(MAX(F55,G55)=0,"",MIN(F55,G55)/MAX(F55,G55))))),"")</f>
        <v>0.921311475409836</v>
      </c>
      <c r="I55" s="67" t="n">
        <v>1380</v>
      </c>
      <c r="J55" s="67" t="n">
        <v>1520</v>
      </c>
      <c r="K55" s="79" t="n">
        <f aca="false">IFERROR(IF(OR(I55="",J55=""),"",IF(Dashboard!$K$5="L",IF(J55=0,"",I55/J55),IF(Dashboard!$K$5="R",IF(I55=0,"",J55/I55),IF(MAX(I55,J55)=0,"",MIN(I55,J55)/MAX(I55,J55))))),"")</f>
        <v>0.907894736842105</v>
      </c>
      <c r="L55" s="67" t="n">
        <v>272</v>
      </c>
      <c r="M55" s="67" t="n">
        <v>285</v>
      </c>
      <c r="N55" s="79" t="n">
        <f aca="false">IFERROR(IF(OR(L55="",M55=""),"",IF(Dashboard!$K$5="L",IF(M55=0,"",L55/M55),IF(Dashboard!$K$5="R",IF(L55=0,"",M55/L55),IF(MAX(L55,M55)=0,"",MIN(L55,M55)/MAX(L55,M55))))),"")</f>
        <v>0.954385964912281</v>
      </c>
      <c r="O55" s="67"/>
      <c r="P55" s="67"/>
      <c r="Q55" s="79" t="str">
        <f aca="false">IFERROR(IF(OR(O55="",P55=""),"",IF(Dashboard!$K$5="L",IF(P55=0,"",O55/P55),IF(Dashboard!$K$5="R",IF(O55=0,"",P55/O55),IF(MAX(O55,P55)=0,"",MIN(O55,P55)/MAX(O55,P55))))),"")</f>
        <v/>
      </c>
      <c r="R55" s="67"/>
      <c r="S55" s="67"/>
      <c r="T55" s="79" t="str">
        <f aca="false">IFERROR(IF(OR(R55="",S55=""),"",IF(Dashboard!$K$5="L",IF(S55=0,"",R55/S55),IF(Dashboard!$K$5="R",IF(R55=0,"",S55/R55),IF(MAX(R55,S55)=0,"",MIN(R55,S55)/MAX(R55,S55))))),"")</f>
        <v/>
      </c>
      <c r="U55" s="67"/>
      <c r="V55" s="67"/>
      <c r="W55" s="79" t="str">
        <f aca="false">IFERROR(IF(OR(U55="",V55=""),"",IF(Dashboard!$K$5="L",IF(V55=0,"",U55/V55),IF(Dashboard!$K$5="R",IF(U55=0,"",V55/U55),IF(MAX(U55,V55)=0,"",MIN(U55,V55)/MAX(U55,V55))))),"")</f>
        <v/>
      </c>
      <c r="X55" s="67"/>
      <c r="Y55" s="67"/>
      <c r="Z55" s="79" t="str">
        <f aca="false">IFERROR(IF(OR(X55="",Y55=""),"",IF(Dashboard!$K$5="L",IF(Y55=0,"",X55/Y55),IF(Dashboard!$K$5="R",IF(X55=0,"",Y55/X55),IF(MAX(X55,Y55)=0,"",MIN(X55,Y55)/MAX(X55,Y55))))),"")</f>
        <v/>
      </c>
      <c r="AA55" s="61" t="s">
        <v>87</v>
      </c>
    </row>
    <row r="56" customFormat="false" ht="15" hidden="false" customHeight="false" outlineLevel="0" collapsed="false">
      <c r="A56" s="56"/>
      <c r="B56" s="57" t="str">
        <f aca="false">IF(A56="","",IF(Dashboard!$L$5="","",INT((A56-Dashboard!$L$5)/7)+1))</f>
        <v/>
      </c>
      <c r="C56" s="67"/>
      <c r="D56" s="67"/>
      <c r="E56" s="79" t="str">
        <f aca="false">IFERROR(IF(OR(C56="",D56=""),"",IF(Dashboard!$K$5="L",IF(D56=0,"",C56/D56),IF(Dashboard!$K$5="R",IF(C56=0,"",D56/C56),IF(MAX(C56,D56)=0,"",MIN(C56,D56)/MAX(C56,D56))))),"")</f>
        <v/>
      </c>
      <c r="F56" s="67"/>
      <c r="G56" s="67"/>
      <c r="H56" s="79" t="str">
        <f aca="false">IFERROR(IF(OR(F56="",G56=""),"",IF(Dashboard!$K$5="L",IF(G56=0,"",F56/G56),IF(Dashboard!$K$5="R",IF(F56=0,"",G56/F56),IF(MAX(F56,G56)=0,"",MIN(F56,G56)/MAX(F56,G56))))),"")</f>
        <v/>
      </c>
      <c r="I56" s="67"/>
      <c r="J56" s="67"/>
      <c r="K56" s="79" t="str">
        <f aca="false">IFERROR(IF(OR(I56="",J56=""),"",IF(Dashboard!$K$5="L",IF(J56=0,"",I56/J56),IF(Dashboard!$K$5="R",IF(I56=0,"",J56/I56),IF(MAX(I56,J56)=0,"",MIN(I56,J56)/MAX(I56,J56))))),"")</f>
        <v/>
      </c>
      <c r="L56" s="67"/>
      <c r="M56" s="67"/>
      <c r="N56" s="79" t="str">
        <f aca="false">IFERROR(IF(OR(L56="",M56=""),"",IF(Dashboard!$K$5="L",IF(M56=0,"",L56/M56),IF(Dashboard!$K$5="R",IF(L56=0,"",M56/L56),IF(MAX(L56,M56)=0,"",MIN(L56,M56)/MAX(L56,M56))))),"")</f>
        <v/>
      </c>
      <c r="O56" s="67"/>
      <c r="P56" s="67"/>
      <c r="Q56" s="79" t="str">
        <f aca="false">IFERROR(IF(OR(O56="",P56=""),"",IF(Dashboard!$K$5="L",IF(P56=0,"",O56/P56),IF(Dashboard!$K$5="R",IF(O56=0,"",P56/O56),IF(MAX(O56,P56)=0,"",MIN(O56,P56)/MAX(O56,P56))))),"")</f>
        <v/>
      </c>
      <c r="R56" s="67"/>
      <c r="S56" s="67"/>
      <c r="T56" s="79" t="str">
        <f aca="false">IFERROR(IF(OR(R56="",S56=""),"",IF(Dashboard!$K$5="L",IF(S56=0,"",R56/S56),IF(Dashboard!$K$5="R",IF(R56=0,"",S56/R56),IF(MAX(R56,S56)=0,"",MIN(R56,S56)/MAX(R56,S56))))),"")</f>
        <v/>
      </c>
      <c r="U56" s="67"/>
      <c r="V56" s="67"/>
      <c r="W56" s="79" t="str">
        <f aca="false">IFERROR(IF(OR(U56="",V56=""),"",IF(Dashboard!$K$5="L",IF(V56=0,"",U56/V56),IF(Dashboard!$K$5="R",IF(U56=0,"",V56/U56),IF(MAX(U56,V56)=0,"",MIN(U56,V56)/MAX(U56,V56))))),"")</f>
        <v/>
      </c>
      <c r="X56" s="67"/>
      <c r="Y56" s="67"/>
      <c r="Z56" s="79" t="str">
        <f aca="false">IFERROR(IF(OR(X56="",Y56=""),"",IF(Dashboard!$K$5="L",IF(Y56=0,"",X56/Y56),IF(Dashboard!$K$5="R",IF(X56=0,"",Y56/X56),IF(MAX(X56,Y56)=0,"",MIN(X56,Y56)/MAX(X56,Y56))))),"")</f>
        <v/>
      </c>
      <c r="AA56" s="58"/>
    </row>
    <row r="57" customFormat="false" ht="15" hidden="false" customHeight="false" outlineLevel="0" collapsed="false">
      <c r="A57" s="56"/>
      <c r="B57" s="57" t="str">
        <f aca="false">IF(A57="","",IF(Dashboard!$L$5="","",INT((A57-Dashboard!$L$5)/7)+1))</f>
        <v/>
      </c>
      <c r="C57" s="67"/>
      <c r="D57" s="67"/>
      <c r="E57" s="79" t="str">
        <f aca="false">IFERROR(IF(OR(C57="",D57=""),"",IF(Dashboard!$K$5="L",IF(D57=0,"",C57/D57),IF(Dashboard!$K$5="R",IF(C57=0,"",D57/C57),IF(MAX(C57,D57)=0,"",MIN(C57,D57)/MAX(C57,D57))))),"")</f>
        <v/>
      </c>
      <c r="F57" s="67"/>
      <c r="G57" s="67"/>
      <c r="H57" s="79" t="str">
        <f aca="false">IFERROR(IF(OR(F57="",G57=""),"",IF(Dashboard!$K$5="L",IF(G57=0,"",F57/G57),IF(Dashboard!$K$5="R",IF(F57=0,"",G57/F57),IF(MAX(F57,G57)=0,"",MIN(F57,G57)/MAX(F57,G57))))),"")</f>
        <v/>
      </c>
      <c r="I57" s="67"/>
      <c r="J57" s="67"/>
      <c r="K57" s="79" t="str">
        <f aca="false">IFERROR(IF(OR(I57="",J57=""),"",IF(Dashboard!$K$5="L",IF(J57=0,"",I57/J57),IF(Dashboard!$K$5="R",IF(I57=0,"",J57/I57),IF(MAX(I57,J57)=0,"",MIN(I57,J57)/MAX(I57,J57))))),"")</f>
        <v/>
      </c>
      <c r="L57" s="67"/>
      <c r="M57" s="67"/>
      <c r="N57" s="79" t="str">
        <f aca="false">IFERROR(IF(OR(L57="",M57=""),"",IF(Dashboard!$K$5="L",IF(M57=0,"",L57/M57),IF(Dashboard!$K$5="R",IF(L57=0,"",M57/L57),IF(MAX(L57,M57)=0,"",MIN(L57,M57)/MAX(L57,M57))))),"")</f>
        <v/>
      </c>
      <c r="O57" s="67"/>
      <c r="P57" s="67"/>
      <c r="Q57" s="79" t="str">
        <f aca="false">IFERROR(IF(OR(O57="",P57=""),"",IF(Dashboard!$K$5="L",IF(P57=0,"",O57/P57),IF(Dashboard!$K$5="R",IF(O57=0,"",P57/O57),IF(MAX(O57,P57)=0,"",MIN(O57,P57)/MAX(O57,P57))))),"")</f>
        <v/>
      </c>
      <c r="R57" s="67"/>
      <c r="S57" s="67"/>
      <c r="T57" s="79" t="str">
        <f aca="false">IFERROR(IF(OR(R57="",S57=""),"",IF(Dashboard!$K$5="L",IF(S57=0,"",R57/S57),IF(Dashboard!$K$5="R",IF(R57=0,"",S57/R57),IF(MAX(R57,S57)=0,"",MIN(R57,S57)/MAX(R57,S57))))),"")</f>
        <v/>
      </c>
      <c r="U57" s="67"/>
      <c r="V57" s="67"/>
      <c r="W57" s="79" t="str">
        <f aca="false">IFERROR(IF(OR(U57="",V57=""),"",IF(Dashboard!$K$5="L",IF(V57=0,"",U57/V57),IF(Dashboard!$K$5="R",IF(U57=0,"",V57/U57),IF(MAX(U57,V57)=0,"",MIN(U57,V57)/MAX(U57,V57))))),"")</f>
        <v/>
      </c>
      <c r="X57" s="67"/>
      <c r="Y57" s="67"/>
      <c r="Z57" s="79" t="str">
        <f aca="false">IFERROR(IF(OR(X57="",Y57=""),"",IF(Dashboard!$K$5="L",IF(Y57=0,"",X57/Y57),IF(Dashboard!$K$5="R",IF(X57=0,"",Y57/X57),IF(MAX(X57,Y57)=0,"",MIN(X57,Y57)/MAX(X57,Y57))))),"")</f>
        <v/>
      </c>
      <c r="AA57" s="58"/>
    </row>
    <row r="58" customFormat="false" ht="15" hidden="false" customHeight="false" outlineLevel="0" collapsed="false">
      <c r="A58" s="56"/>
      <c r="B58" s="57" t="str">
        <f aca="false">IF(A58="","",IF(Dashboard!$L$5="","",INT((A58-Dashboard!$L$5)/7)+1))</f>
        <v/>
      </c>
      <c r="C58" s="67"/>
      <c r="D58" s="67"/>
      <c r="E58" s="79" t="str">
        <f aca="false">IFERROR(IF(OR(C58="",D58=""),"",IF(Dashboard!$K$5="L",IF(D58=0,"",C58/D58),IF(Dashboard!$K$5="R",IF(C58=0,"",D58/C58),IF(MAX(C58,D58)=0,"",MIN(C58,D58)/MAX(C58,D58))))),"")</f>
        <v/>
      </c>
      <c r="F58" s="67"/>
      <c r="G58" s="67"/>
      <c r="H58" s="79" t="str">
        <f aca="false">IFERROR(IF(OR(F58="",G58=""),"",IF(Dashboard!$K$5="L",IF(G58=0,"",F58/G58),IF(Dashboard!$K$5="R",IF(F58=0,"",G58/F58),IF(MAX(F58,G58)=0,"",MIN(F58,G58)/MAX(F58,G58))))),"")</f>
        <v/>
      </c>
      <c r="I58" s="67"/>
      <c r="J58" s="67"/>
      <c r="K58" s="79" t="str">
        <f aca="false">IFERROR(IF(OR(I58="",J58=""),"",IF(Dashboard!$K$5="L",IF(J58=0,"",I58/J58),IF(Dashboard!$K$5="R",IF(I58=0,"",J58/I58),IF(MAX(I58,J58)=0,"",MIN(I58,J58)/MAX(I58,J58))))),"")</f>
        <v/>
      </c>
      <c r="L58" s="67"/>
      <c r="M58" s="67"/>
      <c r="N58" s="79" t="str">
        <f aca="false">IFERROR(IF(OR(L58="",M58=""),"",IF(Dashboard!$K$5="L",IF(M58=0,"",L58/M58),IF(Dashboard!$K$5="R",IF(L58=0,"",M58/L58),IF(MAX(L58,M58)=0,"",MIN(L58,M58)/MAX(L58,M58))))),"")</f>
        <v/>
      </c>
      <c r="O58" s="67"/>
      <c r="P58" s="67"/>
      <c r="Q58" s="79" t="str">
        <f aca="false">IFERROR(IF(OR(O58="",P58=""),"",IF(Dashboard!$K$5="L",IF(P58=0,"",O58/P58),IF(Dashboard!$K$5="R",IF(O58=0,"",P58/O58),IF(MAX(O58,P58)=0,"",MIN(O58,P58)/MAX(O58,P58))))),"")</f>
        <v/>
      </c>
      <c r="R58" s="67"/>
      <c r="S58" s="67"/>
      <c r="T58" s="79" t="str">
        <f aca="false">IFERROR(IF(OR(R58="",S58=""),"",IF(Dashboard!$K$5="L",IF(S58=0,"",R58/S58),IF(Dashboard!$K$5="R",IF(R58=0,"",S58/R58),IF(MAX(R58,S58)=0,"",MIN(R58,S58)/MAX(R58,S58))))),"")</f>
        <v/>
      </c>
      <c r="U58" s="67"/>
      <c r="V58" s="67"/>
      <c r="W58" s="79" t="str">
        <f aca="false">IFERROR(IF(OR(U58="",V58=""),"",IF(Dashboard!$K$5="L",IF(V58=0,"",U58/V58),IF(Dashboard!$K$5="R",IF(U58=0,"",V58/U58),IF(MAX(U58,V58)=0,"",MIN(U58,V58)/MAX(U58,V58))))),"")</f>
        <v/>
      </c>
      <c r="X58" s="67"/>
      <c r="Y58" s="67"/>
      <c r="Z58" s="79" t="str">
        <f aca="false">IFERROR(IF(OR(X58="",Y58=""),"",IF(Dashboard!$K$5="L",IF(Y58=0,"",X58/Y58),IF(Dashboard!$K$5="R",IF(X58=0,"",Y58/X58),IF(MAX(X58,Y58)=0,"",MIN(X58,Y58)/MAX(X58,Y58))))),"")</f>
        <v/>
      </c>
      <c r="AA58" s="58"/>
    </row>
    <row r="59" customFormat="false" ht="15" hidden="false" customHeight="false" outlineLevel="0" collapsed="false">
      <c r="A59" s="56"/>
      <c r="B59" s="57" t="str">
        <f aca="false">IF(A59="","",IF(Dashboard!$L$5="","",INT((A59-Dashboard!$L$5)/7)+1))</f>
        <v/>
      </c>
      <c r="C59" s="67"/>
      <c r="D59" s="67"/>
      <c r="E59" s="79" t="str">
        <f aca="false">IFERROR(IF(OR(C59="",D59=""),"",IF(Dashboard!$K$5="L",IF(D59=0,"",C59/D59),IF(Dashboard!$K$5="R",IF(C59=0,"",D59/C59),IF(MAX(C59,D59)=0,"",MIN(C59,D59)/MAX(C59,D59))))),"")</f>
        <v/>
      </c>
      <c r="F59" s="67"/>
      <c r="G59" s="67"/>
      <c r="H59" s="79" t="str">
        <f aca="false">IFERROR(IF(OR(F59="",G59=""),"",IF(Dashboard!$K$5="L",IF(G59=0,"",F59/G59),IF(Dashboard!$K$5="R",IF(F59=0,"",G59/F59),IF(MAX(F59,G59)=0,"",MIN(F59,G59)/MAX(F59,G59))))),"")</f>
        <v/>
      </c>
      <c r="I59" s="67"/>
      <c r="J59" s="67"/>
      <c r="K59" s="79" t="str">
        <f aca="false">IFERROR(IF(OR(I59="",J59=""),"",IF(Dashboard!$K$5="L",IF(J59=0,"",I59/J59),IF(Dashboard!$K$5="R",IF(I59=0,"",J59/I59),IF(MAX(I59,J59)=0,"",MIN(I59,J59)/MAX(I59,J59))))),"")</f>
        <v/>
      </c>
      <c r="L59" s="67"/>
      <c r="M59" s="67"/>
      <c r="N59" s="79" t="str">
        <f aca="false">IFERROR(IF(OR(L59="",M59=""),"",IF(Dashboard!$K$5="L",IF(M59=0,"",L59/M59),IF(Dashboard!$K$5="R",IF(L59=0,"",M59/L59),IF(MAX(L59,M59)=0,"",MIN(L59,M59)/MAX(L59,M59))))),"")</f>
        <v/>
      </c>
      <c r="O59" s="67"/>
      <c r="P59" s="67"/>
      <c r="Q59" s="79" t="str">
        <f aca="false">IFERROR(IF(OR(O59="",P59=""),"",IF(Dashboard!$K$5="L",IF(P59=0,"",O59/P59),IF(Dashboard!$K$5="R",IF(O59=0,"",P59/O59),IF(MAX(O59,P59)=0,"",MIN(O59,P59)/MAX(O59,P59))))),"")</f>
        <v/>
      </c>
      <c r="R59" s="67"/>
      <c r="S59" s="67"/>
      <c r="T59" s="79" t="str">
        <f aca="false">IFERROR(IF(OR(R59="",S59=""),"",IF(Dashboard!$K$5="L",IF(S59=0,"",R59/S59),IF(Dashboard!$K$5="R",IF(R59=0,"",S59/R59),IF(MAX(R59,S59)=0,"",MIN(R59,S59)/MAX(R59,S59))))),"")</f>
        <v/>
      </c>
      <c r="U59" s="67"/>
      <c r="V59" s="67"/>
      <c r="W59" s="79" t="str">
        <f aca="false">IFERROR(IF(OR(U59="",V59=""),"",IF(Dashboard!$K$5="L",IF(V59=0,"",U59/V59),IF(Dashboard!$K$5="R",IF(U59=0,"",V59/U59),IF(MAX(U59,V59)=0,"",MIN(U59,V59)/MAX(U59,V59))))),"")</f>
        <v/>
      </c>
      <c r="X59" s="67"/>
      <c r="Y59" s="67"/>
      <c r="Z59" s="79" t="str">
        <f aca="false">IFERROR(IF(OR(X59="",Y59=""),"",IF(Dashboard!$K$5="L",IF(Y59=0,"",X59/Y59),IF(Dashboard!$K$5="R",IF(X59=0,"",Y59/X59),IF(MAX(X59,Y59)=0,"",MIN(X59,Y59)/MAX(X59,Y59))))),"")</f>
        <v/>
      </c>
      <c r="AA59" s="58"/>
    </row>
    <row r="60" customFormat="false" ht="15" hidden="false" customHeight="false" outlineLevel="0" collapsed="false">
      <c r="A60" s="56"/>
      <c r="B60" s="57" t="str">
        <f aca="false">IF(A60="","",IF(Dashboard!$L$5="","",INT((A60-Dashboard!$L$5)/7)+1))</f>
        <v/>
      </c>
      <c r="C60" s="67"/>
      <c r="D60" s="67"/>
      <c r="E60" s="79" t="str">
        <f aca="false">IFERROR(IF(OR(C60="",D60=""),"",IF(Dashboard!$K$5="L",IF(D60=0,"",C60/D60),IF(Dashboard!$K$5="R",IF(C60=0,"",D60/C60),IF(MAX(C60,D60)=0,"",MIN(C60,D60)/MAX(C60,D60))))),"")</f>
        <v/>
      </c>
      <c r="F60" s="67"/>
      <c r="G60" s="67"/>
      <c r="H60" s="79" t="str">
        <f aca="false">IFERROR(IF(OR(F60="",G60=""),"",IF(Dashboard!$K$5="L",IF(G60=0,"",F60/G60),IF(Dashboard!$K$5="R",IF(F60=0,"",G60/F60),IF(MAX(F60,G60)=0,"",MIN(F60,G60)/MAX(F60,G60))))),"")</f>
        <v/>
      </c>
      <c r="I60" s="67"/>
      <c r="J60" s="67"/>
      <c r="K60" s="79" t="str">
        <f aca="false">IFERROR(IF(OR(I60="",J60=""),"",IF(Dashboard!$K$5="L",IF(J60=0,"",I60/J60),IF(Dashboard!$K$5="R",IF(I60=0,"",J60/I60),IF(MAX(I60,J60)=0,"",MIN(I60,J60)/MAX(I60,J60))))),"")</f>
        <v/>
      </c>
      <c r="L60" s="67"/>
      <c r="M60" s="67"/>
      <c r="N60" s="79" t="str">
        <f aca="false">IFERROR(IF(OR(L60="",M60=""),"",IF(Dashboard!$K$5="L",IF(M60=0,"",L60/M60),IF(Dashboard!$K$5="R",IF(L60=0,"",M60/L60),IF(MAX(L60,M60)=0,"",MIN(L60,M60)/MAX(L60,M60))))),"")</f>
        <v/>
      </c>
      <c r="O60" s="67"/>
      <c r="P60" s="67"/>
      <c r="Q60" s="79" t="str">
        <f aca="false">IFERROR(IF(OR(O60="",P60=""),"",IF(Dashboard!$K$5="L",IF(P60=0,"",O60/P60),IF(Dashboard!$K$5="R",IF(O60=0,"",P60/O60),IF(MAX(O60,P60)=0,"",MIN(O60,P60)/MAX(O60,P60))))),"")</f>
        <v/>
      </c>
      <c r="R60" s="67"/>
      <c r="S60" s="67"/>
      <c r="T60" s="79" t="str">
        <f aca="false">IFERROR(IF(OR(R60="",S60=""),"",IF(Dashboard!$K$5="L",IF(S60=0,"",R60/S60),IF(Dashboard!$K$5="R",IF(R60=0,"",S60/R60),IF(MAX(R60,S60)=0,"",MIN(R60,S60)/MAX(R60,S60))))),"")</f>
        <v/>
      </c>
      <c r="U60" s="67"/>
      <c r="V60" s="67"/>
      <c r="W60" s="79" t="str">
        <f aca="false">IFERROR(IF(OR(U60="",V60=""),"",IF(Dashboard!$K$5="L",IF(V60=0,"",U60/V60),IF(Dashboard!$K$5="R",IF(U60=0,"",V60/U60),IF(MAX(U60,V60)=0,"",MIN(U60,V60)/MAX(U60,V60))))),"")</f>
        <v/>
      </c>
      <c r="X60" s="67"/>
      <c r="Y60" s="67"/>
      <c r="Z60" s="79" t="str">
        <f aca="false">IFERROR(IF(OR(X60="",Y60=""),"",IF(Dashboard!$K$5="L",IF(Y60=0,"",X60/Y60),IF(Dashboard!$K$5="R",IF(X60=0,"",Y60/X60),IF(MAX(X60,Y60)=0,"",MIN(X60,Y60)/MAX(X60,Y60))))),"")</f>
        <v/>
      </c>
      <c r="AA60" s="58"/>
    </row>
    <row r="61" customFormat="false" ht="15" hidden="false" customHeight="false" outlineLevel="0" collapsed="false">
      <c r="A61" s="56"/>
      <c r="B61" s="57" t="str">
        <f aca="false">IF(A61="","",IF(Dashboard!$L$5="","",INT((A61-Dashboard!$L$5)/7)+1))</f>
        <v/>
      </c>
      <c r="C61" s="67"/>
      <c r="D61" s="67"/>
      <c r="E61" s="79" t="str">
        <f aca="false">IFERROR(IF(OR(C61="",D61=""),"",IF(Dashboard!$K$5="L",IF(D61=0,"",C61/D61),IF(Dashboard!$K$5="R",IF(C61=0,"",D61/C61),IF(MAX(C61,D61)=0,"",MIN(C61,D61)/MAX(C61,D61))))),"")</f>
        <v/>
      </c>
      <c r="F61" s="67"/>
      <c r="G61" s="67"/>
      <c r="H61" s="79" t="str">
        <f aca="false">IFERROR(IF(OR(F61="",G61=""),"",IF(Dashboard!$K$5="L",IF(G61=0,"",F61/G61),IF(Dashboard!$K$5="R",IF(F61=0,"",G61/F61),IF(MAX(F61,G61)=0,"",MIN(F61,G61)/MAX(F61,G61))))),"")</f>
        <v/>
      </c>
      <c r="I61" s="67"/>
      <c r="J61" s="67"/>
      <c r="K61" s="79" t="str">
        <f aca="false">IFERROR(IF(OR(I61="",J61=""),"",IF(Dashboard!$K$5="L",IF(J61=0,"",I61/J61),IF(Dashboard!$K$5="R",IF(I61=0,"",J61/I61),IF(MAX(I61,J61)=0,"",MIN(I61,J61)/MAX(I61,J61))))),"")</f>
        <v/>
      </c>
      <c r="L61" s="67"/>
      <c r="M61" s="67"/>
      <c r="N61" s="79" t="str">
        <f aca="false">IFERROR(IF(OR(L61="",M61=""),"",IF(Dashboard!$K$5="L",IF(M61=0,"",L61/M61),IF(Dashboard!$K$5="R",IF(L61=0,"",M61/L61),IF(MAX(L61,M61)=0,"",MIN(L61,M61)/MAX(L61,M61))))),"")</f>
        <v/>
      </c>
      <c r="O61" s="67"/>
      <c r="P61" s="67"/>
      <c r="Q61" s="79" t="str">
        <f aca="false">IFERROR(IF(OR(O61="",P61=""),"",IF(Dashboard!$K$5="L",IF(P61=0,"",O61/P61),IF(Dashboard!$K$5="R",IF(O61=0,"",P61/O61),IF(MAX(O61,P61)=0,"",MIN(O61,P61)/MAX(O61,P61))))),"")</f>
        <v/>
      </c>
      <c r="R61" s="67"/>
      <c r="S61" s="67"/>
      <c r="T61" s="79" t="str">
        <f aca="false">IFERROR(IF(OR(R61="",S61=""),"",IF(Dashboard!$K$5="L",IF(S61=0,"",R61/S61),IF(Dashboard!$K$5="R",IF(R61=0,"",S61/R61),IF(MAX(R61,S61)=0,"",MIN(R61,S61)/MAX(R61,S61))))),"")</f>
        <v/>
      </c>
      <c r="U61" s="67"/>
      <c r="V61" s="67"/>
      <c r="W61" s="79" t="str">
        <f aca="false">IFERROR(IF(OR(U61="",V61=""),"",IF(Dashboard!$K$5="L",IF(V61=0,"",U61/V61),IF(Dashboard!$K$5="R",IF(U61=0,"",V61/U61),IF(MAX(U61,V61)=0,"",MIN(U61,V61)/MAX(U61,V61))))),"")</f>
        <v/>
      </c>
      <c r="X61" s="67"/>
      <c r="Y61" s="67"/>
      <c r="Z61" s="79" t="str">
        <f aca="false">IFERROR(IF(OR(X61="",Y61=""),"",IF(Dashboard!$K$5="L",IF(Y61=0,"",X61/Y61),IF(Dashboard!$K$5="R",IF(X61=0,"",Y61/X61),IF(MAX(X61,Y61)=0,"",MIN(X61,Y61)/MAX(X61,Y61))))),"")</f>
        <v/>
      </c>
      <c r="AA61" s="58"/>
    </row>
    <row r="62" customFormat="false" ht="15" hidden="false" customHeight="false" outlineLevel="0" collapsed="false">
      <c r="A62" s="56"/>
      <c r="B62" s="57" t="str">
        <f aca="false">IF(A62="","",IF(Dashboard!$L$5="","",INT((A62-Dashboard!$L$5)/7)+1))</f>
        <v/>
      </c>
      <c r="C62" s="67"/>
      <c r="D62" s="67"/>
      <c r="E62" s="79" t="str">
        <f aca="false">IFERROR(IF(OR(C62="",D62=""),"",IF(Dashboard!$K$5="L",IF(D62=0,"",C62/D62),IF(Dashboard!$K$5="R",IF(C62=0,"",D62/C62),IF(MAX(C62,D62)=0,"",MIN(C62,D62)/MAX(C62,D62))))),"")</f>
        <v/>
      </c>
      <c r="F62" s="67"/>
      <c r="G62" s="67"/>
      <c r="H62" s="79" t="str">
        <f aca="false">IFERROR(IF(OR(F62="",G62=""),"",IF(Dashboard!$K$5="L",IF(G62=0,"",F62/G62),IF(Dashboard!$K$5="R",IF(F62=0,"",G62/F62),IF(MAX(F62,G62)=0,"",MIN(F62,G62)/MAX(F62,G62))))),"")</f>
        <v/>
      </c>
      <c r="I62" s="67"/>
      <c r="J62" s="67"/>
      <c r="K62" s="79" t="str">
        <f aca="false">IFERROR(IF(OR(I62="",J62=""),"",IF(Dashboard!$K$5="L",IF(J62=0,"",I62/J62),IF(Dashboard!$K$5="R",IF(I62=0,"",J62/I62),IF(MAX(I62,J62)=0,"",MIN(I62,J62)/MAX(I62,J62))))),"")</f>
        <v/>
      </c>
      <c r="L62" s="67"/>
      <c r="M62" s="67"/>
      <c r="N62" s="79" t="str">
        <f aca="false">IFERROR(IF(OR(L62="",M62=""),"",IF(Dashboard!$K$5="L",IF(M62=0,"",L62/M62),IF(Dashboard!$K$5="R",IF(L62=0,"",M62/L62),IF(MAX(L62,M62)=0,"",MIN(L62,M62)/MAX(L62,M62))))),"")</f>
        <v/>
      </c>
      <c r="O62" s="67"/>
      <c r="P62" s="67"/>
      <c r="Q62" s="79" t="str">
        <f aca="false">IFERROR(IF(OR(O62="",P62=""),"",IF(Dashboard!$K$5="L",IF(P62=0,"",O62/P62),IF(Dashboard!$K$5="R",IF(O62=0,"",P62/O62),IF(MAX(O62,P62)=0,"",MIN(O62,P62)/MAX(O62,P62))))),"")</f>
        <v/>
      </c>
      <c r="R62" s="67"/>
      <c r="S62" s="67"/>
      <c r="T62" s="79" t="str">
        <f aca="false">IFERROR(IF(OR(R62="",S62=""),"",IF(Dashboard!$K$5="L",IF(S62=0,"",R62/S62),IF(Dashboard!$K$5="R",IF(R62=0,"",S62/R62),IF(MAX(R62,S62)=0,"",MIN(R62,S62)/MAX(R62,S62))))),"")</f>
        <v/>
      </c>
      <c r="U62" s="67"/>
      <c r="V62" s="67"/>
      <c r="W62" s="79" t="str">
        <f aca="false">IFERROR(IF(OR(U62="",V62=""),"",IF(Dashboard!$K$5="L",IF(V62=0,"",U62/V62),IF(Dashboard!$K$5="R",IF(U62=0,"",V62/U62),IF(MAX(U62,V62)=0,"",MIN(U62,V62)/MAX(U62,V62))))),"")</f>
        <v/>
      </c>
      <c r="X62" s="67"/>
      <c r="Y62" s="67"/>
      <c r="Z62" s="79" t="str">
        <f aca="false">IFERROR(IF(OR(X62="",Y62=""),"",IF(Dashboard!$K$5="L",IF(Y62=0,"",X62/Y62),IF(Dashboard!$K$5="R",IF(X62=0,"",Y62/X62),IF(MAX(X62,Y62)=0,"",MIN(X62,Y62)/MAX(X62,Y62))))),"")</f>
        <v/>
      </c>
      <c r="AA62" s="58"/>
    </row>
    <row r="63" customFormat="false" ht="15" hidden="false" customHeight="false" outlineLevel="0" collapsed="false">
      <c r="A63" s="56"/>
      <c r="B63" s="57" t="str">
        <f aca="false">IF(A63="","",IF(Dashboard!$L$5="","",INT((A63-Dashboard!$L$5)/7)+1))</f>
        <v/>
      </c>
      <c r="C63" s="67"/>
      <c r="D63" s="67"/>
      <c r="E63" s="79" t="str">
        <f aca="false">IFERROR(IF(OR(C63="",D63=""),"",IF(Dashboard!$K$5="L",IF(D63=0,"",C63/D63),IF(Dashboard!$K$5="R",IF(C63=0,"",D63/C63),IF(MAX(C63,D63)=0,"",MIN(C63,D63)/MAX(C63,D63))))),"")</f>
        <v/>
      </c>
      <c r="F63" s="67"/>
      <c r="G63" s="67"/>
      <c r="H63" s="79" t="str">
        <f aca="false">IFERROR(IF(OR(F63="",G63=""),"",IF(Dashboard!$K$5="L",IF(G63=0,"",F63/G63),IF(Dashboard!$K$5="R",IF(F63=0,"",G63/F63),IF(MAX(F63,G63)=0,"",MIN(F63,G63)/MAX(F63,G63))))),"")</f>
        <v/>
      </c>
      <c r="I63" s="67"/>
      <c r="J63" s="67"/>
      <c r="K63" s="79" t="str">
        <f aca="false">IFERROR(IF(OR(I63="",J63=""),"",IF(Dashboard!$K$5="L",IF(J63=0,"",I63/J63),IF(Dashboard!$K$5="R",IF(I63=0,"",J63/I63),IF(MAX(I63,J63)=0,"",MIN(I63,J63)/MAX(I63,J63))))),"")</f>
        <v/>
      </c>
      <c r="L63" s="67"/>
      <c r="M63" s="67"/>
      <c r="N63" s="79" t="str">
        <f aca="false">IFERROR(IF(OR(L63="",M63=""),"",IF(Dashboard!$K$5="L",IF(M63=0,"",L63/M63),IF(Dashboard!$K$5="R",IF(L63=0,"",M63/L63),IF(MAX(L63,M63)=0,"",MIN(L63,M63)/MAX(L63,M63))))),"")</f>
        <v/>
      </c>
      <c r="O63" s="67"/>
      <c r="P63" s="67"/>
      <c r="Q63" s="79" t="str">
        <f aca="false">IFERROR(IF(OR(O63="",P63=""),"",IF(Dashboard!$K$5="L",IF(P63=0,"",O63/P63),IF(Dashboard!$K$5="R",IF(O63=0,"",P63/O63),IF(MAX(O63,P63)=0,"",MIN(O63,P63)/MAX(O63,P63))))),"")</f>
        <v/>
      </c>
      <c r="R63" s="67"/>
      <c r="S63" s="67"/>
      <c r="T63" s="79" t="str">
        <f aca="false">IFERROR(IF(OR(R63="",S63=""),"",IF(Dashboard!$K$5="L",IF(S63=0,"",R63/S63),IF(Dashboard!$K$5="R",IF(R63=0,"",S63/R63),IF(MAX(R63,S63)=0,"",MIN(R63,S63)/MAX(R63,S63))))),"")</f>
        <v/>
      </c>
      <c r="U63" s="67"/>
      <c r="V63" s="67"/>
      <c r="W63" s="79" t="str">
        <f aca="false">IFERROR(IF(OR(U63="",V63=""),"",IF(Dashboard!$K$5="L",IF(V63=0,"",U63/V63),IF(Dashboard!$K$5="R",IF(U63=0,"",V63/U63),IF(MAX(U63,V63)=0,"",MIN(U63,V63)/MAX(U63,V63))))),"")</f>
        <v/>
      </c>
      <c r="X63" s="67"/>
      <c r="Y63" s="67"/>
      <c r="Z63" s="79" t="str">
        <f aca="false">IFERROR(IF(OR(X63="",Y63=""),"",IF(Dashboard!$K$5="L",IF(Y63=0,"",X63/Y63),IF(Dashboard!$K$5="R",IF(X63=0,"",Y63/X63),IF(MAX(X63,Y63)=0,"",MIN(X63,Y63)/MAX(X63,Y63))))),"")</f>
        <v/>
      </c>
      <c r="AA63" s="58"/>
    </row>
    <row r="64" customFormat="false" ht="15" hidden="false" customHeight="false" outlineLevel="0" collapsed="false">
      <c r="A64" s="56"/>
      <c r="B64" s="57" t="str">
        <f aca="false">IF(A64="","",IF(Dashboard!$L$5="","",INT((A64-Dashboard!$L$5)/7)+1))</f>
        <v/>
      </c>
      <c r="C64" s="67"/>
      <c r="D64" s="67"/>
      <c r="E64" s="79" t="str">
        <f aca="false">IFERROR(IF(OR(C64="",D64=""),"",IF(Dashboard!$K$5="L",IF(D64=0,"",C64/D64),IF(Dashboard!$K$5="R",IF(C64=0,"",D64/C64),IF(MAX(C64,D64)=0,"",MIN(C64,D64)/MAX(C64,D64))))),"")</f>
        <v/>
      </c>
      <c r="F64" s="67"/>
      <c r="G64" s="67"/>
      <c r="H64" s="79" t="str">
        <f aca="false">IFERROR(IF(OR(F64="",G64=""),"",IF(Dashboard!$K$5="L",IF(G64=0,"",F64/G64),IF(Dashboard!$K$5="R",IF(F64=0,"",G64/F64),IF(MAX(F64,G64)=0,"",MIN(F64,G64)/MAX(F64,G64))))),"")</f>
        <v/>
      </c>
      <c r="I64" s="67"/>
      <c r="J64" s="67"/>
      <c r="K64" s="79" t="str">
        <f aca="false">IFERROR(IF(OR(I64="",J64=""),"",IF(Dashboard!$K$5="L",IF(J64=0,"",I64/J64),IF(Dashboard!$K$5="R",IF(I64=0,"",J64/I64),IF(MAX(I64,J64)=0,"",MIN(I64,J64)/MAX(I64,J64))))),"")</f>
        <v/>
      </c>
      <c r="L64" s="67"/>
      <c r="M64" s="67"/>
      <c r="N64" s="79" t="str">
        <f aca="false">IFERROR(IF(OR(L64="",M64=""),"",IF(Dashboard!$K$5="L",IF(M64=0,"",L64/M64),IF(Dashboard!$K$5="R",IF(L64=0,"",M64/L64),IF(MAX(L64,M64)=0,"",MIN(L64,M64)/MAX(L64,M64))))),"")</f>
        <v/>
      </c>
      <c r="O64" s="67"/>
      <c r="P64" s="67"/>
      <c r="Q64" s="79" t="str">
        <f aca="false">IFERROR(IF(OR(O64="",P64=""),"",IF(Dashboard!$K$5="L",IF(P64=0,"",O64/P64),IF(Dashboard!$K$5="R",IF(O64=0,"",P64/O64),IF(MAX(O64,P64)=0,"",MIN(O64,P64)/MAX(O64,P64))))),"")</f>
        <v/>
      </c>
      <c r="R64" s="67"/>
      <c r="S64" s="67"/>
      <c r="T64" s="79" t="str">
        <f aca="false">IFERROR(IF(OR(R64="",S64=""),"",IF(Dashboard!$K$5="L",IF(S64=0,"",R64/S64),IF(Dashboard!$K$5="R",IF(R64=0,"",S64/R64),IF(MAX(R64,S64)=0,"",MIN(R64,S64)/MAX(R64,S64))))),"")</f>
        <v/>
      </c>
      <c r="U64" s="67"/>
      <c r="V64" s="67"/>
      <c r="W64" s="79" t="str">
        <f aca="false">IFERROR(IF(OR(U64="",V64=""),"",IF(Dashboard!$K$5="L",IF(V64=0,"",U64/V64),IF(Dashboard!$K$5="R",IF(U64=0,"",V64/U64),IF(MAX(U64,V64)=0,"",MIN(U64,V64)/MAX(U64,V64))))),"")</f>
        <v/>
      </c>
      <c r="X64" s="67"/>
      <c r="Y64" s="67"/>
      <c r="Z64" s="79" t="str">
        <f aca="false">IFERROR(IF(OR(X64="",Y64=""),"",IF(Dashboard!$K$5="L",IF(Y64=0,"",X64/Y64),IF(Dashboard!$K$5="R",IF(X64=0,"",Y64/X64),IF(MAX(X64,Y64)=0,"",MIN(X64,Y64)/MAX(X64,Y64))))),"")</f>
        <v/>
      </c>
      <c r="AA64" s="58"/>
    </row>
    <row r="65" customFormat="false" ht="15" hidden="false" customHeight="false" outlineLevel="0" collapsed="false">
      <c r="A65" s="56"/>
      <c r="B65" s="57" t="str">
        <f aca="false">IF(A65="","",IF(Dashboard!$L$5="","",INT((A65-Dashboard!$L$5)/7)+1))</f>
        <v/>
      </c>
      <c r="C65" s="67"/>
      <c r="D65" s="67"/>
      <c r="E65" s="79" t="str">
        <f aca="false">IFERROR(IF(OR(C65="",D65=""),"",IF(Dashboard!$K$5="L",IF(D65=0,"",C65/D65),IF(Dashboard!$K$5="R",IF(C65=0,"",D65/C65),IF(MAX(C65,D65)=0,"",MIN(C65,D65)/MAX(C65,D65))))),"")</f>
        <v/>
      </c>
      <c r="F65" s="67"/>
      <c r="G65" s="67"/>
      <c r="H65" s="79" t="str">
        <f aca="false">IFERROR(IF(OR(F65="",G65=""),"",IF(Dashboard!$K$5="L",IF(G65=0,"",F65/G65),IF(Dashboard!$K$5="R",IF(F65=0,"",G65/F65),IF(MAX(F65,G65)=0,"",MIN(F65,G65)/MAX(F65,G65))))),"")</f>
        <v/>
      </c>
      <c r="I65" s="67"/>
      <c r="J65" s="67"/>
      <c r="K65" s="79" t="str">
        <f aca="false">IFERROR(IF(OR(I65="",J65=""),"",IF(Dashboard!$K$5="L",IF(J65=0,"",I65/J65),IF(Dashboard!$K$5="R",IF(I65=0,"",J65/I65),IF(MAX(I65,J65)=0,"",MIN(I65,J65)/MAX(I65,J65))))),"")</f>
        <v/>
      </c>
      <c r="L65" s="67"/>
      <c r="M65" s="67"/>
      <c r="N65" s="79" t="str">
        <f aca="false">IFERROR(IF(OR(L65="",M65=""),"",IF(Dashboard!$K$5="L",IF(M65=0,"",L65/M65),IF(Dashboard!$K$5="R",IF(L65=0,"",M65/L65),IF(MAX(L65,M65)=0,"",MIN(L65,M65)/MAX(L65,M65))))),"")</f>
        <v/>
      </c>
      <c r="O65" s="67"/>
      <c r="P65" s="67"/>
      <c r="Q65" s="79" t="str">
        <f aca="false">IFERROR(IF(OR(O65="",P65=""),"",IF(Dashboard!$K$5="L",IF(P65=0,"",O65/P65),IF(Dashboard!$K$5="R",IF(O65=0,"",P65/O65),IF(MAX(O65,P65)=0,"",MIN(O65,P65)/MAX(O65,P65))))),"")</f>
        <v/>
      </c>
      <c r="R65" s="67"/>
      <c r="S65" s="67"/>
      <c r="T65" s="79" t="str">
        <f aca="false">IFERROR(IF(OR(R65="",S65=""),"",IF(Dashboard!$K$5="L",IF(S65=0,"",R65/S65),IF(Dashboard!$K$5="R",IF(R65=0,"",S65/R65),IF(MAX(R65,S65)=0,"",MIN(R65,S65)/MAX(R65,S65))))),"")</f>
        <v/>
      </c>
      <c r="U65" s="67"/>
      <c r="V65" s="67"/>
      <c r="W65" s="79" t="str">
        <f aca="false">IFERROR(IF(OR(U65="",V65=""),"",IF(Dashboard!$K$5="L",IF(V65=0,"",U65/V65),IF(Dashboard!$K$5="R",IF(U65=0,"",V65/U65),IF(MAX(U65,V65)=0,"",MIN(U65,V65)/MAX(U65,V65))))),"")</f>
        <v/>
      </c>
      <c r="X65" s="67"/>
      <c r="Y65" s="67"/>
      <c r="Z65" s="79" t="str">
        <f aca="false">IFERROR(IF(OR(X65="",Y65=""),"",IF(Dashboard!$K$5="L",IF(Y65=0,"",X65/Y65),IF(Dashboard!$K$5="R",IF(X65=0,"",Y65/X65),IF(MAX(X65,Y65)=0,"",MIN(X65,Y65)/MAX(X65,Y65))))),"")</f>
        <v/>
      </c>
      <c r="AA65" s="58"/>
    </row>
    <row r="66" customFormat="false" ht="18" hidden="false" customHeight="true" outlineLevel="0" collapsed="false">
      <c r="A66" s="77" t="s">
        <v>151</v>
      </c>
      <c r="B66" s="77"/>
      <c r="C66" s="77" t="n">
        <f aca="false">IF(COUNT(C54:C65)=0,"",INDEX(C54:C65,SUMPRODUCT(MAX(ISNUMBER(C54:C65)*(($A$54:$A$65)=SUMPRODUCT(MAX(ISNUMBER(C54:C65)*($A$54:$A$65))))*(ROW(C54:C65)-ROW(C$54)+1)))))</f>
        <v>395</v>
      </c>
      <c r="D66" s="77" t="n">
        <f aca="false">IF(COUNT(D54:D65)=0,"",INDEX(D54:D65,SUMPRODUCT(MAX(ISNUMBER(D54:D65)*(($A$54:$A$65)=SUMPRODUCT(MAX(ISNUMBER(D54:D65)*($A$54:$A$65))))*(ROW(D54:D65)-ROW(D$54)+1)))))</f>
        <v>490</v>
      </c>
      <c r="E66" s="80" t="n">
        <f aca="false">IF(COUNT(E54:E65)=0,"",INDEX(E54:E65,SUMPRODUCT(MAX(ISNUMBER(E54:E65)*(($A$54:$A$65)=SUMPRODUCT(MAX(ISNUMBER(E54:E65)*($A$54:$A$65))))*(ROW(E54:E65)-ROW(E$54)+1)))))</f>
        <v>0.806122448979592</v>
      </c>
      <c r="F66" s="77" t="n">
        <f aca="false">IF(COUNT(F54:F65)=0,"",INDEX(F54:F65,SUMPRODUCT(MAX(ISNUMBER(F54:F65)*(($A$54:$A$65)=SUMPRODUCT(MAX(ISNUMBER(F54:F65)*($A$54:$A$65))))*(ROW(F54:F65)-ROW(F$54)+1)))))</f>
        <v>281</v>
      </c>
      <c r="G66" s="77" t="n">
        <f aca="false">IF(COUNT(G54:G65)=0,"",INDEX(G54:G65,SUMPRODUCT(MAX(ISNUMBER(G54:G65)*(($A$54:$A$65)=SUMPRODUCT(MAX(ISNUMBER(G54:G65)*($A$54:$A$65))))*(ROW(G54:G65)-ROW(G$54)+1)))))</f>
        <v>305</v>
      </c>
      <c r="H66" s="80" t="n">
        <f aca="false">IF(COUNT(H54:H65)=0,"",INDEX(H54:H65,SUMPRODUCT(MAX(ISNUMBER(H54:H65)*(($A$54:$A$65)=SUMPRODUCT(MAX(ISNUMBER(H54:H65)*($A$54:$A$65))))*(ROW(H54:H65)-ROW(H$54)+1)))))</f>
        <v>0.921311475409836</v>
      </c>
      <c r="I66" s="77" t="n">
        <f aca="false">IF(COUNT(I54:I65)=0,"",INDEX(I54:I65,SUMPRODUCT(MAX(ISNUMBER(I54:I65)*(($A$54:$A$65)=SUMPRODUCT(MAX(ISNUMBER(I54:I65)*($A$54:$A$65))))*(ROW(I54:I65)-ROW(I$54)+1)))))</f>
        <v>1380</v>
      </c>
      <c r="J66" s="77" t="n">
        <f aca="false">IF(COUNT(J54:J65)=0,"",INDEX(J54:J65,SUMPRODUCT(MAX(ISNUMBER(J54:J65)*(($A$54:$A$65)=SUMPRODUCT(MAX(ISNUMBER(J54:J65)*($A$54:$A$65))))*(ROW(J54:J65)-ROW(J$54)+1)))))</f>
        <v>1520</v>
      </c>
      <c r="K66" s="80" t="n">
        <f aca="false">IF(COUNT(K54:K65)=0,"",INDEX(K54:K65,SUMPRODUCT(MAX(ISNUMBER(K54:K65)*(($A$54:$A$65)=SUMPRODUCT(MAX(ISNUMBER(K54:K65)*($A$54:$A$65))))*(ROW(K54:K65)-ROW(K$54)+1)))))</f>
        <v>0.907894736842105</v>
      </c>
      <c r="L66" s="77" t="n">
        <f aca="false">IF(COUNT(L54:L65)=0,"",INDEX(L54:L65,SUMPRODUCT(MAX(ISNUMBER(L54:L65)*(($A$54:$A$65)=SUMPRODUCT(MAX(ISNUMBER(L54:L65)*($A$54:$A$65))))*(ROW(L54:L65)-ROW(L$54)+1)))))</f>
        <v>272</v>
      </c>
      <c r="M66" s="77" t="n">
        <f aca="false">IF(COUNT(M54:M65)=0,"",INDEX(M54:M65,SUMPRODUCT(MAX(ISNUMBER(M54:M65)*(($A$54:$A$65)=SUMPRODUCT(MAX(ISNUMBER(M54:M65)*($A$54:$A$65))))*(ROW(M54:M65)-ROW(M$54)+1)))))</f>
        <v>285</v>
      </c>
      <c r="N66" s="80" t="n">
        <f aca="false">IF(COUNT(N54:N65)=0,"",INDEX(N54:N65,SUMPRODUCT(MAX(ISNUMBER(N54:N65)*(($A$54:$A$65)=SUMPRODUCT(MAX(ISNUMBER(N54:N65)*($A$54:$A$65))))*(ROW(N54:N65)-ROW(N$54)+1)))))</f>
        <v>0.954385964912281</v>
      </c>
      <c r="O66" s="77" t="str">
        <f aca="false">IF(COUNT(O54:O65)=0,"",INDEX(O54:O65,SUMPRODUCT(MAX(ISNUMBER(O54:O65)*(($A$54:$A$65)=SUMPRODUCT(MAX(ISNUMBER(O54:O65)*($A$54:$A$65))))*(ROW(O54:O65)-ROW(O$54)+1)))))</f>
        <v/>
      </c>
      <c r="P66" s="77" t="str">
        <f aca="false">IF(COUNT(P54:P65)=0,"",INDEX(P54:P65,SUMPRODUCT(MAX(ISNUMBER(P54:P65)*(($A$54:$A$65)=SUMPRODUCT(MAX(ISNUMBER(P54:P65)*($A$54:$A$65))))*(ROW(P54:P65)-ROW(P$54)+1)))))</f>
        <v/>
      </c>
      <c r="Q66" s="80" t="str">
        <f aca="false">IF(COUNT(Q54:Q65)=0,"",INDEX(Q54:Q65,SUMPRODUCT(MAX(ISNUMBER(Q54:Q65)*(($A$54:$A$65)=SUMPRODUCT(MAX(ISNUMBER(Q54:Q65)*($A$54:$A$65))))*(ROW(Q54:Q65)-ROW(Q$54)+1)))))</f>
        <v/>
      </c>
      <c r="R66" s="77" t="str">
        <f aca="false">IF(COUNT(R54:R65)=0,"",INDEX(R54:R65,SUMPRODUCT(MAX(ISNUMBER(R54:R65)*(($A$54:$A$65)=SUMPRODUCT(MAX(ISNUMBER(R54:R65)*($A$54:$A$65))))*(ROW(R54:R65)-ROW(R$54)+1)))))</f>
        <v/>
      </c>
      <c r="S66" s="77" t="str">
        <f aca="false">IF(COUNT(S54:S65)=0,"",INDEX(S54:S65,SUMPRODUCT(MAX(ISNUMBER(S54:S65)*(($A$54:$A$65)=SUMPRODUCT(MAX(ISNUMBER(S54:S65)*($A$54:$A$65))))*(ROW(S54:S65)-ROW(S$54)+1)))))</f>
        <v/>
      </c>
      <c r="T66" s="80" t="str">
        <f aca="false">IF(COUNT(T54:T65)=0,"",INDEX(T54:T65,SUMPRODUCT(MAX(ISNUMBER(T54:T65)*(($A$54:$A$65)=SUMPRODUCT(MAX(ISNUMBER(T54:T65)*($A$54:$A$65))))*(ROW(T54:T65)-ROW(T$54)+1)))))</f>
        <v/>
      </c>
      <c r="U66" s="77" t="str">
        <f aca="false">IF(COUNT(U54:U65)=0,"",INDEX(U54:U65,SUMPRODUCT(MAX(ISNUMBER(U54:U65)*(($A$54:$A$65)=SUMPRODUCT(MAX(ISNUMBER(U54:U65)*($A$54:$A$65))))*(ROW(U54:U65)-ROW(U$54)+1)))))</f>
        <v/>
      </c>
      <c r="V66" s="77" t="str">
        <f aca="false">IF(COUNT(V54:V65)=0,"",INDEX(V54:V65,SUMPRODUCT(MAX(ISNUMBER(V54:V65)*(($A$54:$A$65)=SUMPRODUCT(MAX(ISNUMBER(V54:V65)*($A$54:$A$65))))*(ROW(V54:V65)-ROW(V$54)+1)))))</f>
        <v/>
      </c>
      <c r="W66" s="80" t="str">
        <f aca="false">IF(COUNT(W54:W65)=0,"",INDEX(W54:W65,SUMPRODUCT(MAX(ISNUMBER(W54:W65)*(($A$54:$A$65)=SUMPRODUCT(MAX(ISNUMBER(W54:W65)*($A$54:$A$65))))*(ROW(W54:W65)-ROW(W$54)+1)))))</f>
        <v/>
      </c>
      <c r="X66" s="77" t="str">
        <f aca="false">IF(COUNT(X54:X65)=0,"",INDEX(X54:X65,SUMPRODUCT(MAX(ISNUMBER(X54:X65)*(($A$54:$A$65)=SUMPRODUCT(MAX(ISNUMBER(X54:X65)*($A$54:$A$65))))*(ROW(X54:X65)-ROW(X$54)+1)))))</f>
        <v/>
      </c>
      <c r="Y66" s="77" t="str">
        <f aca="false">IF(COUNT(Y54:Y65)=0,"",INDEX(Y54:Y65,SUMPRODUCT(MAX(ISNUMBER(Y54:Y65)*(($A$54:$A$65)=SUMPRODUCT(MAX(ISNUMBER(Y54:Y65)*($A$54:$A$65))))*(ROW(Y54:Y65)-ROW(Y$54)+1)))))</f>
        <v/>
      </c>
      <c r="Z66" s="80" t="str">
        <f aca="false">IF(COUNT(Z54:Z65)=0,"",INDEX(Z54:Z65,SUMPRODUCT(MAX(ISNUMBER(Z54:Z65)*(($A$54:$A$65)=SUMPRODUCT(MAX(ISNUMBER(Z54:Z65)*($A$54:$A$65))))*(ROW(Z54:Z65)-ROW(Z$54)+1)))))</f>
        <v/>
      </c>
      <c r="AA66" s="81" t="s">
        <v>152</v>
      </c>
    </row>
    <row r="67" customFormat="false" ht="15" hidden="false" customHeight="true" outlineLevel="0" collapsed="false">
      <c r="A67" s="65" t="s">
        <v>153</v>
      </c>
      <c r="B67" s="65"/>
      <c r="C67" s="70" t="n">
        <f aca="false">IF(OR(COUNT(C54:C65)=0,SUMPRODUCT(MAX(ISNUMBER(C54:C65)*($A$54:$A$65)))=0),"",SUMPRODUCT(MAX(ISNUMBER(C54:C65)*($A$54:$A$65))))</f>
        <v>46307</v>
      </c>
      <c r="D67" s="70"/>
      <c r="E67" s="70"/>
      <c r="F67" s="70" t="n">
        <f aca="false">IF(OR(COUNT(F54:F65)=0,SUMPRODUCT(MAX(ISNUMBER(F54:F65)*($A$54:$A$65)))=0),"",SUMPRODUCT(MAX(ISNUMBER(F54:F65)*($A$54:$A$65))))</f>
        <v>46307</v>
      </c>
      <c r="G67" s="70"/>
      <c r="H67" s="70"/>
      <c r="I67" s="70" t="n">
        <f aca="false">IF(OR(COUNT(I54:I65)=0,SUMPRODUCT(MAX(ISNUMBER(I54:I65)*($A$54:$A$65)))=0),"",SUMPRODUCT(MAX(ISNUMBER(I54:I65)*($A$54:$A$65))))</f>
        <v>46307</v>
      </c>
      <c r="J67" s="70"/>
      <c r="K67" s="70"/>
      <c r="L67" s="70" t="n">
        <f aca="false">IF(OR(COUNT(L54:L65)=0,SUMPRODUCT(MAX(ISNUMBER(L54:L65)*($A$54:$A$65)))=0),"",SUMPRODUCT(MAX(ISNUMBER(L54:L65)*($A$54:$A$65))))</f>
        <v>46307</v>
      </c>
      <c r="M67" s="70"/>
      <c r="N67" s="70"/>
      <c r="O67" s="70" t="str">
        <f aca="false">IF(OR(COUNT(O54:O65)=0,SUMPRODUCT(MAX(ISNUMBER(O54:O65)*($A$54:$A$65)))=0),"",SUMPRODUCT(MAX(ISNUMBER(O54:O65)*($A$54:$A$65))))</f>
        <v/>
      </c>
      <c r="P67" s="70"/>
      <c r="Q67" s="70"/>
      <c r="R67" s="70" t="str">
        <f aca="false">IF(OR(COUNT(R54:R65)=0,SUMPRODUCT(MAX(ISNUMBER(R54:R65)*($A$54:$A$65)))=0),"",SUMPRODUCT(MAX(ISNUMBER(R54:R65)*($A$54:$A$65))))</f>
        <v/>
      </c>
      <c r="S67" s="70"/>
      <c r="T67" s="70"/>
      <c r="U67" s="70" t="str">
        <f aca="false">IF(OR(COUNT(U54:U65)=0,SUMPRODUCT(MAX(ISNUMBER(U54:U65)*($A$54:$A$65)))=0),"",SUMPRODUCT(MAX(ISNUMBER(U54:U65)*($A$54:$A$65))))</f>
        <v/>
      </c>
      <c r="V67" s="70"/>
      <c r="W67" s="70"/>
      <c r="X67" s="70" t="str">
        <f aca="false">IF(OR(COUNT(X54:X65)=0,SUMPRODUCT(MAX(ISNUMBER(X54:X65)*($A$54:$A$65)))=0),"",SUMPRODUCT(MAX(ISNUMBER(X54:X65)*($A$54:$A$65))))</f>
        <v/>
      </c>
      <c r="Y67" s="70"/>
      <c r="Z67" s="70"/>
      <c r="AA67" s="82"/>
    </row>
    <row r="69" customFormat="false" ht="19.5" hidden="false" customHeight="true" outlineLevel="0" collapsed="false">
      <c r="A69" s="62" t="s">
        <v>159</v>
      </c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</row>
    <row r="70" customFormat="false" ht="31.5" hidden="false" customHeight="true" outlineLevel="0" collapsed="false">
      <c r="A70" s="55" t="s">
        <v>52</v>
      </c>
      <c r="B70" s="55" t="s">
        <v>75</v>
      </c>
      <c r="C70" s="77" t="s">
        <v>160</v>
      </c>
      <c r="D70" s="77"/>
      <c r="E70" s="77"/>
      <c r="F70" s="77" t="s">
        <v>125</v>
      </c>
      <c r="G70" s="77"/>
      <c r="H70" s="77"/>
      <c r="I70" s="77" t="s">
        <v>127</v>
      </c>
      <c r="J70" s="77"/>
      <c r="K70" s="77"/>
      <c r="L70" s="77" t="s">
        <v>161</v>
      </c>
      <c r="M70" s="77"/>
      <c r="N70" s="77"/>
      <c r="O70" s="77" t="s">
        <v>162</v>
      </c>
      <c r="P70" s="77"/>
      <c r="Q70" s="77"/>
      <c r="R70" s="77" t="s">
        <v>163</v>
      </c>
      <c r="S70" s="77"/>
      <c r="T70" s="77"/>
      <c r="U70" s="77" t="s">
        <v>164</v>
      </c>
      <c r="V70" s="77"/>
      <c r="W70" s="77"/>
      <c r="X70" s="77" t="s">
        <v>165</v>
      </c>
      <c r="Y70" s="77"/>
      <c r="Z70" s="77"/>
      <c r="AA70" s="55" t="s">
        <v>84</v>
      </c>
    </row>
    <row r="71" customFormat="false" ht="15.75" hidden="false" customHeight="true" outlineLevel="0" collapsed="false">
      <c r="A71" s="55"/>
      <c r="B71" s="55"/>
      <c r="C71" s="55" t="s">
        <v>166</v>
      </c>
      <c r="D71" s="55" t="s">
        <v>167</v>
      </c>
      <c r="E71" s="55" t="s">
        <v>167</v>
      </c>
      <c r="F71" s="55" t="s">
        <v>12</v>
      </c>
      <c r="G71" s="55" t="s">
        <v>49</v>
      </c>
      <c r="H71" s="55" t="s">
        <v>50</v>
      </c>
      <c r="I71" s="55" t="s">
        <v>12</v>
      </c>
      <c r="J71" s="55" t="s">
        <v>49</v>
      </c>
      <c r="K71" s="55" t="s">
        <v>50</v>
      </c>
      <c r="L71" s="55" t="s">
        <v>12</v>
      </c>
      <c r="M71" s="55" t="s">
        <v>49</v>
      </c>
      <c r="N71" s="55" t="s">
        <v>50</v>
      </c>
      <c r="O71" s="55" t="s">
        <v>12</v>
      </c>
      <c r="P71" s="55" t="s">
        <v>49</v>
      </c>
      <c r="Q71" s="55" t="s">
        <v>50</v>
      </c>
      <c r="R71" s="55" t="s">
        <v>166</v>
      </c>
      <c r="S71" s="55" t="s">
        <v>167</v>
      </c>
      <c r="T71" s="55" t="s">
        <v>167</v>
      </c>
      <c r="U71" s="55" t="s">
        <v>12</v>
      </c>
      <c r="V71" s="55" t="s">
        <v>49</v>
      </c>
      <c r="W71" s="55" t="s">
        <v>50</v>
      </c>
      <c r="X71" s="55" t="s">
        <v>166</v>
      </c>
      <c r="Y71" s="55" t="s">
        <v>167</v>
      </c>
      <c r="Z71" s="55" t="s">
        <v>167</v>
      </c>
      <c r="AA71" s="55"/>
    </row>
    <row r="72" customFormat="false" ht="15" hidden="false" customHeight="false" outlineLevel="0" collapsed="false">
      <c r="A72" s="56" t="n">
        <v>46307</v>
      </c>
      <c r="B72" s="57" t="n">
        <f aca="false">IF(A72="","",IF(Dashboard!$L$5="","",INT((A72-Dashboard!$L$5)/7)+1))</f>
        <v>10</v>
      </c>
      <c r="C72" s="67" t="n">
        <v>27.5</v>
      </c>
      <c r="D72" s="83"/>
      <c r="E72" s="84" t="str">
        <f aca="false">IFERROR(IF(OR(C72="",D72=""),"",IF(Dashboard!$K$5="L",IF(D72=0,"",C72/D72),IF(Dashboard!$K$5="R",IF(C72=0,"",D72/C72),IF(MAX(C72,D72)=0,"",MIN(C72,D72)/MAX(C72,D72))))),"")</f>
        <v/>
      </c>
      <c r="F72" s="67" t="n">
        <v>14.2</v>
      </c>
      <c r="G72" s="67" t="n">
        <v>19</v>
      </c>
      <c r="H72" s="79" t="n">
        <f aca="false">IFERROR(IF(OR(F72="",G72=""),"",IF(Dashboard!$K$5="L",IF(G72=0,"",F72/G72),IF(Dashboard!$K$5="R",IF(F72=0,"",G72/F72),IF(MAX(F72,G72)=0,"",MIN(F72,G72)/MAX(F72,G72))))),"")</f>
        <v>0.747368421052632</v>
      </c>
      <c r="I72" s="67" t="n">
        <v>128</v>
      </c>
      <c r="J72" s="67" t="n">
        <v>160</v>
      </c>
      <c r="K72" s="79" t="n">
        <f aca="false">IFERROR(IF(OR(I72="",J72=""),"",IF(Dashboard!$K$5="L",IF(J72=0,"",I72/J72),IF(Dashboard!$K$5="R",IF(I72=0,"",J72/I72),IF(MAX(I72,J72)=0,"",MIN(I72,J72)/MAX(I72,J72))))),"")</f>
        <v>0.8</v>
      </c>
      <c r="L72" s="67"/>
      <c r="M72" s="67"/>
      <c r="N72" s="79" t="str">
        <f aca="false">IFERROR(IF(OR(L72="",M72=""),"",IF(Dashboard!$K$5="L",IF(M72=0,"",L72/M72),IF(Dashboard!$K$5="R",IF(L72=0,"",M72/L72),IF(MAX(L72,M72)=0,"",MIN(L72,M72)/MAX(L72,M72))))),"")</f>
        <v/>
      </c>
      <c r="O72" s="67"/>
      <c r="P72" s="67"/>
      <c r="Q72" s="79" t="str">
        <f aca="false">IFERROR(IF(OR(O72="",P72=""),"",IF(Dashboard!$K$5="L",IF(P72=0,"",O72/P72),IF(Dashboard!$K$5="R",IF(O72=0,"",P72/O72),IF(MAX(O72,P72)=0,"",MIN(O72,P72)/MAX(O72,P72))))),"")</f>
        <v/>
      </c>
      <c r="R72" s="67" t="n">
        <v>1.62</v>
      </c>
      <c r="S72" s="83"/>
      <c r="T72" s="84" t="str">
        <f aca="false">IFERROR(IF(OR(R72="",S72=""),"",IF(Dashboard!$K$5="L",IF(S72=0,"",R72/S72),IF(Dashboard!$K$5="R",IF(R72=0,"",S72/R72),IF(MAX(R72,S72)=0,"",MIN(R72,S72)/MAX(R72,S72))))),"")</f>
        <v/>
      </c>
      <c r="U72" s="67"/>
      <c r="V72" s="67"/>
      <c r="W72" s="79" t="str">
        <f aca="false">IFERROR(IF(OR(U72="",V72=""),"",IF(Dashboard!$K$5="L",IF(V72=0,"",U72/V72),IF(Dashboard!$K$5="R",IF(U72=0,"",V72/U72),IF(MAX(U72,V72)=0,"",MIN(U72,V72)/MAX(U72,V72))))),"")</f>
        <v/>
      </c>
      <c r="X72" s="67" t="n">
        <v>1.85</v>
      </c>
      <c r="Y72" s="83"/>
      <c r="Z72" s="84" t="str">
        <f aca="false">IFERROR(IF(OR(X72="",Y72=""),"",IF(Dashboard!$K$5="L",IF(Y72=0,"",X72/Y72),IF(Dashboard!$K$5="R",IF(X72=0,"",Y72/X72),IF(MAX(X72,Y72)=0,"",MIN(X72,Y72)/MAX(X72,Y72))))),"")</f>
        <v/>
      </c>
      <c r="AA72" s="61" t="s">
        <v>87</v>
      </c>
    </row>
    <row r="73" customFormat="false" ht="15" hidden="false" customHeight="false" outlineLevel="0" collapsed="false">
      <c r="A73" s="56"/>
      <c r="B73" s="57" t="str">
        <f aca="false">IF(A73="","",IF(Dashboard!$L$5="","",INT((A73-Dashboard!$L$5)/7)+1))</f>
        <v/>
      </c>
      <c r="C73" s="67"/>
      <c r="D73" s="83"/>
      <c r="E73" s="84" t="str">
        <f aca="false">IFERROR(IF(OR(C73="",D73=""),"",IF(Dashboard!$K$5="L",IF(D73=0,"",C73/D73),IF(Dashboard!$K$5="R",IF(C73=0,"",D73/C73),IF(MAX(C73,D73)=0,"",MIN(C73,D73)/MAX(C73,D73))))),"")</f>
        <v/>
      </c>
      <c r="F73" s="67"/>
      <c r="G73" s="67"/>
      <c r="H73" s="79" t="str">
        <f aca="false">IFERROR(IF(OR(F73="",G73=""),"",IF(Dashboard!$K$5="L",IF(G73=0,"",F73/G73),IF(Dashboard!$K$5="R",IF(F73=0,"",G73/F73),IF(MAX(F73,G73)=0,"",MIN(F73,G73)/MAX(F73,G73))))),"")</f>
        <v/>
      </c>
      <c r="I73" s="67"/>
      <c r="J73" s="67"/>
      <c r="K73" s="79" t="str">
        <f aca="false">IFERROR(IF(OR(I73="",J73=""),"",IF(Dashboard!$K$5="L",IF(J73=0,"",I73/J73),IF(Dashboard!$K$5="R",IF(I73=0,"",J73/I73),IF(MAX(I73,J73)=0,"",MIN(I73,J73)/MAX(I73,J73))))),"")</f>
        <v/>
      </c>
      <c r="L73" s="67"/>
      <c r="M73" s="67"/>
      <c r="N73" s="79" t="str">
        <f aca="false">IFERROR(IF(OR(L73="",M73=""),"",IF(Dashboard!$K$5="L",IF(M73=0,"",L73/M73),IF(Dashboard!$K$5="R",IF(L73=0,"",M73/L73),IF(MAX(L73,M73)=0,"",MIN(L73,M73)/MAX(L73,M73))))),"")</f>
        <v/>
      </c>
      <c r="O73" s="67"/>
      <c r="P73" s="67"/>
      <c r="Q73" s="79" t="str">
        <f aca="false">IFERROR(IF(OR(O73="",P73=""),"",IF(Dashboard!$K$5="L",IF(P73=0,"",O73/P73),IF(Dashboard!$K$5="R",IF(O73=0,"",P73/O73),IF(MAX(O73,P73)=0,"",MIN(O73,P73)/MAX(O73,P73))))),"")</f>
        <v/>
      </c>
      <c r="R73" s="67"/>
      <c r="S73" s="83"/>
      <c r="T73" s="84" t="str">
        <f aca="false">IFERROR(IF(OR(R73="",S73=""),"",IF(Dashboard!$K$5="L",IF(S73=0,"",R73/S73),IF(Dashboard!$K$5="R",IF(R73=0,"",S73/R73),IF(MAX(R73,S73)=0,"",MIN(R73,S73)/MAX(R73,S73))))),"")</f>
        <v/>
      </c>
      <c r="U73" s="67"/>
      <c r="V73" s="67"/>
      <c r="W73" s="79" t="str">
        <f aca="false">IFERROR(IF(OR(U73="",V73=""),"",IF(Dashboard!$K$5="L",IF(V73=0,"",U73/V73),IF(Dashboard!$K$5="R",IF(U73=0,"",V73/U73),IF(MAX(U73,V73)=0,"",MIN(U73,V73)/MAX(U73,V73))))),"")</f>
        <v/>
      </c>
      <c r="X73" s="67"/>
      <c r="Y73" s="83"/>
      <c r="Z73" s="84" t="str">
        <f aca="false">IFERROR(IF(OR(X73="",Y73=""),"",IF(Dashboard!$K$5="L",IF(Y73=0,"",X73/Y73),IF(Dashboard!$K$5="R",IF(X73=0,"",Y73/X73),IF(MAX(X73,Y73)=0,"",MIN(X73,Y73)/MAX(X73,Y73))))),"")</f>
        <v/>
      </c>
      <c r="AA73" s="58"/>
    </row>
    <row r="74" customFormat="false" ht="15" hidden="false" customHeight="false" outlineLevel="0" collapsed="false">
      <c r="A74" s="56"/>
      <c r="B74" s="57" t="str">
        <f aca="false">IF(A74="","",IF(Dashboard!$L$5="","",INT((A74-Dashboard!$L$5)/7)+1))</f>
        <v/>
      </c>
      <c r="C74" s="67"/>
      <c r="D74" s="83"/>
      <c r="E74" s="84" t="str">
        <f aca="false">IFERROR(IF(OR(C74="",D74=""),"",IF(Dashboard!$K$5="L",IF(D74=0,"",C74/D74),IF(Dashboard!$K$5="R",IF(C74=0,"",D74/C74),IF(MAX(C74,D74)=0,"",MIN(C74,D74)/MAX(C74,D74))))),"")</f>
        <v/>
      </c>
      <c r="F74" s="67"/>
      <c r="G74" s="67"/>
      <c r="H74" s="79" t="str">
        <f aca="false">IFERROR(IF(OR(F74="",G74=""),"",IF(Dashboard!$K$5="L",IF(G74=0,"",F74/G74),IF(Dashboard!$K$5="R",IF(F74=0,"",G74/F74),IF(MAX(F74,G74)=0,"",MIN(F74,G74)/MAX(F74,G74))))),"")</f>
        <v/>
      </c>
      <c r="I74" s="67"/>
      <c r="J74" s="67"/>
      <c r="K74" s="79" t="str">
        <f aca="false">IFERROR(IF(OR(I74="",J74=""),"",IF(Dashboard!$K$5="L",IF(J74=0,"",I74/J74),IF(Dashboard!$K$5="R",IF(I74=0,"",J74/I74),IF(MAX(I74,J74)=0,"",MIN(I74,J74)/MAX(I74,J74))))),"")</f>
        <v/>
      </c>
      <c r="L74" s="67"/>
      <c r="M74" s="67"/>
      <c r="N74" s="79" t="str">
        <f aca="false">IFERROR(IF(OR(L74="",M74=""),"",IF(Dashboard!$K$5="L",IF(M74=0,"",L74/M74),IF(Dashboard!$K$5="R",IF(L74=0,"",M74/L74),IF(MAX(L74,M74)=0,"",MIN(L74,M74)/MAX(L74,M74))))),"")</f>
        <v/>
      </c>
      <c r="O74" s="67"/>
      <c r="P74" s="67"/>
      <c r="Q74" s="79" t="str">
        <f aca="false">IFERROR(IF(OR(O74="",P74=""),"",IF(Dashboard!$K$5="L",IF(P74=0,"",O74/P74),IF(Dashboard!$K$5="R",IF(O74=0,"",P74/O74),IF(MAX(O74,P74)=0,"",MIN(O74,P74)/MAX(O74,P74))))),"")</f>
        <v/>
      </c>
      <c r="R74" s="67"/>
      <c r="S74" s="83"/>
      <c r="T74" s="84" t="str">
        <f aca="false">IFERROR(IF(OR(R74="",S74=""),"",IF(Dashboard!$K$5="L",IF(S74=0,"",R74/S74),IF(Dashboard!$K$5="R",IF(R74=0,"",S74/R74),IF(MAX(R74,S74)=0,"",MIN(R74,S74)/MAX(R74,S74))))),"")</f>
        <v/>
      </c>
      <c r="U74" s="67"/>
      <c r="V74" s="67"/>
      <c r="W74" s="79" t="str">
        <f aca="false">IFERROR(IF(OR(U74="",V74=""),"",IF(Dashboard!$K$5="L",IF(V74=0,"",U74/V74),IF(Dashboard!$K$5="R",IF(U74=0,"",V74/U74),IF(MAX(U74,V74)=0,"",MIN(U74,V74)/MAX(U74,V74))))),"")</f>
        <v/>
      </c>
      <c r="X74" s="67"/>
      <c r="Y74" s="83"/>
      <c r="Z74" s="84" t="str">
        <f aca="false">IFERROR(IF(OR(X74="",Y74=""),"",IF(Dashboard!$K$5="L",IF(Y74=0,"",X74/Y74),IF(Dashboard!$K$5="R",IF(X74=0,"",Y74/X74),IF(MAX(X74,Y74)=0,"",MIN(X74,Y74)/MAX(X74,Y74))))),"")</f>
        <v/>
      </c>
      <c r="AA74" s="58"/>
    </row>
    <row r="75" customFormat="false" ht="15" hidden="false" customHeight="false" outlineLevel="0" collapsed="false">
      <c r="A75" s="56"/>
      <c r="B75" s="57" t="str">
        <f aca="false">IF(A75="","",IF(Dashboard!$L$5="","",INT((A75-Dashboard!$L$5)/7)+1))</f>
        <v/>
      </c>
      <c r="C75" s="67"/>
      <c r="D75" s="83"/>
      <c r="E75" s="84" t="str">
        <f aca="false">IFERROR(IF(OR(C75="",D75=""),"",IF(Dashboard!$K$5="L",IF(D75=0,"",C75/D75),IF(Dashboard!$K$5="R",IF(C75=0,"",D75/C75),IF(MAX(C75,D75)=0,"",MIN(C75,D75)/MAX(C75,D75))))),"")</f>
        <v/>
      </c>
      <c r="F75" s="67"/>
      <c r="G75" s="67"/>
      <c r="H75" s="79" t="str">
        <f aca="false">IFERROR(IF(OR(F75="",G75=""),"",IF(Dashboard!$K$5="L",IF(G75=0,"",F75/G75),IF(Dashboard!$K$5="R",IF(F75=0,"",G75/F75),IF(MAX(F75,G75)=0,"",MIN(F75,G75)/MAX(F75,G75))))),"")</f>
        <v/>
      </c>
      <c r="I75" s="67"/>
      <c r="J75" s="67"/>
      <c r="K75" s="79" t="str">
        <f aca="false">IFERROR(IF(OR(I75="",J75=""),"",IF(Dashboard!$K$5="L",IF(J75=0,"",I75/J75),IF(Dashboard!$K$5="R",IF(I75=0,"",J75/I75),IF(MAX(I75,J75)=0,"",MIN(I75,J75)/MAX(I75,J75))))),"")</f>
        <v/>
      </c>
      <c r="L75" s="67"/>
      <c r="M75" s="67"/>
      <c r="N75" s="79" t="str">
        <f aca="false">IFERROR(IF(OR(L75="",M75=""),"",IF(Dashboard!$K$5="L",IF(M75=0,"",L75/M75),IF(Dashboard!$K$5="R",IF(L75=0,"",M75/L75),IF(MAX(L75,M75)=0,"",MIN(L75,M75)/MAX(L75,M75))))),"")</f>
        <v/>
      </c>
      <c r="O75" s="67"/>
      <c r="P75" s="67"/>
      <c r="Q75" s="79" t="str">
        <f aca="false">IFERROR(IF(OR(O75="",P75=""),"",IF(Dashboard!$K$5="L",IF(P75=0,"",O75/P75),IF(Dashboard!$K$5="R",IF(O75=0,"",P75/O75),IF(MAX(O75,P75)=0,"",MIN(O75,P75)/MAX(O75,P75))))),"")</f>
        <v/>
      </c>
      <c r="R75" s="67"/>
      <c r="S75" s="83"/>
      <c r="T75" s="84" t="str">
        <f aca="false">IFERROR(IF(OR(R75="",S75=""),"",IF(Dashboard!$K$5="L",IF(S75=0,"",R75/S75),IF(Dashboard!$K$5="R",IF(R75=0,"",S75/R75),IF(MAX(R75,S75)=0,"",MIN(R75,S75)/MAX(R75,S75))))),"")</f>
        <v/>
      </c>
      <c r="U75" s="67"/>
      <c r="V75" s="67"/>
      <c r="W75" s="79" t="str">
        <f aca="false">IFERROR(IF(OR(U75="",V75=""),"",IF(Dashboard!$K$5="L",IF(V75=0,"",U75/V75),IF(Dashboard!$K$5="R",IF(U75=0,"",V75/U75),IF(MAX(U75,V75)=0,"",MIN(U75,V75)/MAX(U75,V75))))),"")</f>
        <v/>
      </c>
      <c r="X75" s="67"/>
      <c r="Y75" s="83"/>
      <c r="Z75" s="84" t="str">
        <f aca="false">IFERROR(IF(OR(X75="",Y75=""),"",IF(Dashboard!$K$5="L",IF(Y75=0,"",X75/Y75),IF(Dashboard!$K$5="R",IF(X75=0,"",Y75/X75),IF(MAX(X75,Y75)=0,"",MIN(X75,Y75)/MAX(X75,Y75))))),"")</f>
        <v/>
      </c>
      <c r="AA75" s="58"/>
    </row>
    <row r="76" customFormat="false" ht="15" hidden="false" customHeight="false" outlineLevel="0" collapsed="false">
      <c r="A76" s="56"/>
      <c r="B76" s="57" t="str">
        <f aca="false">IF(A76="","",IF(Dashboard!$L$5="","",INT((A76-Dashboard!$L$5)/7)+1))</f>
        <v/>
      </c>
      <c r="C76" s="67"/>
      <c r="D76" s="83"/>
      <c r="E76" s="84" t="str">
        <f aca="false">IFERROR(IF(OR(C76="",D76=""),"",IF(Dashboard!$K$5="L",IF(D76=0,"",C76/D76),IF(Dashboard!$K$5="R",IF(C76=0,"",D76/C76),IF(MAX(C76,D76)=0,"",MIN(C76,D76)/MAX(C76,D76))))),"")</f>
        <v/>
      </c>
      <c r="F76" s="67"/>
      <c r="G76" s="67"/>
      <c r="H76" s="79" t="str">
        <f aca="false">IFERROR(IF(OR(F76="",G76=""),"",IF(Dashboard!$K$5="L",IF(G76=0,"",F76/G76),IF(Dashboard!$K$5="R",IF(F76=0,"",G76/F76),IF(MAX(F76,G76)=0,"",MIN(F76,G76)/MAX(F76,G76))))),"")</f>
        <v/>
      </c>
      <c r="I76" s="67"/>
      <c r="J76" s="67"/>
      <c r="K76" s="79" t="str">
        <f aca="false">IFERROR(IF(OR(I76="",J76=""),"",IF(Dashboard!$K$5="L",IF(J76=0,"",I76/J76),IF(Dashboard!$K$5="R",IF(I76=0,"",J76/I76),IF(MAX(I76,J76)=0,"",MIN(I76,J76)/MAX(I76,J76))))),"")</f>
        <v/>
      </c>
      <c r="L76" s="67"/>
      <c r="M76" s="67"/>
      <c r="N76" s="79" t="str">
        <f aca="false">IFERROR(IF(OR(L76="",M76=""),"",IF(Dashboard!$K$5="L",IF(M76=0,"",L76/M76),IF(Dashboard!$K$5="R",IF(L76=0,"",M76/L76),IF(MAX(L76,M76)=0,"",MIN(L76,M76)/MAX(L76,M76))))),"")</f>
        <v/>
      </c>
      <c r="O76" s="67"/>
      <c r="P76" s="67"/>
      <c r="Q76" s="79" t="str">
        <f aca="false">IFERROR(IF(OR(O76="",P76=""),"",IF(Dashboard!$K$5="L",IF(P76=0,"",O76/P76),IF(Dashboard!$K$5="R",IF(O76=0,"",P76/O76),IF(MAX(O76,P76)=0,"",MIN(O76,P76)/MAX(O76,P76))))),"")</f>
        <v/>
      </c>
      <c r="R76" s="67"/>
      <c r="S76" s="83"/>
      <c r="T76" s="84" t="str">
        <f aca="false">IFERROR(IF(OR(R76="",S76=""),"",IF(Dashboard!$K$5="L",IF(S76=0,"",R76/S76),IF(Dashboard!$K$5="R",IF(R76=0,"",S76/R76),IF(MAX(R76,S76)=0,"",MIN(R76,S76)/MAX(R76,S76))))),"")</f>
        <v/>
      </c>
      <c r="U76" s="67"/>
      <c r="V76" s="67"/>
      <c r="W76" s="79" t="str">
        <f aca="false">IFERROR(IF(OR(U76="",V76=""),"",IF(Dashboard!$K$5="L",IF(V76=0,"",U76/V76),IF(Dashboard!$K$5="R",IF(U76=0,"",V76/U76),IF(MAX(U76,V76)=0,"",MIN(U76,V76)/MAX(U76,V76))))),"")</f>
        <v/>
      </c>
      <c r="X76" s="67"/>
      <c r="Y76" s="83"/>
      <c r="Z76" s="84" t="str">
        <f aca="false">IFERROR(IF(OR(X76="",Y76=""),"",IF(Dashboard!$K$5="L",IF(Y76=0,"",X76/Y76),IF(Dashboard!$K$5="R",IF(X76=0,"",Y76/X76),IF(MAX(X76,Y76)=0,"",MIN(X76,Y76)/MAX(X76,Y76))))),"")</f>
        <v/>
      </c>
      <c r="AA76" s="58"/>
    </row>
    <row r="77" customFormat="false" ht="15" hidden="false" customHeight="false" outlineLevel="0" collapsed="false">
      <c r="A77" s="56"/>
      <c r="B77" s="57" t="str">
        <f aca="false">IF(A77="","",IF(Dashboard!$L$5="","",INT((A77-Dashboard!$L$5)/7)+1))</f>
        <v/>
      </c>
      <c r="C77" s="67"/>
      <c r="D77" s="83"/>
      <c r="E77" s="84" t="str">
        <f aca="false">IFERROR(IF(OR(C77="",D77=""),"",IF(Dashboard!$K$5="L",IF(D77=0,"",C77/D77),IF(Dashboard!$K$5="R",IF(C77=0,"",D77/C77),IF(MAX(C77,D77)=0,"",MIN(C77,D77)/MAX(C77,D77))))),"")</f>
        <v/>
      </c>
      <c r="F77" s="67"/>
      <c r="G77" s="67"/>
      <c r="H77" s="79" t="str">
        <f aca="false">IFERROR(IF(OR(F77="",G77=""),"",IF(Dashboard!$K$5="L",IF(G77=0,"",F77/G77),IF(Dashboard!$K$5="R",IF(F77=0,"",G77/F77),IF(MAX(F77,G77)=0,"",MIN(F77,G77)/MAX(F77,G77))))),"")</f>
        <v/>
      </c>
      <c r="I77" s="67"/>
      <c r="J77" s="67"/>
      <c r="K77" s="79" t="str">
        <f aca="false">IFERROR(IF(OR(I77="",J77=""),"",IF(Dashboard!$K$5="L",IF(J77=0,"",I77/J77),IF(Dashboard!$K$5="R",IF(I77=0,"",J77/I77),IF(MAX(I77,J77)=0,"",MIN(I77,J77)/MAX(I77,J77))))),"")</f>
        <v/>
      </c>
      <c r="L77" s="67"/>
      <c r="M77" s="67"/>
      <c r="N77" s="79" t="str">
        <f aca="false">IFERROR(IF(OR(L77="",M77=""),"",IF(Dashboard!$K$5="L",IF(M77=0,"",L77/M77),IF(Dashboard!$K$5="R",IF(L77=0,"",M77/L77),IF(MAX(L77,M77)=0,"",MIN(L77,M77)/MAX(L77,M77))))),"")</f>
        <v/>
      </c>
      <c r="O77" s="67"/>
      <c r="P77" s="67"/>
      <c r="Q77" s="79" t="str">
        <f aca="false">IFERROR(IF(OR(O77="",P77=""),"",IF(Dashboard!$K$5="L",IF(P77=0,"",O77/P77),IF(Dashboard!$K$5="R",IF(O77=0,"",P77/O77),IF(MAX(O77,P77)=0,"",MIN(O77,P77)/MAX(O77,P77))))),"")</f>
        <v/>
      </c>
      <c r="R77" s="67"/>
      <c r="S77" s="83"/>
      <c r="T77" s="84" t="str">
        <f aca="false">IFERROR(IF(OR(R77="",S77=""),"",IF(Dashboard!$K$5="L",IF(S77=0,"",R77/S77),IF(Dashboard!$K$5="R",IF(R77=0,"",S77/R77),IF(MAX(R77,S77)=0,"",MIN(R77,S77)/MAX(R77,S77))))),"")</f>
        <v/>
      </c>
      <c r="U77" s="67"/>
      <c r="V77" s="67"/>
      <c r="W77" s="79" t="str">
        <f aca="false">IFERROR(IF(OR(U77="",V77=""),"",IF(Dashboard!$K$5="L",IF(V77=0,"",U77/V77),IF(Dashboard!$K$5="R",IF(U77=0,"",V77/U77),IF(MAX(U77,V77)=0,"",MIN(U77,V77)/MAX(U77,V77))))),"")</f>
        <v/>
      </c>
      <c r="X77" s="67"/>
      <c r="Y77" s="83"/>
      <c r="Z77" s="84" t="str">
        <f aca="false">IFERROR(IF(OR(X77="",Y77=""),"",IF(Dashboard!$K$5="L",IF(Y77=0,"",X77/Y77),IF(Dashboard!$K$5="R",IF(X77=0,"",Y77/X77),IF(MAX(X77,Y77)=0,"",MIN(X77,Y77)/MAX(X77,Y77))))),"")</f>
        <v/>
      </c>
      <c r="AA77" s="58"/>
    </row>
    <row r="78" customFormat="false" ht="15" hidden="false" customHeight="false" outlineLevel="0" collapsed="false">
      <c r="A78" s="56"/>
      <c r="B78" s="57" t="str">
        <f aca="false">IF(A78="","",IF(Dashboard!$L$5="","",INT((A78-Dashboard!$L$5)/7)+1))</f>
        <v/>
      </c>
      <c r="C78" s="67"/>
      <c r="D78" s="83"/>
      <c r="E78" s="84" t="str">
        <f aca="false">IFERROR(IF(OR(C78="",D78=""),"",IF(Dashboard!$K$5="L",IF(D78=0,"",C78/D78),IF(Dashboard!$K$5="R",IF(C78=0,"",D78/C78),IF(MAX(C78,D78)=0,"",MIN(C78,D78)/MAX(C78,D78))))),"")</f>
        <v/>
      </c>
      <c r="F78" s="67"/>
      <c r="G78" s="67"/>
      <c r="H78" s="79" t="str">
        <f aca="false">IFERROR(IF(OR(F78="",G78=""),"",IF(Dashboard!$K$5="L",IF(G78=0,"",F78/G78),IF(Dashboard!$K$5="R",IF(F78=0,"",G78/F78),IF(MAX(F78,G78)=0,"",MIN(F78,G78)/MAX(F78,G78))))),"")</f>
        <v/>
      </c>
      <c r="I78" s="67"/>
      <c r="J78" s="67"/>
      <c r="K78" s="79" t="str">
        <f aca="false">IFERROR(IF(OR(I78="",J78=""),"",IF(Dashboard!$K$5="L",IF(J78=0,"",I78/J78),IF(Dashboard!$K$5="R",IF(I78=0,"",J78/I78),IF(MAX(I78,J78)=0,"",MIN(I78,J78)/MAX(I78,J78))))),"")</f>
        <v/>
      </c>
      <c r="L78" s="67"/>
      <c r="M78" s="67"/>
      <c r="N78" s="79" t="str">
        <f aca="false">IFERROR(IF(OR(L78="",M78=""),"",IF(Dashboard!$K$5="L",IF(M78=0,"",L78/M78),IF(Dashboard!$K$5="R",IF(L78=0,"",M78/L78),IF(MAX(L78,M78)=0,"",MIN(L78,M78)/MAX(L78,M78))))),"")</f>
        <v/>
      </c>
      <c r="O78" s="67"/>
      <c r="P78" s="67"/>
      <c r="Q78" s="79" t="str">
        <f aca="false">IFERROR(IF(OR(O78="",P78=""),"",IF(Dashboard!$K$5="L",IF(P78=0,"",O78/P78),IF(Dashboard!$K$5="R",IF(O78=0,"",P78/O78),IF(MAX(O78,P78)=0,"",MIN(O78,P78)/MAX(O78,P78))))),"")</f>
        <v/>
      </c>
      <c r="R78" s="67"/>
      <c r="S78" s="83"/>
      <c r="T78" s="84" t="str">
        <f aca="false">IFERROR(IF(OR(R78="",S78=""),"",IF(Dashboard!$K$5="L",IF(S78=0,"",R78/S78),IF(Dashboard!$K$5="R",IF(R78=0,"",S78/R78),IF(MAX(R78,S78)=0,"",MIN(R78,S78)/MAX(R78,S78))))),"")</f>
        <v/>
      </c>
      <c r="U78" s="67"/>
      <c r="V78" s="67"/>
      <c r="W78" s="79" t="str">
        <f aca="false">IFERROR(IF(OR(U78="",V78=""),"",IF(Dashboard!$K$5="L",IF(V78=0,"",U78/V78),IF(Dashboard!$K$5="R",IF(U78=0,"",V78/U78),IF(MAX(U78,V78)=0,"",MIN(U78,V78)/MAX(U78,V78))))),"")</f>
        <v/>
      </c>
      <c r="X78" s="67"/>
      <c r="Y78" s="83"/>
      <c r="Z78" s="84" t="str">
        <f aca="false">IFERROR(IF(OR(X78="",Y78=""),"",IF(Dashboard!$K$5="L",IF(Y78=0,"",X78/Y78),IF(Dashboard!$K$5="R",IF(X78=0,"",Y78/X78),IF(MAX(X78,Y78)=0,"",MIN(X78,Y78)/MAX(X78,Y78))))),"")</f>
        <v/>
      </c>
      <c r="AA78" s="58"/>
    </row>
    <row r="79" customFormat="false" ht="15" hidden="false" customHeight="false" outlineLevel="0" collapsed="false">
      <c r="A79" s="56"/>
      <c r="B79" s="57" t="str">
        <f aca="false">IF(A79="","",IF(Dashboard!$L$5="","",INT((A79-Dashboard!$L$5)/7)+1))</f>
        <v/>
      </c>
      <c r="C79" s="67"/>
      <c r="D79" s="83"/>
      <c r="E79" s="84" t="str">
        <f aca="false">IFERROR(IF(OR(C79="",D79=""),"",IF(Dashboard!$K$5="L",IF(D79=0,"",C79/D79),IF(Dashboard!$K$5="R",IF(C79=0,"",D79/C79),IF(MAX(C79,D79)=0,"",MIN(C79,D79)/MAX(C79,D79))))),"")</f>
        <v/>
      </c>
      <c r="F79" s="67"/>
      <c r="G79" s="67"/>
      <c r="H79" s="79" t="str">
        <f aca="false">IFERROR(IF(OR(F79="",G79=""),"",IF(Dashboard!$K$5="L",IF(G79=0,"",F79/G79),IF(Dashboard!$K$5="R",IF(F79=0,"",G79/F79),IF(MAX(F79,G79)=0,"",MIN(F79,G79)/MAX(F79,G79))))),"")</f>
        <v/>
      </c>
      <c r="I79" s="67"/>
      <c r="J79" s="67"/>
      <c r="K79" s="79" t="str">
        <f aca="false">IFERROR(IF(OR(I79="",J79=""),"",IF(Dashboard!$K$5="L",IF(J79=0,"",I79/J79),IF(Dashboard!$K$5="R",IF(I79=0,"",J79/I79),IF(MAX(I79,J79)=0,"",MIN(I79,J79)/MAX(I79,J79))))),"")</f>
        <v/>
      </c>
      <c r="L79" s="67"/>
      <c r="M79" s="67"/>
      <c r="N79" s="79" t="str">
        <f aca="false">IFERROR(IF(OR(L79="",M79=""),"",IF(Dashboard!$K$5="L",IF(M79=0,"",L79/M79),IF(Dashboard!$K$5="R",IF(L79=0,"",M79/L79),IF(MAX(L79,M79)=0,"",MIN(L79,M79)/MAX(L79,M79))))),"")</f>
        <v/>
      </c>
      <c r="O79" s="67"/>
      <c r="P79" s="67"/>
      <c r="Q79" s="79" t="str">
        <f aca="false">IFERROR(IF(OR(O79="",P79=""),"",IF(Dashboard!$K$5="L",IF(P79=0,"",O79/P79),IF(Dashboard!$K$5="R",IF(O79=0,"",P79/O79),IF(MAX(O79,P79)=0,"",MIN(O79,P79)/MAX(O79,P79))))),"")</f>
        <v/>
      </c>
      <c r="R79" s="67"/>
      <c r="S79" s="83"/>
      <c r="T79" s="84" t="str">
        <f aca="false">IFERROR(IF(OR(R79="",S79=""),"",IF(Dashboard!$K$5="L",IF(S79=0,"",R79/S79),IF(Dashboard!$K$5="R",IF(R79=0,"",S79/R79),IF(MAX(R79,S79)=0,"",MIN(R79,S79)/MAX(R79,S79))))),"")</f>
        <v/>
      </c>
      <c r="U79" s="67"/>
      <c r="V79" s="67"/>
      <c r="W79" s="79" t="str">
        <f aca="false">IFERROR(IF(OR(U79="",V79=""),"",IF(Dashboard!$K$5="L",IF(V79=0,"",U79/V79),IF(Dashboard!$K$5="R",IF(U79=0,"",V79/U79),IF(MAX(U79,V79)=0,"",MIN(U79,V79)/MAX(U79,V79))))),"")</f>
        <v/>
      </c>
      <c r="X79" s="67"/>
      <c r="Y79" s="83"/>
      <c r="Z79" s="84" t="str">
        <f aca="false">IFERROR(IF(OR(X79="",Y79=""),"",IF(Dashboard!$K$5="L",IF(Y79=0,"",X79/Y79),IF(Dashboard!$K$5="R",IF(X79=0,"",Y79/X79),IF(MAX(X79,Y79)=0,"",MIN(X79,Y79)/MAX(X79,Y79))))),"")</f>
        <v/>
      </c>
      <c r="AA79" s="58"/>
    </row>
    <row r="80" customFormat="false" ht="15" hidden="false" customHeight="false" outlineLevel="0" collapsed="false">
      <c r="A80" s="56"/>
      <c r="B80" s="57" t="str">
        <f aca="false">IF(A80="","",IF(Dashboard!$L$5="","",INT((A80-Dashboard!$L$5)/7)+1))</f>
        <v/>
      </c>
      <c r="C80" s="67"/>
      <c r="D80" s="83"/>
      <c r="E80" s="84" t="str">
        <f aca="false">IFERROR(IF(OR(C80="",D80=""),"",IF(Dashboard!$K$5="L",IF(D80=0,"",C80/D80),IF(Dashboard!$K$5="R",IF(C80=0,"",D80/C80),IF(MAX(C80,D80)=0,"",MIN(C80,D80)/MAX(C80,D80))))),"")</f>
        <v/>
      </c>
      <c r="F80" s="67"/>
      <c r="G80" s="67"/>
      <c r="H80" s="79" t="str">
        <f aca="false">IFERROR(IF(OR(F80="",G80=""),"",IF(Dashboard!$K$5="L",IF(G80=0,"",F80/G80),IF(Dashboard!$K$5="R",IF(F80=0,"",G80/F80),IF(MAX(F80,G80)=0,"",MIN(F80,G80)/MAX(F80,G80))))),"")</f>
        <v/>
      </c>
      <c r="I80" s="67"/>
      <c r="J80" s="67"/>
      <c r="K80" s="79" t="str">
        <f aca="false">IFERROR(IF(OR(I80="",J80=""),"",IF(Dashboard!$K$5="L",IF(J80=0,"",I80/J80),IF(Dashboard!$K$5="R",IF(I80=0,"",J80/I80),IF(MAX(I80,J80)=0,"",MIN(I80,J80)/MAX(I80,J80))))),"")</f>
        <v/>
      </c>
      <c r="L80" s="67"/>
      <c r="M80" s="67"/>
      <c r="N80" s="79" t="str">
        <f aca="false">IFERROR(IF(OR(L80="",M80=""),"",IF(Dashboard!$K$5="L",IF(M80=0,"",L80/M80),IF(Dashboard!$K$5="R",IF(L80=0,"",M80/L80),IF(MAX(L80,M80)=0,"",MIN(L80,M80)/MAX(L80,M80))))),"")</f>
        <v/>
      </c>
      <c r="O80" s="67"/>
      <c r="P80" s="67"/>
      <c r="Q80" s="79" t="str">
        <f aca="false">IFERROR(IF(OR(O80="",P80=""),"",IF(Dashboard!$K$5="L",IF(P80=0,"",O80/P80),IF(Dashboard!$K$5="R",IF(O80=0,"",P80/O80),IF(MAX(O80,P80)=0,"",MIN(O80,P80)/MAX(O80,P80))))),"")</f>
        <v/>
      </c>
      <c r="R80" s="67"/>
      <c r="S80" s="83"/>
      <c r="T80" s="84" t="str">
        <f aca="false">IFERROR(IF(OR(R80="",S80=""),"",IF(Dashboard!$K$5="L",IF(S80=0,"",R80/S80),IF(Dashboard!$K$5="R",IF(R80=0,"",S80/R80),IF(MAX(R80,S80)=0,"",MIN(R80,S80)/MAX(R80,S80))))),"")</f>
        <v/>
      </c>
      <c r="U80" s="67"/>
      <c r="V80" s="67"/>
      <c r="W80" s="79" t="str">
        <f aca="false">IFERROR(IF(OR(U80="",V80=""),"",IF(Dashboard!$K$5="L",IF(V80=0,"",U80/V80),IF(Dashboard!$K$5="R",IF(U80=0,"",V80/U80),IF(MAX(U80,V80)=0,"",MIN(U80,V80)/MAX(U80,V80))))),"")</f>
        <v/>
      </c>
      <c r="X80" s="67"/>
      <c r="Y80" s="83"/>
      <c r="Z80" s="84" t="str">
        <f aca="false">IFERROR(IF(OR(X80="",Y80=""),"",IF(Dashboard!$K$5="L",IF(Y80=0,"",X80/Y80),IF(Dashboard!$K$5="R",IF(X80=0,"",Y80/X80),IF(MAX(X80,Y80)=0,"",MIN(X80,Y80)/MAX(X80,Y80))))),"")</f>
        <v/>
      </c>
      <c r="AA80" s="58"/>
    </row>
    <row r="81" customFormat="false" ht="15" hidden="false" customHeight="false" outlineLevel="0" collapsed="false">
      <c r="A81" s="56"/>
      <c r="B81" s="57" t="str">
        <f aca="false">IF(A81="","",IF(Dashboard!$L$5="","",INT((A81-Dashboard!$L$5)/7)+1))</f>
        <v/>
      </c>
      <c r="C81" s="67"/>
      <c r="D81" s="83"/>
      <c r="E81" s="84" t="str">
        <f aca="false">IFERROR(IF(OR(C81="",D81=""),"",IF(Dashboard!$K$5="L",IF(D81=0,"",C81/D81),IF(Dashboard!$K$5="R",IF(C81=0,"",D81/C81),IF(MAX(C81,D81)=0,"",MIN(C81,D81)/MAX(C81,D81))))),"")</f>
        <v/>
      </c>
      <c r="F81" s="67"/>
      <c r="G81" s="67"/>
      <c r="H81" s="79" t="str">
        <f aca="false">IFERROR(IF(OR(F81="",G81=""),"",IF(Dashboard!$K$5="L",IF(G81=0,"",F81/G81),IF(Dashboard!$K$5="R",IF(F81=0,"",G81/F81),IF(MAX(F81,G81)=0,"",MIN(F81,G81)/MAX(F81,G81))))),"")</f>
        <v/>
      </c>
      <c r="I81" s="67"/>
      <c r="J81" s="67"/>
      <c r="K81" s="79" t="str">
        <f aca="false">IFERROR(IF(OR(I81="",J81=""),"",IF(Dashboard!$K$5="L",IF(J81=0,"",I81/J81),IF(Dashboard!$K$5="R",IF(I81=0,"",J81/I81),IF(MAX(I81,J81)=0,"",MIN(I81,J81)/MAX(I81,J81))))),"")</f>
        <v/>
      </c>
      <c r="L81" s="67"/>
      <c r="M81" s="67"/>
      <c r="N81" s="79" t="str">
        <f aca="false">IFERROR(IF(OR(L81="",M81=""),"",IF(Dashboard!$K$5="L",IF(M81=0,"",L81/M81),IF(Dashboard!$K$5="R",IF(L81=0,"",M81/L81),IF(MAX(L81,M81)=0,"",MIN(L81,M81)/MAX(L81,M81))))),"")</f>
        <v/>
      </c>
      <c r="O81" s="67"/>
      <c r="P81" s="67"/>
      <c r="Q81" s="79" t="str">
        <f aca="false">IFERROR(IF(OR(O81="",P81=""),"",IF(Dashboard!$K$5="L",IF(P81=0,"",O81/P81),IF(Dashboard!$K$5="R",IF(O81=0,"",P81/O81),IF(MAX(O81,P81)=0,"",MIN(O81,P81)/MAX(O81,P81))))),"")</f>
        <v/>
      </c>
      <c r="R81" s="67"/>
      <c r="S81" s="83"/>
      <c r="T81" s="84" t="str">
        <f aca="false">IFERROR(IF(OR(R81="",S81=""),"",IF(Dashboard!$K$5="L",IF(S81=0,"",R81/S81),IF(Dashboard!$K$5="R",IF(R81=0,"",S81/R81),IF(MAX(R81,S81)=0,"",MIN(R81,S81)/MAX(R81,S81))))),"")</f>
        <v/>
      </c>
      <c r="U81" s="67"/>
      <c r="V81" s="67"/>
      <c r="W81" s="79" t="str">
        <f aca="false">IFERROR(IF(OR(U81="",V81=""),"",IF(Dashboard!$K$5="L",IF(V81=0,"",U81/V81),IF(Dashboard!$K$5="R",IF(U81=0,"",V81/U81),IF(MAX(U81,V81)=0,"",MIN(U81,V81)/MAX(U81,V81))))),"")</f>
        <v/>
      </c>
      <c r="X81" s="67"/>
      <c r="Y81" s="83"/>
      <c r="Z81" s="84" t="str">
        <f aca="false">IFERROR(IF(OR(X81="",Y81=""),"",IF(Dashboard!$K$5="L",IF(Y81=0,"",X81/Y81),IF(Dashboard!$K$5="R",IF(X81=0,"",Y81/X81),IF(MAX(X81,Y81)=0,"",MIN(X81,Y81)/MAX(X81,Y81))))),"")</f>
        <v/>
      </c>
      <c r="AA81" s="58"/>
    </row>
    <row r="82" customFormat="false" ht="15" hidden="false" customHeight="false" outlineLevel="0" collapsed="false">
      <c r="A82" s="56"/>
      <c r="B82" s="57" t="str">
        <f aca="false">IF(A82="","",IF(Dashboard!$L$5="","",INT((A82-Dashboard!$L$5)/7)+1))</f>
        <v/>
      </c>
      <c r="C82" s="67"/>
      <c r="D82" s="83"/>
      <c r="E82" s="84" t="str">
        <f aca="false">IFERROR(IF(OR(C82="",D82=""),"",IF(Dashboard!$K$5="L",IF(D82=0,"",C82/D82),IF(Dashboard!$K$5="R",IF(C82=0,"",D82/C82),IF(MAX(C82,D82)=0,"",MIN(C82,D82)/MAX(C82,D82))))),"")</f>
        <v/>
      </c>
      <c r="F82" s="67"/>
      <c r="G82" s="67"/>
      <c r="H82" s="79" t="str">
        <f aca="false">IFERROR(IF(OR(F82="",G82=""),"",IF(Dashboard!$K$5="L",IF(G82=0,"",F82/G82),IF(Dashboard!$K$5="R",IF(F82=0,"",G82/F82),IF(MAX(F82,G82)=0,"",MIN(F82,G82)/MAX(F82,G82))))),"")</f>
        <v/>
      </c>
      <c r="I82" s="67"/>
      <c r="J82" s="67"/>
      <c r="K82" s="79" t="str">
        <f aca="false">IFERROR(IF(OR(I82="",J82=""),"",IF(Dashboard!$K$5="L",IF(J82=0,"",I82/J82),IF(Dashboard!$K$5="R",IF(I82=0,"",J82/I82),IF(MAX(I82,J82)=0,"",MIN(I82,J82)/MAX(I82,J82))))),"")</f>
        <v/>
      </c>
      <c r="L82" s="67"/>
      <c r="M82" s="67"/>
      <c r="N82" s="79" t="str">
        <f aca="false">IFERROR(IF(OR(L82="",M82=""),"",IF(Dashboard!$K$5="L",IF(M82=0,"",L82/M82),IF(Dashboard!$K$5="R",IF(L82=0,"",M82/L82),IF(MAX(L82,M82)=0,"",MIN(L82,M82)/MAX(L82,M82))))),"")</f>
        <v/>
      </c>
      <c r="O82" s="67"/>
      <c r="P82" s="67"/>
      <c r="Q82" s="79" t="str">
        <f aca="false">IFERROR(IF(OR(O82="",P82=""),"",IF(Dashboard!$K$5="L",IF(P82=0,"",O82/P82),IF(Dashboard!$K$5="R",IF(O82=0,"",P82/O82),IF(MAX(O82,P82)=0,"",MIN(O82,P82)/MAX(O82,P82))))),"")</f>
        <v/>
      </c>
      <c r="R82" s="67"/>
      <c r="S82" s="83"/>
      <c r="T82" s="84" t="str">
        <f aca="false">IFERROR(IF(OR(R82="",S82=""),"",IF(Dashboard!$K$5="L",IF(S82=0,"",R82/S82),IF(Dashboard!$K$5="R",IF(R82=0,"",S82/R82),IF(MAX(R82,S82)=0,"",MIN(R82,S82)/MAX(R82,S82))))),"")</f>
        <v/>
      </c>
      <c r="U82" s="67"/>
      <c r="V82" s="67"/>
      <c r="W82" s="79" t="str">
        <f aca="false">IFERROR(IF(OR(U82="",V82=""),"",IF(Dashboard!$K$5="L",IF(V82=0,"",U82/V82),IF(Dashboard!$K$5="R",IF(U82=0,"",V82/U82),IF(MAX(U82,V82)=0,"",MIN(U82,V82)/MAX(U82,V82))))),"")</f>
        <v/>
      </c>
      <c r="X82" s="67"/>
      <c r="Y82" s="83"/>
      <c r="Z82" s="84" t="str">
        <f aca="false">IFERROR(IF(OR(X82="",Y82=""),"",IF(Dashboard!$K$5="L",IF(Y82=0,"",X82/Y82),IF(Dashboard!$K$5="R",IF(X82=0,"",Y82/X82),IF(MAX(X82,Y82)=0,"",MIN(X82,Y82)/MAX(X82,Y82))))),"")</f>
        <v/>
      </c>
      <c r="AA82" s="58"/>
    </row>
    <row r="83" customFormat="false" ht="15" hidden="false" customHeight="false" outlineLevel="0" collapsed="false">
      <c r="A83" s="56"/>
      <c r="B83" s="57" t="str">
        <f aca="false">IF(A83="","",IF(Dashboard!$L$5="","",INT((A83-Dashboard!$L$5)/7)+1))</f>
        <v/>
      </c>
      <c r="C83" s="67"/>
      <c r="D83" s="83"/>
      <c r="E83" s="84" t="str">
        <f aca="false">IFERROR(IF(OR(C83="",D83=""),"",IF(Dashboard!$K$5="L",IF(D83=0,"",C83/D83),IF(Dashboard!$K$5="R",IF(C83=0,"",D83/C83),IF(MAX(C83,D83)=0,"",MIN(C83,D83)/MAX(C83,D83))))),"")</f>
        <v/>
      </c>
      <c r="F83" s="67"/>
      <c r="G83" s="67"/>
      <c r="H83" s="79" t="str">
        <f aca="false">IFERROR(IF(OR(F83="",G83=""),"",IF(Dashboard!$K$5="L",IF(G83=0,"",F83/G83),IF(Dashboard!$K$5="R",IF(F83=0,"",G83/F83),IF(MAX(F83,G83)=0,"",MIN(F83,G83)/MAX(F83,G83))))),"")</f>
        <v/>
      </c>
      <c r="I83" s="67"/>
      <c r="J83" s="67"/>
      <c r="K83" s="79" t="str">
        <f aca="false">IFERROR(IF(OR(I83="",J83=""),"",IF(Dashboard!$K$5="L",IF(J83=0,"",I83/J83),IF(Dashboard!$K$5="R",IF(I83=0,"",J83/I83),IF(MAX(I83,J83)=0,"",MIN(I83,J83)/MAX(I83,J83))))),"")</f>
        <v/>
      </c>
      <c r="L83" s="67"/>
      <c r="M83" s="67"/>
      <c r="N83" s="79" t="str">
        <f aca="false">IFERROR(IF(OR(L83="",M83=""),"",IF(Dashboard!$K$5="L",IF(M83=0,"",L83/M83),IF(Dashboard!$K$5="R",IF(L83=0,"",M83/L83),IF(MAX(L83,M83)=0,"",MIN(L83,M83)/MAX(L83,M83))))),"")</f>
        <v/>
      </c>
      <c r="O83" s="67"/>
      <c r="P83" s="67"/>
      <c r="Q83" s="79" t="str">
        <f aca="false">IFERROR(IF(OR(O83="",P83=""),"",IF(Dashboard!$K$5="L",IF(P83=0,"",O83/P83),IF(Dashboard!$K$5="R",IF(O83=0,"",P83/O83),IF(MAX(O83,P83)=0,"",MIN(O83,P83)/MAX(O83,P83))))),"")</f>
        <v/>
      </c>
      <c r="R83" s="67"/>
      <c r="S83" s="83"/>
      <c r="T83" s="84" t="str">
        <f aca="false">IFERROR(IF(OR(R83="",S83=""),"",IF(Dashboard!$K$5="L",IF(S83=0,"",R83/S83),IF(Dashboard!$K$5="R",IF(R83=0,"",S83/R83),IF(MAX(R83,S83)=0,"",MIN(R83,S83)/MAX(R83,S83))))),"")</f>
        <v/>
      </c>
      <c r="U83" s="67"/>
      <c r="V83" s="67"/>
      <c r="W83" s="79" t="str">
        <f aca="false">IFERROR(IF(OR(U83="",V83=""),"",IF(Dashboard!$K$5="L",IF(V83=0,"",U83/V83),IF(Dashboard!$K$5="R",IF(U83=0,"",V83/U83),IF(MAX(U83,V83)=0,"",MIN(U83,V83)/MAX(U83,V83))))),"")</f>
        <v/>
      </c>
      <c r="X83" s="67"/>
      <c r="Y83" s="83"/>
      <c r="Z83" s="84" t="str">
        <f aca="false">IFERROR(IF(OR(X83="",Y83=""),"",IF(Dashboard!$K$5="L",IF(Y83=0,"",X83/Y83),IF(Dashboard!$K$5="R",IF(X83=0,"",Y83/X83),IF(MAX(X83,Y83)=0,"",MIN(X83,Y83)/MAX(X83,Y83))))),"")</f>
        <v/>
      </c>
      <c r="AA83" s="58"/>
    </row>
    <row r="84" customFormat="false" ht="18" hidden="false" customHeight="true" outlineLevel="0" collapsed="false">
      <c r="A84" s="77" t="s">
        <v>151</v>
      </c>
      <c r="B84" s="77"/>
      <c r="C84" s="77" t="n">
        <f aca="false">IF(COUNT(C72:C83)=0,"",INDEX(C72:C83,SUMPRODUCT(MAX(ISNUMBER(C72:C83)*(($A$72:$A$83)=SUMPRODUCT(MAX(ISNUMBER(C72:C83)*($A$72:$A$83))))*(ROW(C72:C83)-ROW(C$72)+1)))))</f>
        <v>27.5</v>
      </c>
      <c r="D84" s="77" t="str">
        <f aca="false">IF(COUNT(D72:D83)=0,"",INDEX(D72:D83,SUMPRODUCT(MAX(ISNUMBER(D72:D83)*(($A$72:$A$83)=SUMPRODUCT(MAX(ISNUMBER(D72:D83)*($A$72:$A$83))))*(ROW(D72:D83)-ROW(D$72)+1)))))</f>
        <v/>
      </c>
      <c r="E84" s="80" t="str">
        <f aca="false">IF(COUNT(E72:E83)=0,"",INDEX(E72:E83,SUMPRODUCT(MAX(ISNUMBER(E72:E83)*(($A$72:$A$83)=SUMPRODUCT(MAX(ISNUMBER(E72:E83)*($A$72:$A$83))))*(ROW(E72:E83)-ROW(E$72)+1)))))</f>
        <v/>
      </c>
      <c r="F84" s="77" t="n">
        <f aca="false">IF(COUNT(F72:F83)=0,"",INDEX(F72:F83,SUMPRODUCT(MAX(ISNUMBER(F72:F83)*(($A$72:$A$83)=SUMPRODUCT(MAX(ISNUMBER(F72:F83)*($A$72:$A$83))))*(ROW(F72:F83)-ROW(F$72)+1)))))</f>
        <v>14.2</v>
      </c>
      <c r="G84" s="77" t="n">
        <f aca="false">IF(COUNT(G72:G83)=0,"",INDEX(G72:G83,SUMPRODUCT(MAX(ISNUMBER(G72:G83)*(($A$72:$A$83)=SUMPRODUCT(MAX(ISNUMBER(G72:G83)*($A$72:$A$83))))*(ROW(G72:G83)-ROW(G$72)+1)))))</f>
        <v>19</v>
      </c>
      <c r="H84" s="80" t="n">
        <f aca="false">IF(COUNT(H72:H83)=0,"",INDEX(H72:H83,SUMPRODUCT(MAX(ISNUMBER(H72:H83)*(($A$72:$A$83)=SUMPRODUCT(MAX(ISNUMBER(H72:H83)*($A$72:$A$83))))*(ROW(H72:H83)-ROW(H$72)+1)))))</f>
        <v>0.747368421052632</v>
      </c>
      <c r="I84" s="77" t="n">
        <f aca="false">IF(COUNT(I72:I83)=0,"",INDEX(I72:I83,SUMPRODUCT(MAX(ISNUMBER(I72:I83)*(($A$72:$A$83)=SUMPRODUCT(MAX(ISNUMBER(I72:I83)*($A$72:$A$83))))*(ROW(I72:I83)-ROW(I$72)+1)))))</f>
        <v>128</v>
      </c>
      <c r="J84" s="77" t="n">
        <f aca="false">IF(COUNT(J72:J83)=0,"",INDEX(J72:J83,SUMPRODUCT(MAX(ISNUMBER(J72:J83)*(($A$72:$A$83)=SUMPRODUCT(MAX(ISNUMBER(J72:J83)*($A$72:$A$83))))*(ROW(J72:J83)-ROW(J$72)+1)))))</f>
        <v>160</v>
      </c>
      <c r="K84" s="80" t="n">
        <f aca="false">IF(COUNT(K72:K83)=0,"",INDEX(K72:K83,SUMPRODUCT(MAX(ISNUMBER(K72:K83)*(($A$72:$A$83)=SUMPRODUCT(MAX(ISNUMBER(K72:K83)*($A$72:$A$83))))*(ROW(K72:K83)-ROW(K$72)+1)))))</f>
        <v>0.8</v>
      </c>
      <c r="L84" s="77" t="str">
        <f aca="false">IF(COUNT(L72:L83)=0,"",INDEX(L72:L83,SUMPRODUCT(MAX(ISNUMBER(L72:L83)*(($A$72:$A$83)=SUMPRODUCT(MAX(ISNUMBER(L72:L83)*($A$72:$A$83))))*(ROW(L72:L83)-ROW(L$72)+1)))))</f>
        <v/>
      </c>
      <c r="M84" s="77" t="str">
        <f aca="false">IF(COUNT(M72:M83)=0,"",INDEX(M72:M83,SUMPRODUCT(MAX(ISNUMBER(M72:M83)*(($A$72:$A$83)=SUMPRODUCT(MAX(ISNUMBER(M72:M83)*($A$72:$A$83))))*(ROW(M72:M83)-ROW(M$72)+1)))))</f>
        <v/>
      </c>
      <c r="N84" s="80" t="str">
        <f aca="false">IF(COUNT(N72:N83)=0,"",INDEX(N72:N83,SUMPRODUCT(MAX(ISNUMBER(N72:N83)*(($A$72:$A$83)=SUMPRODUCT(MAX(ISNUMBER(N72:N83)*($A$72:$A$83))))*(ROW(N72:N83)-ROW(N$72)+1)))))</f>
        <v/>
      </c>
      <c r="O84" s="77" t="str">
        <f aca="false">IF(COUNT(O72:O83)=0,"",INDEX(O72:O83,SUMPRODUCT(MAX(ISNUMBER(O72:O83)*(($A$72:$A$83)=SUMPRODUCT(MAX(ISNUMBER(O72:O83)*($A$72:$A$83))))*(ROW(O72:O83)-ROW(O$72)+1)))))</f>
        <v/>
      </c>
      <c r="P84" s="77" t="str">
        <f aca="false">IF(COUNT(P72:P83)=0,"",INDEX(P72:P83,SUMPRODUCT(MAX(ISNUMBER(P72:P83)*(($A$72:$A$83)=SUMPRODUCT(MAX(ISNUMBER(P72:P83)*($A$72:$A$83))))*(ROW(P72:P83)-ROW(P$72)+1)))))</f>
        <v/>
      </c>
      <c r="Q84" s="80" t="str">
        <f aca="false">IF(COUNT(Q72:Q83)=0,"",INDEX(Q72:Q83,SUMPRODUCT(MAX(ISNUMBER(Q72:Q83)*(($A$72:$A$83)=SUMPRODUCT(MAX(ISNUMBER(Q72:Q83)*($A$72:$A$83))))*(ROW(Q72:Q83)-ROW(Q$72)+1)))))</f>
        <v/>
      </c>
      <c r="R84" s="77" t="n">
        <f aca="false">IF(COUNT(R72:R83)=0,"",INDEX(R72:R83,SUMPRODUCT(MAX(ISNUMBER(R72:R83)*(($A$72:$A$83)=SUMPRODUCT(MAX(ISNUMBER(R72:R83)*($A$72:$A$83))))*(ROW(R72:R83)-ROW(R$72)+1)))))</f>
        <v>1.62</v>
      </c>
      <c r="S84" s="77" t="str">
        <f aca="false">IF(COUNT(S72:S83)=0,"",INDEX(S72:S83,SUMPRODUCT(MAX(ISNUMBER(S72:S83)*(($A$72:$A$83)=SUMPRODUCT(MAX(ISNUMBER(S72:S83)*($A$72:$A$83))))*(ROW(S72:S83)-ROW(S$72)+1)))))</f>
        <v/>
      </c>
      <c r="T84" s="80" t="str">
        <f aca="false">IF(COUNT(T72:T83)=0,"",INDEX(T72:T83,SUMPRODUCT(MAX(ISNUMBER(T72:T83)*(($A$72:$A$83)=SUMPRODUCT(MAX(ISNUMBER(T72:T83)*($A$72:$A$83))))*(ROW(T72:T83)-ROW(T$72)+1)))))</f>
        <v/>
      </c>
      <c r="U84" s="77" t="str">
        <f aca="false">IF(COUNT(U72:U83)=0,"",INDEX(U72:U83,SUMPRODUCT(MAX(ISNUMBER(U72:U83)*(($A$72:$A$83)=SUMPRODUCT(MAX(ISNUMBER(U72:U83)*($A$72:$A$83))))*(ROW(U72:U83)-ROW(U$72)+1)))))</f>
        <v/>
      </c>
      <c r="V84" s="77" t="str">
        <f aca="false">IF(COUNT(V72:V83)=0,"",INDEX(V72:V83,SUMPRODUCT(MAX(ISNUMBER(V72:V83)*(($A$72:$A$83)=SUMPRODUCT(MAX(ISNUMBER(V72:V83)*($A$72:$A$83))))*(ROW(V72:V83)-ROW(V$72)+1)))))</f>
        <v/>
      </c>
      <c r="W84" s="80" t="str">
        <f aca="false">IF(COUNT(W72:W83)=0,"",INDEX(W72:W83,SUMPRODUCT(MAX(ISNUMBER(W72:W83)*(($A$72:$A$83)=SUMPRODUCT(MAX(ISNUMBER(W72:W83)*($A$72:$A$83))))*(ROW(W72:W83)-ROW(W$72)+1)))))</f>
        <v/>
      </c>
      <c r="X84" s="77" t="n">
        <f aca="false">IF(COUNT(X72:X83)=0,"",INDEX(X72:X83,SUMPRODUCT(MAX(ISNUMBER(X72:X83)*(($A$72:$A$83)=SUMPRODUCT(MAX(ISNUMBER(X72:X83)*($A$72:$A$83))))*(ROW(X72:X83)-ROW(X$72)+1)))))</f>
        <v>1.85</v>
      </c>
      <c r="Y84" s="77" t="str">
        <f aca="false">IF(COUNT(Y72:Y83)=0,"",INDEX(Y72:Y83,SUMPRODUCT(MAX(ISNUMBER(Y72:Y83)*(($A$72:$A$83)=SUMPRODUCT(MAX(ISNUMBER(Y72:Y83)*($A$72:$A$83))))*(ROW(Y72:Y83)-ROW(Y$72)+1)))))</f>
        <v/>
      </c>
      <c r="Z84" s="80" t="str">
        <f aca="false">IF(COUNT(Z72:Z83)=0,"",INDEX(Z72:Z83,SUMPRODUCT(MAX(ISNUMBER(Z72:Z83)*(($A$72:$A$83)=SUMPRODUCT(MAX(ISNUMBER(Z72:Z83)*($A$72:$A$83))))*(ROW(Z72:Z83)-ROW(Z$72)+1)))))</f>
        <v/>
      </c>
      <c r="AA84" s="81" t="s">
        <v>152</v>
      </c>
    </row>
    <row r="85" customFormat="false" ht="15" hidden="false" customHeight="true" outlineLevel="0" collapsed="false">
      <c r="A85" s="65" t="s">
        <v>153</v>
      </c>
      <c r="B85" s="65"/>
      <c r="C85" s="70" t="n">
        <f aca="false">IF(OR(COUNT(C72:C83)=0,SUMPRODUCT(MAX(ISNUMBER(C72:C83)*($A$72:$A$83)))=0),"",SUMPRODUCT(MAX(ISNUMBER(C72:C83)*($A$72:$A$83))))</f>
        <v>46307</v>
      </c>
      <c r="D85" s="70"/>
      <c r="E85" s="70"/>
      <c r="F85" s="70" t="n">
        <f aca="false">IF(OR(COUNT(F72:F83)=0,SUMPRODUCT(MAX(ISNUMBER(F72:F83)*($A$72:$A$83)))=0),"",SUMPRODUCT(MAX(ISNUMBER(F72:F83)*($A$72:$A$83))))</f>
        <v>46307</v>
      </c>
      <c r="G85" s="70"/>
      <c r="H85" s="70"/>
      <c r="I85" s="70" t="n">
        <f aca="false">IF(OR(COUNT(I72:I83)=0,SUMPRODUCT(MAX(ISNUMBER(I72:I83)*($A$72:$A$83)))=0),"",SUMPRODUCT(MAX(ISNUMBER(I72:I83)*($A$72:$A$83))))</f>
        <v>46307</v>
      </c>
      <c r="J85" s="70"/>
      <c r="K85" s="70"/>
      <c r="L85" s="70" t="str">
        <f aca="false">IF(OR(COUNT(L72:L83)=0,SUMPRODUCT(MAX(ISNUMBER(L72:L83)*($A$72:$A$83)))=0),"",SUMPRODUCT(MAX(ISNUMBER(L72:L83)*($A$72:$A$83))))</f>
        <v/>
      </c>
      <c r="M85" s="70"/>
      <c r="N85" s="70"/>
      <c r="O85" s="70" t="str">
        <f aca="false">IF(OR(COUNT(O72:O83)=0,SUMPRODUCT(MAX(ISNUMBER(O72:O83)*($A$72:$A$83)))=0),"",SUMPRODUCT(MAX(ISNUMBER(O72:O83)*($A$72:$A$83))))</f>
        <v/>
      </c>
      <c r="P85" s="70"/>
      <c r="Q85" s="70"/>
      <c r="R85" s="70" t="n">
        <f aca="false">IF(OR(COUNT(R72:R83)=0,SUMPRODUCT(MAX(ISNUMBER(R72:R83)*($A$72:$A$83)))=0),"",SUMPRODUCT(MAX(ISNUMBER(R72:R83)*($A$72:$A$83))))</f>
        <v>46307</v>
      </c>
      <c r="S85" s="70"/>
      <c r="T85" s="70"/>
      <c r="U85" s="70" t="str">
        <f aca="false">IF(OR(COUNT(U72:U83)=0,SUMPRODUCT(MAX(ISNUMBER(U72:U83)*($A$72:$A$83)))=0),"",SUMPRODUCT(MAX(ISNUMBER(U72:U83)*($A$72:$A$83))))</f>
        <v/>
      </c>
      <c r="V85" s="70"/>
      <c r="W85" s="70"/>
      <c r="X85" s="70" t="n">
        <f aca="false">IF(OR(COUNT(X72:X83)=0,SUMPRODUCT(MAX(ISNUMBER(X72:X83)*($A$72:$A$83)))=0),"",SUMPRODUCT(MAX(ISNUMBER(X72:X83)*($A$72:$A$83))))</f>
        <v>46307</v>
      </c>
      <c r="Y85" s="70"/>
      <c r="Z85" s="70"/>
      <c r="AA85" s="82"/>
    </row>
    <row r="87" customFormat="false" ht="15" hidden="false" customHeight="true" outlineLevel="0" collapsed="false">
      <c r="A87" s="54" t="s">
        <v>168</v>
      </c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</row>
    <row r="107" customFormat="false" ht="19.5" hidden="false" customHeight="true" outlineLevel="0" collapsed="false">
      <c r="A107" s="62" t="s">
        <v>169</v>
      </c>
      <c r="B107" s="62"/>
      <c r="C107" s="62"/>
      <c r="D107" s="62"/>
      <c r="E107" s="62"/>
      <c r="F107" s="62"/>
      <c r="G107" s="62"/>
      <c r="H107" s="62"/>
      <c r="I107" s="62"/>
      <c r="J107" s="62"/>
    </row>
    <row r="108" customFormat="false" ht="18" hidden="false" customHeight="true" outlineLevel="0" collapsed="false">
      <c r="A108" s="33" t="s">
        <v>170</v>
      </c>
      <c r="B108" s="33" t="s">
        <v>46</v>
      </c>
      <c r="C108" s="33" t="s">
        <v>47</v>
      </c>
      <c r="D108" s="33"/>
      <c r="E108" s="33" t="s">
        <v>171</v>
      </c>
      <c r="F108" s="33" t="s">
        <v>172</v>
      </c>
      <c r="G108" s="33" t="s">
        <v>173</v>
      </c>
      <c r="H108" s="33" t="s">
        <v>174</v>
      </c>
      <c r="I108" s="33" t="s">
        <v>175</v>
      </c>
      <c r="J108" s="33" t="s">
        <v>52</v>
      </c>
      <c r="K108" s="33" t="s">
        <v>176</v>
      </c>
      <c r="L108" s="33" t="s">
        <v>177</v>
      </c>
    </row>
    <row r="109" customFormat="false" ht="13.5" hidden="false" customHeight="true" outlineLevel="0" collapsed="false">
      <c r="A109" s="57" t="n">
        <v>1</v>
      </c>
      <c r="B109" s="73" t="s">
        <v>178</v>
      </c>
      <c r="C109" s="73" t="str">
        <f aca="false">C34</f>
        <v>Knee Flexion (°)</v>
      </c>
      <c r="D109" s="73"/>
      <c r="E109" s="85" t="b">
        <f aca="false">AND(C109&lt;&gt;"",LEFT(C109,1)&lt;&gt;"(")</f>
        <v>1</v>
      </c>
      <c r="F109" s="57" t="n">
        <f aca="false">IF(E109,COUNTIF($E$109:E109,TRUE()),"")</f>
        <v>1</v>
      </c>
      <c r="G109" s="57" t="n">
        <f aca="false">C48</f>
        <v>135</v>
      </c>
      <c r="H109" s="57" t="n">
        <f aca="false">D48</f>
        <v>141</v>
      </c>
      <c r="I109" s="86" t="n">
        <f aca="false">E48</f>
        <v>0.957446808510638</v>
      </c>
      <c r="J109" s="87" t="n">
        <f aca="false">C49</f>
        <v>46286</v>
      </c>
      <c r="K109" s="57" t="str">
        <f aca="false">IFERROR(IF(COUNT($E$36:$E$47)&lt;2,"",TEXT((E48-INDEX($E$36:$E$47,SUMPRODUCT(MAX(ISNUMBER($E$36:$E$47)*(($A$36:$A$47)=SUMPRODUCT(LARGE(ISNUMBER($E$36:$E$47)*($A$36:$A$47),2)))*(ROW($E$36:$E$47)-ROW($E$36)+1)))))*100,"+0;-0;0")&amp;" pts"),"")</f>
        <v>+11 pts</v>
      </c>
      <c r="L109" s="73" t="s">
        <v>107</v>
      </c>
    </row>
    <row r="110" customFormat="false" ht="13.5" hidden="false" customHeight="true" outlineLevel="0" collapsed="false">
      <c r="A110" s="57" t="n">
        <v>2</v>
      </c>
      <c r="B110" s="73" t="s">
        <v>178</v>
      </c>
      <c r="C110" s="73" t="str">
        <f aca="false">F34</f>
        <v>Knee Extension (° hyperext = +)</v>
      </c>
      <c r="D110" s="73"/>
      <c r="E110" s="85" t="b">
        <f aca="false">AND(C110&lt;&gt;"",LEFT(C110,1)&lt;&gt;"(")</f>
        <v>1</v>
      </c>
      <c r="F110" s="57" t="n">
        <f aca="false">IF(E110,COUNTIF($E$109:E110,TRUE()),"")</f>
        <v>2</v>
      </c>
      <c r="G110" s="57" t="n">
        <f aca="false">F48</f>
        <v>3</v>
      </c>
      <c r="H110" s="57" t="n">
        <f aca="false">G48</f>
        <v>3</v>
      </c>
      <c r="I110" s="86" t="n">
        <f aca="false">H48</f>
        <v>1</v>
      </c>
      <c r="J110" s="87" t="n">
        <f aca="false">F49</f>
        <v>46286</v>
      </c>
      <c r="K110" s="57" t="str">
        <f aca="false">IFERROR(IF(COUNT($H$36:$H$47)&lt;2,"",TEXT((H48-INDEX($H$36:$H$47,SUMPRODUCT(MAX(ISNUMBER($H$36:$H$47)*(($A$36:$A$47)=SUMPRODUCT(LARGE(ISNUMBER($H$36:$H$47)*($A$36:$A$47),2)))*(ROW($H$36:$H$47)-ROW($H$36)+1)))))*100,"+0;-0;0")&amp;" pts"),"")</f>
        <v>+33 pts</v>
      </c>
      <c r="L110" s="73" t="s">
        <v>130</v>
      </c>
    </row>
    <row r="111" customFormat="false" ht="13.5" hidden="false" customHeight="true" outlineLevel="0" collapsed="false">
      <c r="A111" s="57" t="n">
        <v>3</v>
      </c>
      <c r="B111" s="73" t="s">
        <v>178</v>
      </c>
      <c r="C111" s="73" t="str">
        <f aca="false">I34</f>
        <v>Ankle DF Knee-to-Wall (cm)</v>
      </c>
      <c r="D111" s="73"/>
      <c r="E111" s="85" t="b">
        <f aca="false">AND(C111&lt;&gt;"",LEFT(C111,1)&lt;&gt;"(")</f>
        <v>1</v>
      </c>
      <c r="F111" s="57" t="n">
        <f aca="false">IF(E111,COUNTIF($E$109:E111,TRUE()),"")</f>
        <v>3</v>
      </c>
      <c r="G111" s="57" t="n">
        <f aca="false">I48</f>
        <v>11</v>
      </c>
      <c r="H111" s="57" t="n">
        <f aca="false">J48</f>
        <v>12</v>
      </c>
      <c r="I111" s="86" t="n">
        <f aca="false">K48</f>
        <v>0.916666666666667</v>
      </c>
      <c r="J111" s="87" t="n">
        <f aca="false">I49</f>
        <v>46286</v>
      </c>
      <c r="K111" s="57" t="str">
        <f aca="false">IFERROR(IF(COUNT($K$36:$K$47)&lt;2,"",TEXT((K48-INDEX($K$36:$K$47,SUMPRODUCT(MAX(ISNUMBER($K$36:$K$47)*(($A$36:$A$47)=SUMPRODUCT(LARGE(ISNUMBER($K$36:$K$47)*($A$36:$A$47),2)))*(ROW($K$36:$K$47)-ROW($K$36)+1)))))*100,"+0;-0;0")&amp;" pts"),"")</f>
        <v>+13 pts</v>
      </c>
      <c r="L111" s="73" t="s">
        <v>132</v>
      </c>
    </row>
    <row r="112" customFormat="false" ht="13.5" hidden="false" customHeight="true" outlineLevel="0" collapsed="false">
      <c r="A112" s="57" t="n">
        <v>4</v>
      </c>
      <c r="B112" s="73" t="s">
        <v>178</v>
      </c>
      <c r="C112" s="73" t="str">
        <f aca="false">L34</f>
        <v>Thigh Circumference 10 cm (cm)</v>
      </c>
      <c r="D112" s="73"/>
      <c r="E112" s="85" t="b">
        <f aca="false">AND(C112&lt;&gt;"",LEFT(C112,1)&lt;&gt;"(")</f>
        <v>1</v>
      </c>
      <c r="F112" s="57" t="n">
        <f aca="false">IF(E112,COUNTIF($E$109:E112,TRUE()),"")</f>
        <v>4</v>
      </c>
      <c r="G112" s="57" t="n">
        <f aca="false">L48</f>
        <v>45.5</v>
      </c>
      <c r="H112" s="57" t="n">
        <f aca="false">M48</f>
        <v>47</v>
      </c>
      <c r="I112" s="86" t="n">
        <f aca="false">N48</f>
        <v>0.968085106382979</v>
      </c>
      <c r="J112" s="87" t="n">
        <f aca="false">L49</f>
        <v>46286</v>
      </c>
      <c r="K112" s="57" t="str">
        <f aca="false">IFERROR(IF(COUNT($N$36:$N$47)&lt;2,"",TEXT((N48-INDEX($N$36:$N$47,SUMPRODUCT(MAX(ISNUMBER($N$36:$N$47)*(($A$36:$A$47)=SUMPRODUCT(LARGE(ISNUMBER($N$36:$N$47)*($A$36:$A$47),2)))*(ROW($N$36:$N$47)-ROW($N$36)+1)))))*100,"+0;-0;0")&amp;" pts"),"")</f>
        <v>+2 pts</v>
      </c>
      <c r="L112" s="73" t="s">
        <v>137</v>
      </c>
    </row>
    <row r="113" customFormat="false" ht="13.5" hidden="false" customHeight="true" outlineLevel="0" collapsed="false">
      <c r="A113" s="57" t="n">
        <v>5</v>
      </c>
      <c r="B113" s="73" t="s">
        <v>178</v>
      </c>
      <c r="C113" s="73" t="str">
        <f aca="false">O34</f>
        <v>(spare slot — rename)</v>
      </c>
      <c r="D113" s="73"/>
      <c r="E113" s="85" t="b">
        <f aca="false">AND(C113&lt;&gt;"",LEFT(C113,1)&lt;&gt;"(")</f>
        <v>0</v>
      </c>
      <c r="F113" s="57" t="str">
        <f aca="false">IF(E113,COUNTIF($E$109:E113,TRUE()),"")</f>
        <v/>
      </c>
      <c r="G113" s="57" t="str">
        <f aca="false">O48</f>
        <v/>
      </c>
      <c r="H113" s="57" t="str">
        <f aca="false">P48</f>
        <v/>
      </c>
      <c r="I113" s="86" t="str">
        <f aca="false">Q48</f>
        <v/>
      </c>
      <c r="J113" s="87" t="str">
        <f aca="false">O49</f>
        <v/>
      </c>
      <c r="K113" s="57" t="str">
        <f aca="false">IFERROR(IF(COUNT($Q$36:$Q$47)&lt;2,"",TEXT((Q48-INDEX($Q$36:$Q$47,SUMPRODUCT(MAX(ISNUMBER($Q$36:$Q$47)*(($A$36:$A$47)=SUMPRODUCT(LARGE(ISNUMBER($Q$36:$Q$47)*($A$36:$A$47),2)))*(ROW($Q$36:$Q$47)-ROW($Q$36)+1)))))*100,"+0;-0;0")&amp;" pts"),"")</f>
        <v/>
      </c>
      <c r="L113" s="73" t="s">
        <v>179</v>
      </c>
    </row>
    <row r="114" customFormat="false" ht="13.5" hidden="false" customHeight="true" outlineLevel="0" collapsed="false">
      <c r="A114" s="57" t="n">
        <v>6</v>
      </c>
      <c r="B114" s="73" t="s">
        <v>178</v>
      </c>
      <c r="C114" s="73" t="str">
        <f aca="false">R34</f>
        <v>(spare slot — rename)</v>
      </c>
      <c r="D114" s="73"/>
      <c r="E114" s="85" t="b">
        <f aca="false">AND(C114&lt;&gt;"",LEFT(C114,1)&lt;&gt;"(")</f>
        <v>0</v>
      </c>
      <c r="F114" s="57" t="str">
        <f aca="false">IF(E114,COUNTIF($E$109:E114,TRUE()),"")</f>
        <v/>
      </c>
      <c r="G114" s="57" t="str">
        <f aca="false">R48</f>
        <v/>
      </c>
      <c r="H114" s="57" t="str">
        <f aca="false">S48</f>
        <v/>
      </c>
      <c r="I114" s="86" t="str">
        <f aca="false">T48</f>
        <v/>
      </c>
      <c r="J114" s="87" t="str">
        <f aca="false">R49</f>
        <v/>
      </c>
      <c r="K114" s="57" t="str">
        <f aca="false">IFERROR(IF(COUNT($T$36:$T$47)&lt;2,"",TEXT((T48-INDEX($T$36:$T$47,SUMPRODUCT(MAX(ISNUMBER($T$36:$T$47)*(($A$36:$A$47)=SUMPRODUCT(LARGE(ISNUMBER($T$36:$T$47)*($A$36:$A$47),2)))*(ROW($T$36:$T$47)-ROW($T$36)+1)))))*100,"+0;-0;0")&amp;" pts"),"")</f>
        <v/>
      </c>
      <c r="L114" s="73" t="s">
        <v>180</v>
      </c>
    </row>
    <row r="115" customFormat="false" ht="13.5" hidden="false" customHeight="true" outlineLevel="0" collapsed="false">
      <c r="A115" s="57" t="n">
        <v>7</v>
      </c>
      <c r="B115" s="73" t="s">
        <v>178</v>
      </c>
      <c r="C115" s="73" t="str">
        <f aca="false">U34</f>
        <v>(spare slot — rename)</v>
      </c>
      <c r="D115" s="73"/>
      <c r="E115" s="85" t="b">
        <f aca="false">AND(C115&lt;&gt;"",LEFT(C115,1)&lt;&gt;"(")</f>
        <v>0</v>
      </c>
      <c r="F115" s="57" t="str">
        <f aca="false">IF(E115,COUNTIF($E$109:E115,TRUE()),"")</f>
        <v/>
      </c>
      <c r="G115" s="57" t="str">
        <f aca="false">U48</f>
        <v/>
      </c>
      <c r="H115" s="57" t="str">
        <f aca="false">V48</f>
        <v/>
      </c>
      <c r="I115" s="86" t="str">
        <f aca="false">W48</f>
        <v/>
      </c>
      <c r="J115" s="87" t="str">
        <f aca="false">U49</f>
        <v/>
      </c>
      <c r="K115" s="57" t="str">
        <f aca="false">IFERROR(IF(COUNT($W$36:$W$47)&lt;2,"",TEXT((W48-INDEX($W$36:$W$47,SUMPRODUCT(MAX(ISNUMBER($W$36:$W$47)*(($A$36:$A$47)=SUMPRODUCT(LARGE(ISNUMBER($W$36:$W$47)*($A$36:$A$47),2)))*(ROW($W$36:$W$47)-ROW($W$36)+1)))))*100,"+0;-0;0")&amp;" pts"),"")</f>
        <v/>
      </c>
      <c r="L115" s="73" t="s">
        <v>181</v>
      </c>
    </row>
    <row r="116" customFormat="false" ht="13.5" hidden="false" customHeight="true" outlineLevel="0" collapsed="false">
      <c r="A116" s="57" t="n">
        <v>8</v>
      </c>
      <c r="B116" s="73" t="s">
        <v>178</v>
      </c>
      <c r="C116" s="73" t="str">
        <f aca="false">X34</f>
        <v>(spare slot — rename)</v>
      </c>
      <c r="D116" s="73"/>
      <c r="E116" s="85" t="b">
        <f aca="false">AND(C116&lt;&gt;"",LEFT(C116,1)&lt;&gt;"(")</f>
        <v>0</v>
      </c>
      <c r="F116" s="57" t="str">
        <f aca="false">IF(E116,COUNTIF($E$109:E116,TRUE()),"")</f>
        <v/>
      </c>
      <c r="G116" s="57" t="str">
        <f aca="false">X48</f>
        <v/>
      </c>
      <c r="H116" s="57" t="str">
        <f aca="false">Y48</f>
        <v/>
      </c>
      <c r="I116" s="86" t="str">
        <f aca="false">Z48</f>
        <v/>
      </c>
      <c r="J116" s="87" t="str">
        <f aca="false">X49</f>
        <v/>
      </c>
      <c r="K116" s="57" t="str">
        <f aca="false">IFERROR(IF(COUNT($Z$36:$Z$47)&lt;2,"",TEXT((Z48-INDEX($Z$36:$Z$47,SUMPRODUCT(MAX(ISNUMBER($Z$36:$Z$47)*(($A$36:$A$47)=SUMPRODUCT(LARGE(ISNUMBER($Z$36:$Z$47)*($A$36:$A$47),2)))*(ROW($Z$36:$Z$47)-ROW($Z$36)+1)))))*100,"+0;-0;0")&amp;" pts"),"")</f>
        <v/>
      </c>
      <c r="L116" s="73" t="str">
        <f aca="false">C109</f>
        <v>Knee Flexion (°)</v>
      </c>
    </row>
    <row r="117" customFormat="false" ht="13.5" hidden="false" customHeight="true" outlineLevel="0" collapsed="false">
      <c r="A117" s="57" t="n">
        <v>9</v>
      </c>
      <c r="B117" s="73" t="s">
        <v>182</v>
      </c>
      <c r="C117" s="73" t="str">
        <f aca="false">C52</f>
        <v>Quadriceps Iso (N)</v>
      </c>
      <c r="D117" s="73"/>
      <c r="E117" s="85" t="b">
        <f aca="false">AND(C117&lt;&gt;"",LEFT(C117,1)&lt;&gt;"(")</f>
        <v>1</v>
      </c>
      <c r="F117" s="57" t="n">
        <f aca="false">IF(E117,COUNTIF($E$109:E117,TRUE()),"")</f>
        <v>5</v>
      </c>
      <c r="G117" s="57" t="n">
        <f aca="false">C66</f>
        <v>395</v>
      </c>
      <c r="H117" s="57" t="n">
        <f aca="false">D66</f>
        <v>490</v>
      </c>
      <c r="I117" s="86" t="n">
        <f aca="false">E66</f>
        <v>0.806122448979592</v>
      </c>
      <c r="J117" s="87" t="n">
        <f aca="false">C67</f>
        <v>46307</v>
      </c>
      <c r="K117" s="57" t="str">
        <f aca="false">IFERROR(IF(COUNT($E$54:$E$65)&lt;2,"",TEXT((E66-INDEX($E$54:$E$65,SUMPRODUCT(MAX(ISNUMBER($E$54:$E$65)*(($A$54:$A$65)=SUMPRODUCT(LARGE(ISNUMBER($E$54:$E$65)*($A$54:$A$65),2)))*(ROW($E$54:$E$65)-ROW($E$54)+1)))))*100,"+0;-0;0")&amp;" pts"),"")</f>
        <v>+16 pts</v>
      </c>
      <c r="L117" s="73" t="str">
        <f aca="false">C110</f>
        <v>Knee Extension (° hyperext = +)</v>
      </c>
    </row>
    <row r="118" customFormat="false" ht="13.5" hidden="false" customHeight="true" outlineLevel="0" collapsed="false">
      <c r="A118" s="57" t="n">
        <v>10</v>
      </c>
      <c r="B118" s="73" t="s">
        <v>182</v>
      </c>
      <c r="C118" s="73" t="str">
        <f aca="false">F52</f>
        <v>Hamstrings Iso / NordBord (N)</v>
      </c>
      <c r="D118" s="73"/>
      <c r="E118" s="85" t="b">
        <f aca="false">AND(C118&lt;&gt;"",LEFT(C118,1)&lt;&gt;"(")</f>
        <v>1</v>
      </c>
      <c r="F118" s="57" t="n">
        <f aca="false">IF(E118,COUNTIF($E$109:E118,TRUE()),"")</f>
        <v>6</v>
      </c>
      <c r="G118" s="57" t="n">
        <f aca="false">F66</f>
        <v>281</v>
      </c>
      <c r="H118" s="57" t="n">
        <f aca="false">G66</f>
        <v>305</v>
      </c>
      <c r="I118" s="86" t="n">
        <f aca="false">H66</f>
        <v>0.921311475409836</v>
      </c>
      <c r="J118" s="87" t="n">
        <f aca="false">F67</f>
        <v>46307</v>
      </c>
      <c r="K118" s="57" t="str">
        <f aca="false">IFERROR(IF(COUNT($H$54:$H$65)&lt;2,"",TEXT((H66-INDEX($H$54:$H$65,SUMPRODUCT(MAX(ISNUMBER($H$54:$H$65)*(($A$54:$A$65)=SUMPRODUCT(LARGE(ISNUMBER($H$54:$H$65)*($A$54:$A$65),2)))*(ROW($H$54:$H$65)-ROW($H$54)+1)))))*100,"+0;-0;0")&amp;" pts"),"")</f>
        <v>+7 pts</v>
      </c>
      <c r="L118" s="73" t="str">
        <f aca="false">C111</f>
        <v>Ankle DF Knee-to-Wall (cm)</v>
      </c>
    </row>
    <row r="119" customFormat="false" ht="13.5" hidden="false" customHeight="true" outlineLevel="0" collapsed="false">
      <c r="A119" s="57" t="n">
        <v>11</v>
      </c>
      <c r="B119" s="73" t="s">
        <v>182</v>
      </c>
      <c r="C119" s="73" t="str">
        <f aca="false">I52</f>
        <v>Calf Iso (N)</v>
      </c>
      <c r="D119" s="73"/>
      <c r="E119" s="85" t="b">
        <f aca="false">AND(C119&lt;&gt;"",LEFT(C119,1)&lt;&gt;"(")</f>
        <v>1</v>
      </c>
      <c r="F119" s="57" t="n">
        <f aca="false">IF(E119,COUNTIF($E$109:E119,TRUE()),"")</f>
        <v>7</v>
      </c>
      <c r="G119" s="57" t="n">
        <f aca="false">I66</f>
        <v>1380</v>
      </c>
      <c r="H119" s="57" t="n">
        <f aca="false">J66</f>
        <v>1520</v>
      </c>
      <c r="I119" s="86" t="n">
        <f aca="false">K66</f>
        <v>0.907894736842105</v>
      </c>
      <c r="J119" s="87" t="n">
        <f aca="false">I67</f>
        <v>46307</v>
      </c>
      <c r="K119" s="57" t="str">
        <f aca="false">IFERROR(IF(COUNT($K$54:$K$65)&lt;2,"",TEXT((K66-INDEX($K$54:$K$65,SUMPRODUCT(MAX(ISNUMBER($K$54:$K$65)*(($A$54:$A$65)=SUMPRODUCT(LARGE(ISNUMBER($K$54:$K$65)*($A$54:$A$65),2)))*(ROW($K$54:$K$65)-ROW($K$54)+1)))))*100,"+0;-0;0")&amp;" pts"),"")</f>
        <v>+10 pts</v>
      </c>
      <c r="L119" s="73" t="str">
        <f aca="false">C112</f>
        <v>Thigh Circumference 10 cm (cm)</v>
      </c>
    </row>
    <row r="120" customFormat="false" ht="13.5" hidden="false" customHeight="true" outlineLevel="0" collapsed="false">
      <c r="A120" s="57" t="n">
        <v>12</v>
      </c>
      <c r="B120" s="73" t="s">
        <v>182</v>
      </c>
      <c r="C120" s="73" t="str">
        <f aca="false">L52</f>
        <v>Iso Hip Abduction (N)</v>
      </c>
      <c r="D120" s="73"/>
      <c r="E120" s="85" t="b">
        <f aca="false">AND(C120&lt;&gt;"",LEFT(C120,1)&lt;&gt;"(")</f>
        <v>1</v>
      </c>
      <c r="F120" s="57" t="n">
        <f aca="false">IF(E120,COUNTIF($E$109:E120,TRUE()),"")</f>
        <v>8</v>
      </c>
      <c r="G120" s="57" t="n">
        <f aca="false">L66</f>
        <v>272</v>
      </c>
      <c r="H120" s="57" t="n">
        <f aca="false">M66</f>
        <v>285</v>
      </c>
      <c r="I120" s="86" t="n">
        <f aca="false">N66</f>
        <v>0.954385964912281</v>
      </c>
      <c r="J120" s="87" t="n">
        <f aca="false">L67</f>
        <v>46307</v>
      </c>
      <c r="K120" s="57" t="str">
        <f aca="false">IFERROR(IF(COUNT($N$54:$N$65)&lt;2,"",TEXT((N66-INDEX($N$54:$N$65,SUMPRODUCT(MAX(ISNUMBER($N$54:$N$65)*(($A$54:$A$65)=SUMPRODUCT(LARGE(ISNUMBER($N$54:$N$65)*($A$54:$A$65),2)))*(ROW($N$54:$N$65)-ROW($N$54)+1)))))*100,"+0;-0;0")&amp;" pts"),"")</f>
        <v>+3 pts</v>
      </c>
      <c r="L120" s="73" t="str">
        <f aca="false">C113</f>
        <v>(spare slot — rename)</v>
      </c>
    </row>
    <row r="121" customFormat="false" ht="13.5" hidden="false" customHeight="true" outlineLevel="0" collapsed="false">
      <c r="A121" s="57" t="n">
        <v>13</v>
      </c>
      <c r="B121" s="73" t="s">
        <v>182</v>
      </c>
      <c r="C121" s="73" t="str">
        <f aca="false">O52</f>
        <v>(spare slot — rename)</v>
      </c>
      <c r="D121" s="73"/>
      <c r="E121" s="85" t="b">
        <f aca="false">AND(C121&lt;&gt;"",LEFT(C121,1)&lt;&gt;"(")</f>
        <v>0</v>
      </c>
      <c r="F121" s="57" t="str">
        <f aca="false">IF(E121,COUNTIF($E$109:E121,TRUE()),"")</f>
        <v/>
      </c>
      <c r="G121" s="57" t="str">
        <f aca="false">O66</f>
        <v/>
      </c>
      <c r="H121" s="57" t="str">
        <f aca="false">P66</f>
        <v/>
      </c>
      <c r="I121" s="86" t="str">
        <f aca="false">Q66</f>
        <v/>
      </c>
      <c r="J121" s="87" t="str">
        <f aca="false">O67</f>
        <v/>
      </c>
      <c r="K121" s="57" t="str">
        <f aca="false">IFERROR(IF(COUNT($Q$54:$Q$65)&lt;2,"",TEXT((Q66-INDEX($Q$54:$Q$65,SUMPRODUCT(MAX(ISNUMBER($Q$54:$Q$65)*(($A$54:$A$65)=SUMPRODUCT(LARGE(ISNUMBER($Q$54:$Q$65)*($A$54:$A$65),2)))*(ROW($Q$54:$Q$65)-ROW($Q$54)+1)))))*100,"+0;-0;0")&amp;" pts"),"")</f>
        <v/>
      </c>
      <c r="L121" s="73" t="str">
        <f aca="false">C114</f>
        <v>(spare slot — rename)</v>
      </c>
    </row>
    <row r="122" customFormat="false" ht="13.5" hidden="false" customHeight="true" outlineLevel="0" collapsed="false">
      <c r="A122" s="57" t="n">
        <v>14</v>
      </c>
      <c r="B122" s="73" t="s">
        <v>182</v>
      </c>
      <c r="C122" s="73" t="str">
        <f aca="false">R52</f>
        <v>(spare slot — rename)</v>
      </c>
      <c r="D122" s="73"/>
      <c r="E122" s="85" t="b">
        <f aca="false">AND(C122&lt;&gt;"",LEFT(C122,1)&lt;&gt;"(")</f>
        <v>0</v>
      </c>
      <c r="F122" s="57" t="str">
        <f aca="false">IF(E122,COUNTIF($E$109:E122,TRUE()),"")</f>
        <v/>
      </c>
      <c r="G122" s="57" t="str">
        <f aca="false">R66</f>
        <v/>
      </c>
      <c r="H122" s="57" t="str">
        <f aca="false">S66</f>
        <v/>
      </c>
      <c r="I122" s="86" t="str">
        <f aca="false">T66</f>
        <v/>
      </c>
      <c r="J122" s="87" t="str">
        <f aca="false">R67</f>
        <v/>
      </c>
      <c r="K122" s="57" t="str">
        <f aca="false">IFERROR(IF(COUNT($T$54:$T$65)&lt;2,"",TEXT((T66-INDEX($T$54:$T$65,SUMPRODUCT(MAX(ISNUMBER($T$54:$T$65)*(($A$54:$A$65)=SUMPRODUCT(LARGE(ISNUMBER($T$54:$T$65)*($A$54:$A$65),2)))*(ROW($T$54:$T$65)-ROW($T$54)+1)))))*100,"+0;-0;0")&amp;" pts"),"")</f>
        <v/>
      </c>
      <c r="L122" s="73" t="str">
        <f aca="false">C115</f>
        <v>(spare slot — rename)</v>
      </c>
    </row>
    <row r="123" customFormat="false" ht="13.5" hidden="false" customHeight="true" outlineLevel="0" collapsed="false">
      <c r="A123" s="57" t="n">
        <v>15</v>
      </c>
      <c r="B123" s="73" t="s">
        <v>182</v>
      </c>
      <c r="C123" s="73" t="str">
        <f aca="false">U52</f>
        <v>(spare slot — rename)</v>
      </c>
      <c r="D123" s="73"/>
      <c r="E123" s="85" t="b">
        <f aca="false">AND(C123&lt;&gt;"",LEFT(C123,1)&lt;&gt;"(")</f>
        <v>0</v>
      </c>
      <c r="F123" s="57" t="str">
        <f aca="false">IF(E123,COUNTIF($E$109:E123,TRUE()),"")</f>
        <v/>
      </c>
      <c r="G123" s="57" t="str">
        <f aca="false">U66</f>
        <v/>
      </c>
      <c r="H123" s="57" t="str">
        <f aca="false">V66</f>
        <v/>
      </c>
      <c r="I123" s="86" t="str">
        <f aca="false">W66</f>
        <v/>
      </c>
      <c r="J123" s="87" t="str">
        <f aca="false">U67</f>
        <v/>
      </c>
      <c r="K123" s="57" t="str">
        <f aca="false">IFERROR(IF(COUNT($W$54:$W$65)&lt;2,"",TEXT((W66-INDEX($W$54:$W$65,SUMPRODUCT(MAX(ISNUMBER($W$54:$W$65)*(($A$54:$A$65)=SUMPRODUCT(LARGE(ISNUMBER($W$54:$W$65)*($A$54:$A$65),2)))*(ROW($W$54:$W$65)-ROW($W$54)+1)))))*100,"+0;-0;0")&amp;" pts"),"")</f>
        <v/>
      </c>
      <c r="L123" s="73" t="str">
        <f aca="false">C116</f>
        <v>(spare slot — rename)</v>
      </c>
    </row>
    <row r="124" customFormat="false" ht="13.5" hidden="false" customHeight="true" outlineLevel="0" collapsed="false">
      <c r="A124" s="57" t="n">
        <v>16</v>
      </c>
      <c r="B124" s="73" t="s">
        <v>182</v>
      </c>
      <c r="C124" s="73" t="str">
        <f aca="false">X52</f>
        <v>(spare slot — rename)</v>
      </c>
      <c r="D124" s="73"/>
      <c r="E124" s="85" t="b">
        <f aca="false">AND(C124&lt;&gt;"",LEFT(C124,1)&lt;&gt;"(")</f>
        <v>0</v>
      </c>
      <c r="F124" s="57" t="str">
        <f aca="false">IF(E124,COUNTIF($E$109:E124,TRUE()),"")</f>
        <v/>
      </c>
      <c r="G124" s="57" t="str">
        <f aca="false">X66</f>
        <v/>
      </c>
      <c r="H124" s="57" t="str">
        <f aca="false">Y66</f>
        <v/>
      </c>
      <c r="I124" s="86" t="str">
        <f aca="false">Z66</f>
        <v/>
      </c>
      <c r="J124" s="87" t="str">
        <f aca="false">X67</f>
        <v/>
      </c>
      <c r="K124" s="57" t="str">
        <f aca="false">IFERROR(IF(COUNT($Z$54:$Z$65)&lt;2,"",TEXT((Z66-INDEX($Z$54:$Z$65,SUMPRODUCT(MAX(ISNUMBER($Z$54:$Z$65)*(($A$54:$A$65)=SUMPRODUCT(LARGE(ISNUMBER($Z$54:$Z$65)*($A$54:$A$65),2)))*(ROW($Z$54:$Z$65)-ROW($Z$54)+1)))))*100,"+0;-0;0")&amp;" pts"),"")</f>
        <v/>
      </c>
      <c r="L124" s="73" t="str">
        <f aca="false">C117</f>
        <v>Quadriceps Iso (N)</v>
      </c>
    </row>
    <row r="125" customFormat="false" ht="13.5" hidden="false" customHeight="true" outlineLevel="0" collapsed="false">
      <c r="A125" s="57" t="n">
        <v>17</v>
      </c>
      <c r="B125" s="73" t="s">
        <v>183</v>
      </c>
      <c r="C125" s="73" t="str">
        <f aca="false">C70</f>
        <v>DL CMJ Height (cm)</v>
      </c>
      <c r="D125" s="73"/>
      <c r="E125" s="85" t="b">
        <f aca="false">AND(C125&lt;&gt;"",LEFT(C125,1)&lt;&gt;"(")</f>
        <v>1</v>
      </c>
      <c r="F125" s="57" t="n">
        <f aca="false">IF(E125,COUNTIF($E$109:E125,TRUE()),"")</f>
        <v>9</v>
      </c>
      <c r="G125" s="57" t="n">
        <f aca="false">C84</f>
        <v>27.5</v>
      </c>
      <c r="H125" s="57" t="str">
        <f aca="false">D84</f>
        <v/>
      </c>
      <c r="I125" s="86" t="str">
        <f aca="false">E84</f>
        <v/>
      </c>
      <c r="J125" s="87" t="n">
        <f aca="false">C85</f>
        <v>46307</v>
      </c>
      <c r="K125" s="57" t="str">
        <f aca="false">IFERROR(IF(COUNT($C$72:$C$83)&lt;2,"",TEXT(C84-INDEX($C$72:$C$83,SUMPRODUCT(MAX(ISNUMBER($C$72:$C$83)*(($A$72:$A$83)=SUMPRODUCT(LARGE(ISNUMBER($C$72:$C$83)*($A$72:$A$83),2)))*(ROW($C$72:$C$83)-ROW($C$72)+1)))),"+0.0;-0.0;0.0")),"")</f>
        <v/>
      </c>
      <c r="L125" s="73" t="str">
        <f aca="false">C118</f>
        <v>Hamstrings Iso / NordBord (N)</v>
      </c>
    </row>
    <row r="126" customFormat="false" ht="13.5" hidden="false" customHeight="true" outlineLevel="0" collapsed="false">
      <c r="A126" s="57" t="n">
        <v>18</v>
      </c>
      <c r="B126" s="73" t="s">
        <v>183</v>
      </c>
      <c r="C126" s="73" t="str">
        <f aca="false">F70</f>
        <v>SL CMJ Height (cm)</v>
      </c>
      <c r="D126" s="73"/>
      <c r="E126" s="85" t="b">
        <f aca="false">AND(C126&lt;&gt;"",LEFT(C126,1)&lt;&gt;"(")</f>
        <v>1</v>
      </c>
      <c r="F126" s="57" t="n">
        <f aca="false">IF(E126,COUNTIF($E$109:E126,TRUE()),"")</f>
        <v>10</v>
      </c>
      <c r="G126" s="57" t="n">
        <f aca="false">F84</f>
        <v>14.2</v>
      </c>
      <c r="H126" s="57" t="n">
        <f aca="false">G84</f>
        <v>19</v>
      </c>
      <c r="I126" s="86" t="n">
        <f aca="false">H84</f>
        <v>0.747368421052632</v>
      </c>
      <c r="J126" s="87" t="n">
        <f aca="false">F85</f>
        <v>46307</v>
      </c>
      <c r="K126" s="57" t="str">
        <f aca="false">IFERROR(IF(COUNT($H$72:$H$83)&lt;2,"",TEXT((H84-INDEX($H$72:$H$83,SUMPRODUCT(MAX(ISNUMBER($H$72:$H$83)*(($A$72:$A$83)=SUMPRODUCT(LARGE(ISNUMBER($H$72:$H$83)*($A$72:$A$83),2)))*(ROW($H$72:$H$83)-ROW($H$72)+1)))))*100,"+0;-0;0")&amp;" pts"),"")</f>
        <v/>
      </c>
      <c r="L126" s="73" t="str">
        <f aca="false">C119</f>
        <v>Calf Iso (N)</v>
      </c>
    </row>
    <row r="127" customFormat="false" ht="13.5" hidden="false" customHeight="true" outlineLevel="0" collapsed="false">
      <c r="A127" s="57" t="n">
        <v>19</v>
      </c>
      <c r="B127" s="73" t="s">
        <v>183</v>
      </c>
      <c r="C127" s="73" t="str">
        <f aca="false">I70</f>
        <v>SL Hop Distance (cm)</v>
      </c>
      <c r="D127" s="73"/>
      <c r="E127" s="85" t="b">
        <f aca="false">AND(C127&lt;&gt;"",LEFT(C127,1)&lt;&gt;"(")</f>
        <v>1</v>
      </c>
      <c r="F127" s="57" t="n">
        <f aca="false">IF(E127,COUNTIF($E$109:E127,TRUE()),"")</f>
        <v>11</v>
      </c>
      <c r="G127" s="57" t="n">
        <f aca="false">I84</f>
        <v>128</v>
      </c>
      <c r="H127" s="57" t="n">
        <f aca="false">J84</f>
        <v>160</v>
      </c>
      <c r="I127" s="86" t="n">
        <f aca="false">K84</f>
        <v>0.8</v>
      </c>
      <c r="J127" s="87" t="n">
        <f aca="false">I85</f>
        <v>46307</v>
      </c>
      <c r="K127" s="57" t="str">
        <f aca="false">IFERROR(IF(COUNT($K$72:$K$83)&lt;2,"",TEXT((K84-INDEX($K$72:$K$83,SUMPRODUCT(MAX(ISNUMBER($K$72:$K$83)*(($A$72:$A$83)=SUMPRODUCT(LARGE(ISNUMBER($K$72:$K$83)*($A$72:$A$83),2)))*(ROW($K$72:$K$83)-ROW($K$72)+1)))))*100,"+0;-0;0")&amp;" pts"),"")</f>
        <v/>
      </c>
      <c r="L127" s="73" t="str">
        <f aca="false">C120</f>
        <v>Iso Hip Abduction (N)</v>
      </c>
    </row>
    <row r="128" customFormat="false" ht="13.5" hidden="false" customHeight="true" outlineLevel="0" collapsed="false">
      <c r="A128" s="57" t="n">
        <v>20</v>
      </c>
      <c r="B128" s="73" t="s">
        <v>183</v>
      </c>
      <c r="C128" s="73" t="str">
        <f aca="false">L70</f>
        <v>Triple Hop Distance (cm)</v>
      </c>
      <c r="D128" s="73"/>
      <c r="E128" s="85" t="b">
        <f aca="false">AND(C128&lt;&gt;"",LEFT(C128,1)&lt;&gt;"(")</f>
        <v>1</v>
      </c>
      <c r="F128" s="57" t="n">
        <f aca="false">IF(E128,COUNTIF($E$109:E128,TRUE()),"")</f>
        <v>12</v>
      </c>
      <c r="G128" s="57" t="str">
        <f aca="false">L84</f>
        <v/>
      </c>
      <c r="H128" s="57" t="str">
        <f aca="false">M84</f>
        <v/>
      </c>
      <c r="I128" s="86" t="str">
        <f aca="false">N84</f>
        <v/>
      </c>
      <c r="J128" s="87" t="str">
        <f aca="false">L85</f>
        <v/>
      </c>
      <c r="K128" s="57" t="str">
        <f aca="false">IFERROR(IF(COUNT($N$72:$N$83)&lt;2,"",TEXT((N84-INDEX($N$72:$N$83,SUMPRODUCT(MAX(ISNUMBER($N$72:$N$83)*(($A$72:$A$83)=SUMPRODUCT(LARGE(ISNUMBER($N$72:$N$83)*($A$72:$A$83),2)))*(ROW($N$72:$N$83)-ROW($N$72)+1)))))*100,"+0;-0;0")&amp;" pts"),"")</f>
        <v/>
      </c>
      <c r="L128" s="73" t="str">
        <f aca="false">C121</f>
        <v>(spare slot — rename)</v>
      </c>
    </row>
    <row r="129" customFormat="false" ht="13.5" hidden="false" customHeight="true" outlineLevel="0" collapsed="false">
      <c r="A129" s="57" t="n">
        <v>21</v>
      </c>
      <c r="B129" s="73" t="s">
        <v>183</v>
      </c>
      <c r="C129" s="73" t="str">
        <f aca="false">O70</f>
        <v>Lateral Capacity</v>
      </c>
      <c r="D129" s="73"/>
      <c r="E129" s="85" t="b">
        <f aca="false">AND(C129&lt;&gt;"",LEFT(C129,1)&lt;&gt;"(")</f>
        <v>1</v>
      </c>
      <c r="F129" s="57" t="n">
        <f aca="false">IF(E129,COUNTIF($E$109:E129,TRUE()),"")</f>
        <v>13</v>
      </c>
      <c r="G129" s="57" t="str">
        <f aca="false">O84</f>
        <v/>
      </c>
      <c r="H129" s="57" t="str">
        <f aca="false">P84</f>
        <v/>
      </c>
      <c r="I129" s="86" t="str">
        <f aca="false">Q84</f>
        <v/>
      </c>
      <c r="J129" s="87" t="str">
        <f aca="false">O85</f>
        <v/>
      </c>
      <c r="K129" s="57" t="str">
        <f aca="false">IFERROR(IF(COUNT($Q$72:$Q$83)&lt;2,"",TEXT((Q84-INDEX($Q$72:$Q$83,SUMPRODUCT(MAX(ISNUMBER($Q$72:$Q$83)*(($A$72:$A$83)=SUMPRODUCT(LARGE(ISNUMBER($Q$72:$Q$83)*($A$72:$A$83),2)))*(ROW($Q$72:$Q$83)-ROW($Q$72)+1)))))*100,"+0;-0;0")&amp;" pts"),"")</f>
        <v/>
      </c>
      <c r="L129" s="73" t="str">
        <f aca="false">C122</f>
        <v>(spare slot — rename)</v>
      </c>
    </row>
    <row r="130" customFormat="false" ht="13.5" hidden="false" customHeight="true" outlineLevel="0" collapsed="false">
      <c r="A130" s="57" t="n">
        <v>22</v>
      </c>
      <c r="B130" s="73" t="s">
        <v>183</v>
      </c>
      <c r="C130" s="73" t="str">
        <f aca="false">R70</f>
        <v>DL Drop Jump RSI</v>
      </c>
      <c r="D130" s="73"/>
      <c r="E130" s="85" t="b">
        <f aca="false">AND(C130&lt;&gt;"",LEFT(C130,1)&lt;&gt;"(")</f>
        <v>1</v>
      </c>
      <c r="F130" s="57" t="n">
        <f aca="false">IF(E130,COUNTIF($E$109:E130,TRUE()),"")</f>
        <v>14</v>
      </c>
      <c r="G130" s="57" t="n">
        <f aca="false">R84</f>
        <v>1.62</v>
      </c>
      <c r="H130" s="57" t="str">
        <f aca="false">S84</f>
        <v/>
      </c>
      <c r="I130" s="86" t="str">
        <f aca="false">T84</f>
        <v/>
      </c>
      <c r="J130" s="87" t="n">
        <f aca="false">R85</f>
        <v>46307</v>
      </c>
      <c r="K130" s="57" t="str">
        <f aca="false">IFERROR(IF(COUNT($R$72:$R$83)&lt;2,"",TEXT(R84-INDEX($R$72:$R$83,SUMPRODUCT(MAX(ISNUMBER($R$72:$R$83)*(($A$72:$A$83)=SUMPRODUCT(LARGE(ISNUMBER($R$72:$R$83)*($A$72:$A$83),2)))*(ROW($R$72:$R$83)-ROW($R$72)+1)))),"+0.0;-0.0;0.0")),"")</f>
        <v/>
      </c>
      <c r="L130" s="73" t="str">
        <f aca="false">C123</f>
        <v>(spare slot — rename)</v>
      </c>
    </row>
    <row r="131" customFormat="false" ht="13.5" hidden="false" customHeight="true" outlineLevel="0" collapsed="false">
      <c r="A131" s="57" t="n">
        <v>23</v>
      </c>
      <c r="B131" s="73" t="s">
        <v>183</v>
      </c>
      <c r="C131" s="73" t="str">
        <f aca="false">U70</f>
        <v>SL Drop Jump RSI</v>
      </c>
      <c r="D131" s="73"/>
      <c r="E131" s="85" t="b">
        <f aca="false">AND(C131&lt;&gt;"",LEFT(C131,1)&lt;&gt;"(")</f>
        <v>1</v>
      </c>
      <c r="F131" s="57" t="n">
        <f aca="false">IF(E131,COUNTIF($E$109:E131,TRUE()),"")</f>
        <v>15</v>
      </c>
      <c r="G131" s="57" t="str">
        <f aca="false">U84</f>
        <v/>
      </c>
      <c r="H131" s="57" t="str">
        <f aca="false">V84</f>
        <v/>
      </c>
      <c r="I131" s="86" t="str">
        <f aca="false">W84</f>
        <v/>
      </c>
      <c r="J131" s="87" t="str">
        <f aca="false">U85</f>
        <v/>
      </c>
      <c r="K131" s="57" t="str">
        <f aca="false">IFERROR(IF(COUNT($W$72:$W$83)&lt;2,"",TEXT((W84-INDEX($W$72:$W$83,SUMPRODUCT(MAX(ISNUMBER($W$72:$W$83)*(($A$72:$A$83)=SUMPRODUCT(LARGE(ISNUMBER($W$72:$W$83)*($A$72:$A$83),2)))*(ROW($W$72:$W$83)-ROW($W$72)+1)))))*100,"+0;-0;0")&amp;" pts"),"")</f>
        <v/>
      </c>
      <c r="L131" s="73" t="str">
        <f aca="false">C124</f>
        <v>(spare slot — rename)</v>
      </c>
    </row>
    <row r="132" customFormat="false" ht="13.5" hidden="false" customHeight="true" outlineLevel="0" collapsed="false">
      <c r="A132" s="57" t="n">
        <v>24</v>
      </c>
      <c r="B132" s="73" t="s">
        <v>183</v>
      </c>
      <c r="C132" s="73" t="str">
        <f aca="false">X70</f>
        <v>10-5 Repeated Hops RSI</v>
      </c>
      <c r="D132" s="73"/>
      <c r="E132" s="85" t="b">
        <f aca="false">AND(C132&lt;&gt;"",LEFT(C132,1)&lt;&gt;"(")</f>
        <v>1</v>
      </c>
      <c r="F132" s="57" t="n">
        <f aca="false">IF(E132,COUNTIF($E$109:E132,TRUE()),"")</f>
        <v>16</v>
      </c>
      <c r="G132" s="57" t="n">
        <f aca="false">X84</f>
        <v>1.85</v>
      </c>
      <c r="H132" s="57" t="str">
        <f aca="false">Y84</f>
        <v/>
      </c>
      <c r="I132" s="86" t="str">
        <f aca="false">Z84</f>
        <v/>
      </c>
      <c r="J132" s="87" t="n">
        <f aca="false">X85</f>
        <v>46307</v>
      </c>
      <c r="K132" s="57" t="str">
        <f aca="false">IFERROR(IF(COUNT($X$72:$X$83)&lt;2,"",TEXT(X84-INDEX($X$72:$X$83,SUMPRODUCT(MAX(ISNUMBER($X$72:$X$83)*(($A$72:$A$83)=SUMPRODUCT(LARGE(ISNUMBER($X$72:$X$83)*($A$72:$A$83),2)))*(ROW($X$72:$X$83)-ROW($X$72)+1)))),"+0.0;-0.0;0.0")),"")</f>
        <v/>
      </c>
      <c r="L132" s="73" t="str">
        <f aca="false">C125</f>
        <v>DL CMJ Height (cm)</v>
      </c>
    </row>
    <row r="133" customFormat="false" ht="22.35" hidden="false" customHeight="false" outlineLevel="0" collapsed="false">
      <c r="L133" s="73" t="str">
        <f aca="false">C126</f>
        <v>SL CMJ Height (cm)</v>
      </c>
    </row>
    <row r="134" customFormat="false" ht="32.8" hidden="false" customHeight="false" outlineLevel="0" collapsed="false">
      <c r="L134" s="73" t="str">
        <f aca="false">C127</f>
        <v>SL Hop Distance (cm)</v>
      </c>
    </row>
    <row r="135" customFormat="false" ht="19.5" hidden="false" customHeight="true" outlineLevel="0" collapsed="false">
      <c r="A135" s="62" t="s">
        <v>184</v>
      </c>
      <c r="B135" s="62"/>
      <c r="C135" s="62"/>
      <c r="D135" s="62"/>
      <c r="E135" s="62"/>
      <c r="F135" s="62"/>
      <c r="G135" s="62"/>
      <c r="H135" s="62"/>
      <c r="I135" s="62"/>
      <c r="J135" s="62"/>
      <c r="L135" s="73" t="str">
        <f aca="false">C128</f>
        <v>Triple Hop Distance (cm)</v>
      </c>
    </row>
    <row r="136" customFormat="false" ht="18" hidden="false" customHeight="true" outlineLevel="0" collapsed="false">
      <c r="A136" s="33" t="s">
        <v>93</v>
      </c>
      <c r="B136" s="33" t="s">
        <v>46</v>
      </c>
      <c r="C136" s="33" t="s">
        <v>47</v>
      </c>
      <c r="D136" s="33"/>
      <c r="E136" s="33" t="s">
        <v>12</v>
      </c>
      <c r="F136" s="33" t="s">
        <v>49</v>
      </c>
      <c r="G136" s="33" t="s">
        <v>50</v>
      </c>
      <c r="H136" s="33" t="s">
        <v>52</v>
      </c>
      <c r="I136" s="33" t="s">
        <v>185</v>
      </c>
      <c r="J136" s="33"/>
      <c r="K136" s="33" t="s">
        <v>186</v>
      </c>
      <c r="L136" s="73" t="str">
        <f aca="false">C129</f>
        <v>Lateral Capacity</v>
      </c>
    </row>
    <row r="137" customFormat="false" ht="13.5" hidden="false" customHeight="true" outlineLevel="0" collapsed="false">
      <c r="A137" s="57" t="n">
        <v>1</v>
      </c>
      <c r="B137" s="73" t="str">
        <f aca="false">IFERROR(INDEX($B$109:$B$132,MATCH(1,$F$109:$F$132,0)),"")</f>
        <v>ROM</v>
      </c>
      <c r="C137" s="73" t="str">
        <f aca="false">IFERROR(INDEX($C$109:$C$132,MATCH(1,$F$109:$F$132,0)),"")</f>
        <v>Knee Flexion (°)</v>
      </c>
      <c r="D137" s="73"/>
      <c r="E137" s="57" t="n">
        <f aca="false">IFERROR(INDEX($G$109:$G$132,MATCH(1,$F$109:$F$132,0)),"")</f>
        <v>135</v>
      </c>
      <c r="F137" s="57" t="n">
        <f aca="false">IFERROR(INDEX($H$109:$H$132,MATCH(1,$F$109:$F$132,0)),"")</f>
        <v>141</v>
      </c>
      <c r="G137" s="86" t="n">
        <f aca="false">IFERROR(INDEX($I$109:$I$132,MATCH(1,$F$109:$F$132,0)),"")</f>
        <v>0.957446808510638</v>
      </c>
      <c r="H137" s="87" t="n">
        <f aca="false">IFERROR(INDEX($J$109:$J$132,MATCH(1,$F$109:$F$132,0)),"")</f>
        <v>46286</v>
      </c>
      <c r="I137" s="73" t="str">
        <f aca="false">IF(B137="","",IF(B137="","",B137))</f>
        <v>ROM</v>
      </c>
      <c r="J137" s="73"/>
      <c r="K137" s="57" t="str">
        <f aca="false">IFERROR(INDEX($K$109:$K$132,MATCH(1,$F$109:$F$132,0)),"")</f>
        <v>+11 pts</v>
      </c>
      <c r="L137" s="73" t="str">
        <f aca="false">C130</f>
        <v>DL Drop Jump RSI</v>
      </c>
    </row>
    <row r="138" customFormat="false" ht="13.5" hidden="false" customHeight="true" outlineLevel="0" collapsed="false">
      <c r="A138" s="57" t="n">
        <v>2</v>
      </c>
      <c r="B138" s="73" t="str">
        <f aca="false">IFERROR(INDEX($B$109:$B$132,MATCH(2,$F$109:$F$132,0)),"")</f>
        <v>ROM</v>
      </c>
      <c r="C138" s="73" t="str">
        <f aca="false">IFERROR(INDEX($C$109:$C$132,MATCH(2,$F$109:$F$132,0)),"")</f>
        <v>Knee Extension (° hyperext = +)</v>
      </c>
      <c r="D138" s="73"/>
      <c r="E138" s="57" t="n">
        <f aca="false">IFERROR(INDEX($G$109:$G$132,MATCH(2,$F$109:$F$132,0)),"")</f>
        <v>3</v>
      </c>
      <c r="F138" s="57" t="n">
        <f aca="false">IFERROR(INDEX($H$109:$H$132,MATCH(2,$F$109:$F$132,0)),"")</f>
        <v>3</v>
      </c>
      <c r="G138" s="86" t="n">
        <f aca="false">IFERROR(INDEX($I$109:$I$132,MATCH(2,$F$109:$F$132,0)),"")</f>
        <v>1</v>
      </c>
      <c r="H138" s="87" t="n">
        <f aca="false">IFERROR(INDEX($J$109:$J$132,MATCH(2,$F$109:$F$132,0)),"")</f>
        <v>46286</v>
      </c>
      <c r="I138" s="73" t="str">
        <f aca="false">IF(B138="","",IF(B138=B137,"",B138))</f>
        <v/>
      </c>
      <c r="J138" s="73"/>
      <c r="K138" s="57" t="str">
        <f aca="false">IFERROR(INDEX($K$109:$K$132,MATCH(2,$F$109:$F$132,0)),"")</f>
        <v>+33 pts</v>
      </c>
      <c r="L138" s="73" t="str">
        <f aca="false">C131</f>
        <v>SL Drop Jump RSI</v>
      </c>
    </row>
    <row r="139" customFormat="false" ht="13.5" hidden="false" customHeight="true" outlineLevel="0" collapsed="false">
      <c r="A139" s="57" t="n">
        <v>3</v>
      </c>
      <c r="B139" s="73" t="str">
        <f aca="false">IFERROR(INDEX($B$109:$B$132,MATCH(3,$F$109:$F$132,0)),"")</f>
        <v>ROM</v>
      </c>
      <c r="C139" s="73" t="str">
        <f aca="false">IFERROR(INDEX($C$109:$C$132,MATCH(3,$F$109:$F$132,0)),"")</f>
        <v>Ankle DF Knee-to-Wall (cm)</v>
      </c>
      <c r="D139" s="73"/>
      <c r="E139" s="57" t="n">
        <f aca="false">IFERROR(INDEX($G$109:$G$132,MATCH(3,$F$109:$F$132,0)),"")</f>
        <v>11</v>
      </c>
      <c r="F139" s="57" t="n">
        <f aca="false">IFERROR(INDEX($H$109:$H$132,MATCH(3,$F$109:$F$132,0)),"")</f>
        <v>12</v>
      </c>
      <c r="G139" s="86" t="n">
        <f aca="false">IFERROR(INDEX($I$109:$I$132,MATCH(3,$F$109:$F$132,0)),"")</f>
        <v>0.916666666666667</v>
      </c>
      <c r="H139" s="87" t="n">
        <f aca="false">IFERROR(INDEX($J$109:$J$132,MATCH(3,$F$109:$F$132,0)),"")</f>
        <v>46286</v>
      </c>
      <c r="I139" s="73" t="str">
        <f aca="false">IF(B139="","",IF(B139=B138,"",B139))</f>
        <v/>
      </c>
      <c r="J139" s="73"/>
      <c r="K139" s="57" t="str">
        <f aca="false">IFERROR(INDEX($K$109:$K$132,MATCH(3,$F$109:$F$132,0)),"")</f>
        <v>+13 pts</v>
      </c>
      <c r="L139" s="73" t="str">
        <f aca="false">C132</f>
        <v>10-5 Repeated Hops RSI</v>
      </c>
    </row>
    <row r="140" customFormat="false" ht="13.5" hidden="false" customHeight="true" outlineLevel="0" collapsed="false">
      <c r="A140" s="57" t="n">
        <v>4</v>
      </c>
      <c r="B140" s="73" t="str">
        <f aca="false">IFERROR(INDEX($B$109:$B$132,MATCH(4,$F$109:$F$132,0)),"")</f>
        <v>ROM</v>
      </c>
      <c r="C140" s="73" t="str">
        <f aca="false">IFERROR(INDEX($C$109:$C$132,MATCH(4,$F$109:$F$132,0)),"")</f>
        <v>Thigh Circumference 10 cm (cm)</v>
      </c>
      <c r="D140" s="73"/>
      <c r="E140" s="57" t="n">
        <f aca="false">IFERROR(INDEX($G$109:$G$132,MATCH(4,$F$109:$F$132,0)),"")</f>
        <v>45.5</v>
      </c>
      <c r="F140" s="57" t="n">
        <f aca="false">IFERROR(INDEX($H$109:$H$132,MATCH(4,$F$109:$F$132,0)),"")</f>
        <v>47</v>
      </c>
      <c r="G140" s="86" t="n">
        <f aca="false">IFERROR(INDEX($I$109:$I$132,MATCH(4,$F$109:$F$132,0)),"")</f>
        <v>0.968085106382979</v>
      </c>
      <c r="H140" s="87" t="n">
        <f aca="false">IFERROR(INDEX($J$109:$J$132,MATCH(4,$F$109:$F$132,0)),"")</f>
        <v>46286</v>
      </c>
      <c r="I140" s="73" t="str">
        <f aca="false">IF(B140="","",IF(B140=B139,"",B140))</f>
        <v/>
      </c>
      <c r="J140" s="73"/>
      <c r="K140" s="57" t="str">
        <f aca="false">IFERROR(INDEX($K$109:$K$132,MATCH(4,$F$109:$F$132,0)),"")</f>
        <v>+2 pts</v>
      </c>
    </row>
    <row r="141" customFormat="false" ht="13.5" hidden="false" customHeight="true" outlineLevel="0" collapsed="false">
      <c r="A141" s="57" t="n">
        <v>5</v>
      </c>
      <c r="B141" s="73" t="str">
        <f aca="false">IFERROR(INDEX($B$109:$B$132,MATCH(5,$F$109:$F$132,0)),"")</f>
        <v>Strength</v>
      </c>
      <c r="C141" s="73" t="str">
        <f aca="false">IFERROR(INDEX($C$109:$C$132,MATCH(5,$F$109:$F$132,0)),"")</f>
        <v>Quadriceps Iso (N)</v>
      </c>
      <c r="D141" s="73"/>
      <c r="E141" s="57" t="n">
        <f aca="false">IFERROR(INDEX($G$109:$G$132,MATCH(5,$F$109:$F$132,0)),"")</f>
        <v>395</v>
      </c>
      <c r="F141" s="57" t="n">
        <f aca="false">IFERROR(INDEX($H$109:$H$132,MATCH(5,$F$109:$F$132,0)),"")</f>
        <v>490</v>
      </c>
      <c r="G141" s="86" t="n">
        <f aca="false">IFERROR(INDEX($I$109:$I$132,MATCH(5,$F$109:$F$132,0)),"")</f>
        <v>0.806122448979592</v>
      </c>
      <c r="H141" s="87" t="n">
        <f aca="false">IFERROR(INDEX($J$109:$J$132,MATCH(5,$F$109:$F$132,0)),"")</f>
        <v>46307</v>
      </c>
      <c r="I141" s="73" t="str">
        <f aca="false">IF(B141="","",IF(B141=B140,"",B141))</f>
        <v>Strength</v>
      </c>
      <c r="J141" s="73"/>
      <c r="K141" s="57" t="str">
        <f aca="false">IFERROR(INDEX($K$109:$K$132,MATCH(5,$F$109:$F$132,0)),"")</f>
        <v>+16 pts</v>
      </c>
    </row>
    <row r="142" customFormat="false" ht="13.5" hidden="false" customHeight="true" outlineLevel="0" collapsed="false">
      <c r="A142" s="57" t="n">
        <v>6</v>
      </c>
      <c r="B142" s="73" t="str">
        <f aca="false">IFERROR(INDEX($B$109:$B$132,MATCH(6,$F$109:$F$132,0)),"")</f>
        <v>Strength</v>
      </c>
      <c r="C142" s="73" t="str">
        <f aca="false">IFERROR(INDEX($C$109:$C$132,MATCH(6,$F$109:$F$132,0)),"")</f>
        <v>Hamstrings Iso / NordBord (N)</v>
      </c>
      <c r="D142" s="73"/>
      <c r="E142" s="57" t="n">
        <f aca="false">IFERROR(INDEX($G$109:$G$132,MATCH(6,$F$109:$F$132,0)),"")</f>
        <v>281</v>
      </c>
      <c r="F142" s="57" t="n">
        <f aca="false">IFERROR(INDEX($H$109:$H$132,MATCH(6,$F$109:$F$132,0)),"")</f>
        <v>305</v>
      </c>
      <c r="G142" s="86" t="n">
        <f aca="false">IFERROR(INDEX($I$109:$I$132,MATCH(6,$F$109:$F$132,0)),"")</f>
        <v>0.921311475409836</v>
      </c>
      <c r="H142" s="87" t="n">
        <f aca="false">IFERROR(INDEX($J$109:$J$132,MATCH(6,$F$109:$F$132,0)),"")</f>
        <v>46307</v>
      </c>
      <c r="I142" s="73" t="str">
        <f aca="false">IF(B142="","",IF(B142=B141,"",B142))</f>
        <v/>
      </c>
      <c r="J142" s="73"/>
      <c r="K142" s="57" t="str">
        <f aca="false">IFERROR(INDEX($K$109:$K$132,MATCH(6,$F$109:$F$132,0)),"")</f>
        <v>+7 pts</v>
      </c>
    </row>
    <row r="143" customFormat="false" ht="13.5" hidden="false" customHeight="true" outlineLevel="0" collapsed="false">
      <c r="A143" s="57" t="n">
        <v>7</v>
      </c>
      <c r="B143" s="73" t="str">
        <f aca="false">IFERROR(INDEX($B$109:$B$132,MATCH(7,$F$109:$F$132,0)),"")</f>
        <v>Strength</v>
      </c>
      <c r="C143" s="73" t="str">
        <f aca="false">IFERROR(INDEX($C$109:$C$132,MATCH(7,$F$109:$F$132,0)),"")</f>
        <v>Calf Iso (N)</v>
      </c>
      <c r="D143" s="73"/>
      <c r="E143" s="57" t="n">
        <f aca="false">IFERROR(INDEX($G$109:$G$132,MATCH(7,$F$109:$F$132,0)),"")</f>
        <v>1380</v>
      </c>
      <c r="F143" s="57" t="n">
        <f aca="false">IFERROR(INDEX($H$109:$H$132,MATCH(7,$F$109:$F$132,0)),"")</f>
        <v>1520</v>
      </c>
      <c r="G143" s="86" t="n">
        <f aca="false">IFERROR(INDEX($I$109:$I$132,MATCH(7,$F$109:$F$132,0)),"")</f>
        <v>0.907894736842105</v>
      </c>
      <c r="H143" s="87" t="n">
        <f aca="false">IFERROR(INDEX($J$109:$J$132,MATCH(7,$F$109:$F$132,0)),"")</f>
        <v>46307</v>
      </c>
      <c r="I143" s="73" t="str">
        <f aca="false">IF(B143="","",IF(B143=B142,"",B143))</f>
        <v/>
      </c>
      <c r="J143" s="73"/>
      <c r="K143" s="57" t="str">
        <f aca="false">IFERROR(INDEX($K$109:$K$132,MATCH(7,$F$109:$F$132,0)),"")</f>
        <v>+10 pts</v>
      </c>
    </row>
    <row r="144" customFormat="false" ht="13.5" hidden="false" customHeight="true" outlineLevel="0" collapsed="false">
      <c r="A144" s="57" t="n">
        <v>8</v>
      </c>
      <c r="B144" s="73" t="str">
        <f aca="false">IFERROR(INDEX($B$109:$B$132,MATCH(8,$F$109:$F$132,0)),"")</f>
        <v>Strength</v>
      </c>
      <c r="C144" s="73" t="str">
        <f aca="false">IFERROR(INDEX($C$109:$C$132,MATCH(8,$F$109:$F$132,0)),"")</f>
        <v>Iso Hip Abduction (N)</v>
      </c>
      <c r="D144" s="73"/>
      <c r="E144" s="57" t="n">
        <f aca="false">IFERROR(INDEX($G$109:$G$132,MATCH(8,$F$109:$F$132,0)),"")</f>
        <v>272</v>
      </c>
      <c r="F144" s="57" t="n">
        <f aca="false">IFERROR(INDEX($H$109:$H$132,MATCH(8,$F$109:$F$132,0)),"")</f>
        <v>285</v>
      </c>
      <c r="G144" s="86" t="n">
        <f aca="false">IFERROR(INDEX($I$109:$I$132,MATCH(8,$F$109:$F$132,0)),"")</f>
        <v>0.954385964912281</v>
      </c>
      <c r="H144" s="87" t="n">
        <f aca="false">IFERROR(INDEX($J$109:$J$132,MATCH(8,$F$109:$F$132,0)),"")</f>
        <v>46307</v>
      </c>
      <c r="I144" s="73" t="str">
        <f aca="false">IF(B144="","",IF(B144=B143,"",B144))</f>
        <v/>
      </c>
      <c r="J144" s="73"/>
      <c r="K144" s="57" t="str">
        <f aca="false">IFERROR(INDEX($K$109:$K$132,MATCH(8,$F$109:$F$132,0)),"")</f>
        <v>+3 pts</v>
      </c>
    </row>
    <row r="145" customFormat="false" ht="13.5" hidden="false" customHeight="true" outlineLevel="0" collapsed="false">
      <c r="A145" s="57" t="n">
        <v>9</v>
      </c>
      <c r="B145" s="73" t="str">
        <f aca="false">IFERROR(INDEX($B$109:$B$132,MATCH(9,$F$109:$F$132,0)),"")</f>
        <v>Jump / Power</v>
      </c>
      <c r="C145" s="73" t="str">
        <f aca="false">IFERROR(INDEX($C$109:$C$132,MATCH(9,$F$109:$F$132,0)),"")</f>
        <v>DL CMJ Height (cm)</v>
      </c>
      <c r="D145" s="73"/>
      <c r="E145" s="57" t="n">
        <f aca="false">IFERROR(INDEX($G$109:$G$132,MATCH(9,$F$109:$F$132,0)),"")</f>
        <v>27.5</v>
      </c>
      <c r="F145" s="57" t="str">
        <f aca="false">IFERROR(INDEX($H$109:$H$132,MATCH(9,$F$109:$F$132,0)),"")</f>
        <v/>
      </c>
      <c r="G145" s="86" t="str">
        <f aca="false">IFERROR(INDEX($I$109:$I$132,MATCH(9,$F$109:$F$132,0)),"")</f>
        <v/>
      </c>
      <c r="H145" s="87" t="n">
        <f aca="false">IFERROR(INDEX($J$109:$J$132,MATCH(9,$F$109:$F$132,0)),"")</f>
        <v>46307</v>
      </c>
      <c r="I145" s="73" t="str">
        <f aca="false">IF(B145="","",IF(B145=B144,"",B145))</f>
        <v>Jump / Power</v>
      </c>
      <c r="J145" s="73"/>
      <c r="K145" s="57" t="str">
        <f aca="false">IFERROR(INDEX($K$109:$K$132,MATCH(9,$F$109:$F$132,0)),"")</f>
        <v/>
      </c>
    </row>
    <row r="146" customFormat="false" ht="13.5" hidden="false" customHeight="true" outlineLevel="0" collapsed="false">
      <c r="A146" s="57" t="n">
        <v>10</v>
      </c>
      <c r="B146" s="73" t="str">
        <f aca="false">IFERROR(INDEX($B$109:$B$132,MATCH(10,$F$109:$F$132,0)),"")</f>
        <v>Jump / Power</v>
      </c>
      <c r="C146" s="73" t="str">
        <f aca="false">IFERROR(INDEX($C$109:$C$132,MATCH(10,$F$109:$F$132,0)),"")</f>
        <v>SL CMJ Height (cm)</v>
      </c>
      <c r="D146" s="73"/>
      <c r="E146" s="57" t="n">
        <f aca="false">IFERROR(INDEX($G$109:$G$132,MATCH(10,$F$109:$F$132,0)),"")</f>
        <v>14.2</v>
      </c>
      <c r="F146" s="57" t="n">
        <f aca="false">IFERROR(INDEX($H$109:$H$132,MATCH(10,$F$109:$F$132,0)),"")</f>
        <v>19</v>
      </c>
      <c r="G146" s="86" t="n">
        <f aca="false">IFERROR(INDEX($I$109:$I$132,MATCH(10,$F$109:$F$132,0)),"")</f>
        <v>0.747368421052632</v>
      </c>
      <c r="H146" s="87" t="n">
        <f aca="false">IFERROR(INDEX($J$109:$J$132,MATCH(10,$F$109:$F$132,0)),"")</f>
        <v>46307</v>
      </c>
      <c r="I146" s="73" t="str">
        <f aca="false">IF(B146="","",IF(B146=B145,"",B146))</f>
        <v/>
      </c>
      <c r="J146" s="73"/>
      <c r="K146" s="57" t="str">
        <f aca="false">IFERROR(INDEX($K$109:$K$132,MATCH(10,$F$109:$F$132,0)),"")</f>
        <v/>
      </c>
    </row>
    <row r="147" customFormat="false" ht="13.5" hidden="false" customHeight="true" outlineLevel="0" collapsed="false">
      <c r="A147" s="57" t="n">
        <v>11</v>
      </c>
      <c r="B147" s="73" t="str">
        <f aca="false">IFERROR(INDEX($B$109:$B$132,MATCH(11,$F$109:$F$132,0)),"")</f>
        <v>Jump / Power</v>
      </c>
      <c r="C147" s="73" t="str">
        <f aca="false">IFERROR(INDEX($C$109:$C$132,MATCH(11,$F$109:$F$132,0)),"")</f>
        <v>SL Hop Distance (cm)</v>
      </c>
      <c r="D147" s="73"/>
      <c r="E147" s="57" t="n">
        <f aca="false">IFERROR(INDEX($G$109:$G$132,MATCH(11,$F$109:$F$132,0)),"")</f>
        <v>128</v>
      </c>
      <c r="F147" s="57" t="n">
        <f aca="false">IFERROR(INDEX($H$109:$H$132,MATCH(11,$F$109:$F$132,0)),"")</f>
        <v>160</v>
      </c>
      <c r="G147" s="86" t="n">
        <f aca="false">IFERROR(INDEX($I$109:$I$132,MATCH(11,$F$109:$F$132,0)),"")</f>
        <v>0.8</v>
      </c>
      <c r="H147" s="87" t="n">
        <f aca="false">IFERROR(INDEX($J$109:$J$132,MATCH(11,$F$109:$F$132,0)),"")</f>
        <v>46307</v>
      </c>
      <c r="I147" s="73" t="str">
        <f aca="false">IF(B147="","",IF(B147=B146,"",B147))</f>
        <v/>
      </c>
      <c r="J147" s="73"/>
      <c r="K147" s="57" t="str">
        <f aca="false">IFERROR(INDEX($K$109:$K$132,MATCH(11,$F$109:$F$132,0)),"")</f>
        <v/>
      </c>
    </row>
    <row r="148" customFormat="false" ht="13.5" hidden="false" customHeight="true" outlineLevel="0" collapsed="false">
      <c r="A148" s="57" t="n">
        <v>12</v>
      </c>
      <c r="B148" s="73" t="str">
        <f aca="false">IFERROR(INDEX($B$109:$B$132,MATCH(12,$F$109:$F$132,0)),"")</f>
        <v>Jump / Power</v>
      </c>
      <c r="C148" s="73" t="str">
        <f aca="false">IFERROR(INDEX($C$109:$C$132,MATCH(12,$F$109:$F$132,0)),"")</f>
        <v>Triple Hop Distance (cm)</v>
      </c>
      <c r="D148" s="73"/>
      <c r="E148" s="57" t="str">
        <f aca="false">IFERROR(INDEX($G$109:$G$132,MATCH(12,$F$109:$F$132,0)),"")</f>
        <v/>
      </c>
      <c r="F148" s="57" t="str">
        <f aca="false">IFERROR(INDEX($H$109:$H$132,MATCH(12,$F$109:$F$132,0)),"")</f>
        <v/>
      </c>
      <c r="G148" s="86" t="str">
        <f aca="false">IFERROR(INDEX($I$109:$I$132,MATCH(12,$F$109:$F$132,0)),"")</f>
        <v/>
      </c>
      <c r="H148" s="87" t="str">
        <f aca="false">IFERROR(INDEX($J$109:$J$132,MATCH(12,$F$109:$F$132,0)),"")</f>
        <v/>
      </c>
      <c r="I148" s="73" t="str">
        <f aca="false">IF(B148="","",IF(B148=B147,"",B148))</f>
        <v/>
      </c>
      <c r="J148" s="73"/>
      <c r="K148" s="57" t="str">
        <f aca="false">IFERROR(INDEX($K$109:$K$132,MATCH(12,$F$109:$F$132,0)),"")</f>
        <v/>
      </c>
    </row>
    <row r="149" customFormat="false" ht="13.5" hidden="false" customHeight="true" outlineLevel="0" collapsed="false">
      <c r="A149" s="57" t="n">
        <v>13</v>
      </c>
      <c r="B149" s="73" t="str">
        <f aca="false">IFERROR(INDEX($B$109:$B$132,MATCH(13,$F$109:$F$132,0)),"")</f>
        <v>Jump / Power</v>
      </c>
      <c r="C149" s="73" t="str">
        <f aca="false">IFERROR(INDEX($C$109:$C$132,MATCH(13,$F$109:$F$132,0)),"")</f>
        <v>Lateral Capacity</v>
      </c>
      <c r="D149" s="73"/>
      <c r="E149" s="57" t="str">
        <f aca="false">IFERROR(INDEX($G$109:$G$132,MATCH(13,$F$109:$F$132,0)),"")</f>
        <v/>
      </c>
      <c r="F149" s="57" t="str">
        <f aca="false">IFERROR(INDEX($H$109:$H$132,MATCH(13,$F$109:$F$132,0)),"")</f>
        <v/>
      </c>
      <c r="G149" s="86" t="str">
        <f aca="false">IFERROR(INDEX($I$109:$I$132,MATCH(13,$F$109:$F$132,0)),"")</f>
        <v/>
      </c>
      <c r="H149" s="87" t="str">
        <f aca="false">IFERROR(INDEX($J$109:$J$132,MATCH(13,$F$109:$F$132,0)),"")</f>
        <v/>
      </c>
      <c r="I149" s="73" t="str">
        <f aca="false">IF(B149="","",IF(B149=B148,"",B149))</f>
        <v/>
      </c>
      <c r="J149" s="73"/>
      <c r="K149" s="57" t="str">
        <f aca="false">IFERROR(INDEX($K$109:$K$132,MATCH(13,$F$109:$F$132,0)),"")</f>
        <v/>
      </c>
    </row>
    <row r="150" customFormat="false" ht="13.5" hidden="false" customHeight="true" outlineLevel="0" collapsed="false">
      <c r="A150" s="57" t="n">
        <v>14</v>
      </c>
      <c r="B150" s="73" t="str">
        <f aca="false">IFERROR(INDEX($B$109:$B$132,MATCH(14,$F$109:$F$132,0)),"")</f>
        <v>Jump / Power</v>
      </c>
      <c r="C150" s="73" t="str">
        <f aca="false">IFERROR(INDEX($C$109:$C$132,MATCH(14,$F$109:$F$132,0)),"")</f>
        <v>DL Drop Jump RSI</v>
      </c>
      <c r="D150" s="73"/>
      <c r="E150" s="57" t="n">
        <f aca="false">IFERROR(INDEX($G$109:$G$132,MATCH(14,$F$109:$F$132,0)),"")</f>
        <v>1.62</v>
      </c>
      <c r="F150" s="57" t="str">
        <f aca="false">IFERROR(INDEX($H$109:$H$132,MATCH(14,$F$109:$F$132,0)),"")</f>
        <v/>
      </c>
      <c r="G150" s="86" t="str">
        <f aca="false">IFERROR(INDEX($I$109:$I$132,MATCH(14,$F$109:$F$132,0)),"")</f>
        <v/>
      </c>
      <c r="H150" s="87" t="n">
        <f aca="false">IFERROR(INDEX($J$109:$J$132,MATCH(14,$F$109:$F$132,0)),"")</f>
        <v>46307</v>
      </c>
      <c r="I150" s="73" t="str">
        <f aca="false">IF(B150="","",IF(B150=B149,"",B150))</f>
        <v/>
      </c>
      <c r="J150" s="73"/>
      <c r="K150" s="57" t="str">
        <f aca="false">IFERROR(INDEX($K$109:$K$132,MATCH(14,$F$109:$F$132,0)),"")</f>
        <v/>
      </c>
    </row>
    <row r="151" customFormat="false" ht="13.5" hidden="false" customHeight="true" outlineLevel="0" collapsed="false">
      <c r="A151" s="57" t="n">
        <v>15</v>
      </c>
      <c r="B151" s="73" t="str">
        <f aca="false">IFERROR(INDEX($B$109:$B$132,MATCH(15,$F$109:$F$132,0)),"")</f>
        <v>Jump / Power</v>
      </c>
      <c r="C151" s="73" t="str">
        <f aca="false">IFERROR(INDEX($C$109:$C$132,MATCH(15,$F$109:$F$132,0)),"")</f>
        <v>SL Drop Jump RSI</v>
      </c>
      <c r="D151" s="73"/>
      <c r="E151" s="57" t="str">
        <f aca="false">IFERROR(INDEX($G$109:$G$132,MATCH(15,$F$109:$F$132,0)),"")</f>
        <v/>
      </c>
      <c r="F151" s="57" t="str">
        <f aca="false">IFERROR(INDEX($H$109:$H$132,MATCH(15,$F$109:$F$132,0)),"")</f>
        <v/>
      </c>
      <c r="G151" s="86" t="str">
        <f aca="false">IFERROR(INDEX($I$109:$I$132,MATCH(15,$F$109:$F$132,0)),"")</f>
        <v/>
      </c>
      <c r="H151" s="87" t="str">
        <f aca="false">IFERROR(INDEX($J$109:$J$132,MATCH(15,$F$109:$F$132,0)),"")</f>
        <v/>
      </c>
      <c r="I151" s="73" t="str">
        <f aca="false">IF(B151="","",IF(B151=B150,"",B151))</f>
        <v/>
      </c>
      <c r="J151" s="73"/>
      <c r="K151" s="57" t="str">
        <f aca="false">IFERROR(INDEX($K$109:$K$132,MATCH(15,$F$109:$F$132,0)),"")</f>
        <v/>
      </c>
    </row>
    <row r="152" customFormat="false" ht="13.5" hidden="false" customHeight="true" outlineLevel="0" collapsed="false">
      <c r="A152" s="57" t="n">
        <v>16</v>
      </c>
      <c r="B152" s="73" t="str">
        <f aca="false">IFERROR(INDEX($B$109:$B$132,MATCH(16,$F$109:$F$132,0)),"")</f>
        <v>Jump / Power</v>
      </c>
      <c r="C152" s="73" t="str">
        <f aca="false">IFERROR(INDEX($C$109:$C$132,MATCH(16,$F$109:$F$132,0)),"")</f>
        <v>10-5 Repeated Hops RSI</v>
      </c>
      <c r="D152" s="73"/>
      <c r="E152" s="57" t="n">
        <f aca="false">IFERROR(INDEX($G$109:$G$132,MATCH(16,$F$109:$F$132,0)),"")</f>
        <v>1.85</v>
      </c>
      <c r="F152" s="57" t="str">
        <f aca="false">IFERROR(INDEX($H$109:$H$132,MATCH(16,$F$109:$F$132,0)),"")</f>
        <v/>
      </c>
      <c r="G152" s="86" t="str">
        <f aca="false">IFERROR(INDEX($I$109:$I$132,MATCH(16,$F$109:$F$132,0)),"")</f>
        <v/>
      </c>
      <c r="H152" s="87" t="n">
        <f aca="false">IFERROR(INDEX($J$109:$J$132,MATCH(16,$F$109:$F$132,0)),"")</f>
        <v>46307</v>
      </c>
      <c r="I152" s="73" t="str">
        <f aca="false">IF(B152="","",IF(B152=B151,"",B152))</f>
        <v/>
      </c>
      <c r="J152" s="73"/>
      <c r="K152" s="57" t="str">
        <f aca="false">IFERROR(INDEX($K$109:$K$132,MATCH(16,$F$109:$F$132,0)),"")</f>
        <v/>
      </c>
    </row>
    <row r="153" customFormat="false" ht="13.5" hidden="false" customHeight="true" outlineLevel="0" collapsed="false">
      <c r="A153" s="57" t="n">
        <v>17</v>
      </c>
      <c r="B153" s="73" t="str">
        <f aca="false">IFERROR(INDEX($B$109:$B$132,MATCH(17,$F$109:$F$132,0)),"")</f>
        <v/>
      </c>
      <c r="C153" s="73" t="str">
        <f aca="false">IFERROR(INDEX($C$109:$C$132,MATCH(17,$F$109:$F$132,0)),"")</f>
        <v/>
      </c>
      <c r="D153" s="73"/>
      <c r="E153" s="57" t="str">
        <f aca="false">IFERROR(INDEX($G$109:$G$132,MATCH(17,$F$109:$F$132,0)),"")</f>
        <v/>
      </c>
      <c r="F153" s="57" t="str">
        <f aca="false">IFERROR(INDEX($H$109:$H$132,MATCH(17,$F$109:$F$132,0)),"")</f>
        <v/>
      </c>
      <c r="G153" s="86" t="str">
        <f aca="false">IFERROR(INDEX($I$109:$I$132,MATCH(17,$F$109:$F$132,0)),"")</f>
        <v/>
      </c>
      <c r="H153" s="87" t="str">
        <f aca="false">IFERROR(INDEX($J$109:$J$132,MATCH(17,$F$109:$F$132,0)),"")</f>
        <v/>
      </c>
      <c r="I153" s="73" t="str">
        <f aca="false">IF(B153="","",IF(B153=B152,"",B153))</f>
        <v/>
      </c>
      <c r="J153" s="73"/>
      <c r="K153" s="57" t="str">
        <f aca="false">IFERROR(INDEX($K$109:$K$132,MATCH(17,$F$109:$F$132,0)),"")</f>
        <v/>
      </c>
    </row>
    <row r="154" customFormat="false" ht="13.5" hidden="false" customHeight="true" outlineLevel="0" collapsed="false">
      <c r="A154" s="57" t="n">
        <v>18</v>
      </c>
      <c r="B154" s="73" t="str">
        <f aca="false">IFERROR(INDEX($B$109:$B$132,MATCH(18,$F$109:$F$132,0)),"")</f>
        <v/>
      </c>
      <c r="C154" s="73" t="str">
        <f aca="false">IFERROR(INDEX($C$109:$C$132,MATCH(18,$F$109:$F$132,0)),"")</f>
        <v/>
      </c>
      <c r="D154" s="73"/>
      <c r="E154" s="57" t="str">
        <f aca="false">IFERROR(INDEX($G$109:$G$132,MATCH(18,$F$109:$F$132,0)),"")</f>
        <v/>
      </c>
      <c r="F154" s="57" t="str">
        <f aca="false">IFERROR(INDEX($H$109:$H$132,MATCH(18,$F$109:$F$132,0)),"")</f>
        <v/>
      </c>
      <c r="G154" s="86" t="str">
        <f aca="false">IFERROR(INDEX($I$109:$I$132,MATCH(18,$F$109:$F$132,0)),"")</f>
        <v/>
      </c>
      <c r="H154" s="87" t="str">
        <f aca="false">IFERROR(INDEX($J$109:$J$132,MATCH(18,$F$109:$F$132,0)),"")</f>
        <v/>
      </c>
      <c r="I154" s="73" t="str">
        <f aca="false">IF(B154="","",IF(B154=B153,"",B154))</f>
        <v/>
      </c>
      <c r="J154" s="73"/>
      <c r="K154" s="57" t="str">
        <f aca="false">IFERROR(INDEX($K$109:$K$132,MATCH(18,$F$109:$F$132,0)),"")</f>
        <v/>
      </c>
    </row>
    <row r="155" customFormat="false" ht="13.5" hidden="false" customHeight="true" outlineLevel="0" collapsed="false">
      <c r="A155" s="57" t="n">
        <v>19</v>
      </c>
      <c r="B155" s="73" t="str">
        <f aca="false">IFERROR(INDEX($B$109:$B$132,MATCH(19,$F$109:$F$132,0)),"")</f>
        <v/>
      </c>
      <c r="C155" s="73" t="str">
        <f aca="false">IFERROR(INDEX($C$109:$C$132,MATCH(19,$F$109:$F$132,0)),"")</f>
        <v/>
      </c>
      <c r="D155" s="73"/>
      <c r="E155" s="57" t="str">
        <f aca="false">IFERROR(INDEX($G$109:$G$132,MATCH(19,$F$109:$F$132,0)),"")</f>
        <v/>
      </c>
      <c r="F155" s="57" t="str">
        <f aca="false">IFERROR(INDEX($H$109:$H$132,MATCH(19,$F$109:$F$132,0)),"")</f>
        <v/>
      </c>
      <c r="G155" s="86" t="str">
        <f aca="false">IFERROR(INDEX($I$109:$I$132,MATCH(19,$F$109:$F$132,0)),"")</f>
        <v/>
      </c>
      <c r="H155" s="87" t="str">
        <f aca="false">IFERROR(INDEX($J$109:$J$132,MATCH(19,$F$109:$F$132,0)),"")</f>
        <v/>
      </c>
      <c r="I155" s="73" t="str">
        <f aca="false">IF(B155="","",IF(B155=B154,"",B155))</f>
        <v/>
      </c>
      <c r="J155" s="73"/>
      <c r="K155" s="57" t="str">
        <f aca="false">IFERROR(INDEX($K$109:$K$132,MATCH(19,$F$109:$F$132,0)),"")</f>
        <v/>
      </c>
    </row>
    <row r="156" customFormat="false" ht="13.5" hidden="false" customHeight="true" outlineLevel="0" collapsed="false">
      <c r="A156" s="57" t="n">
        <v>20</v>
      </c>
      <c r="B156" s="73" t="str">
        <f aca="false">IFERROR(INDEX($B$109:$B$132,MATCH(20,$F$109:$F$132,0)),"")</f>
        <v/>
      </c>
      <c r="C156" s="73" t="str">
        <f aca="false">IFERROR(INDEX($C$109:$C$132,MATCH(20,$F$109:$F$132,0)),"")</f>
        <v/>
      </c>
      <c r="D156" s="73"/>
      <c r="E156" s="57" t="str">
        <f aca="false">IFERROR(INDEX($G$109:$G$132,MATCH(20,$F$109:$F$132,0)),"")</f>
        <v/>
      </c>
      <c r="F156" s="57" t="str">
        <f aca="false">IFERROR(INDEX($H$109:$H$132,MATCH(20,$F$109:$F$132,0)),"")</f>
        <v/>
      </c>
      <c r="G156" s="86" t="str">
        <f aca="false">IFERROR(INDEX($I$109:$I$132,MATCH(20,$F$109:$F$132,0)),"")</f>
        <v/>
      </c>
      <c r="H156" s="87" t="str">
        <f aca="false">IFERROR(INDEX($J$109:$J$132,MATCH(20,$F$109:$F$132,0)),"")</f>
        <v/>
      </c>
      <c r="I156" s="73" t="str">
        <f aca="false">IF(B156="","",IF(B156=B155,"",B156))</f>
        <v/>
      </c>
      <c r="J156" s="73"/>
      <c r="K156" s="57" t="str">
        <f aca="false">IFERROR(INDEX($K$109:$K$132,MATCH(20,$F$109:$F$132,0)),"")</f>
        <v/>
      </c>
    </row>
    <row r="157" customFormat="false" ht="13.5" hidden="false" customHeight="true" outlineLevel="0" collapsed="false">
      <c r="A157" s="57" t="n">
        <v>21</v>
      </c>
      <c r="B157" s="73" t="str">
        <f aca="false">IFERROR(INDEX($B$109:$B$132,MATCH(21,$F$109:$F$132,0)),"")</f>
        <v/>
      </c>
      <c r="C157" s="73" t="str">
        <f aca="false">IFERROR(INDEX($C$109:$C$132,MATCH(21,$F$109:$F$132,0)),"")</f>
        <v/>
      </c>
      <c r="D157" s="73"/>
      <c r="E157" s="57" t="str">
        <f aca="false">IFERROR(INDEX($G$109:$G$132,MATCH(21,$F$109:$F$132,0)),"")</f>
        <v/>
      </c>
      <c r="F157" s="57" t="str">
        <f aca="false">IFERROR(INDEX($H$109:$H$132,MATCH(21,$F$109:$F$132,0)),"")</f>
        <v/>
      </c>
      <c r="G157" s="86" t="str">
        <f aca="false">IFERROR(INDEX($I$109:$I$132,MATCH(21,$F$109:$F$132,0)),"")</f>
        <v/>
      </c>
      <c r="H157" s="87" t="str">
        <f aca="false">IFERROR(INDEX($J$109:$J$132,MATCH(21,$F$109:$F$132,0)),"")</f>
        <v/>
      </c>
      <c r="I157" s="73" t="str">
        <f aca="false">IF(B157="","",IF(B157=B156,"",B157))</f>
        <v/>
      </c>
      <c r="J157" s="73"/>
      <c r="K157" s="57" t="str">
        <f aca="false">IFERROR(INDEX($K$109:$K$132,MATCH(21,$F$109:$F$132,0)),"")</f>
        <v/>
      </c>
    </row>
    <row r="158" customFormat="false" ht="13.5" hidden="false" customHeight="true" outlineLevel="0" collapsed="false">
      <c r="A158" s="57" t="n">
        <v>22</v>
      </c>
      <c r="B158" s="73" t="str">
        <f aca="false">IFERROR(INDEX($B$109:$B$132,MATCH(22,$F$109:$F$132,0)),"")</f>
        <v/>
      </c>
      <c r="C158" s="73" t="str">
        <f aca="false">IFERROR(INDEX($C$109:$C$132,MATCH(22,$F$109:$F$132,0)),"")</f>
        <v/>
      </c>
      <c r="D158" s="73"/>
      <c r="E158" s="57" t="str">
        <f aca="false">IFERROR(INDEX($G$109:$G$132,MATCH(22,$F$109:$F$132,0)),"")</f>
        <v/>
      </c>
      <c r="F158" s="57" t="str">
        <f aca="false">IFERROR(INDEX($H$109:$H$132,MATCH(22,$F$109:$F$132,0)),"")</f>
        <v/>
      </c>
      <c r="G158" s="86" t="str">
        <f aca="false">IFERROR(INDEX($I$109:$I$132,MATCH(22,$F$109:$F$132,0)),"")</f>
        <v/>
      </c>
      <c r="H158" s="87" t="str">
        <f aca="false">IFERROR(INDEX($J$109:$J$132,MATCH(22,$F$109:$F$132,0)),"")</f>
        <v/>
      </c>
      <c r="I158" s="73" t="str">
        <f aca="false">IF(B158="","",IF(B158=B157,"",B158))</f>
        <v/>
      </c>
      <c r="J158" s="73"/>
      <c r="K158" s="57" t="str">
        <f aca="false">IFERROR(INDEX($K$109:$K$132,MATCH(22,$F$109:$F$132,0)),"")</f>
        <v/>
      </c>
    </row>
    <row r="159" customFormat="false" ht="13.5" hidden="false" customHeight="true" outlineLevel="0" collapsed="false">
      <c r="A159" s="57" t="n">
        <v>23</v>
      </c>
      <c r="B159" s="73" t="str">
        <f aca="false">IFERROR(INDEX($B$109:$B$132,MATCH(23,$F$109:$F$132,0)),"")</f>
        <v/>
      </c>
      <c r="C159" s="73" t="str">
        <f aca="false">IFERROR(INDEX($C$109:$C$132,MATCH(23,$F$109:$F$132,0)),"")</f>
        <v/>
      </c>
      <c r="D159" s="73"/>
      <c r="E159" s="57" t="str">
        <f aca="false">IFERROR(INDEX($G$109:$G$132,MATCH(23,$F$109:$F$132,0)),"")</f>
        <v/>
      </c>
      <c r="F159" s="57" t="str">
        <f aca="false">IFERROR(INDEX($H$109:$H$132,MATCH(23,$F$109:$F$132,0)),"")</f>
        <v/>
      </c>
      <c r="G159" s="86" t="str">
        <f aca="false">IFERROR(INDEX($I$109:$I$132,MATCH(23,$F$109:$F$132,0)),"")</f>
        <v/>
      </c>
      <c r="H159" s="87" t="str">
        <f aca="false">IFERROR(INDEX($J$109:$J$132,MATCH(23,$F$109:$F$132,0)),"")</f>
        <v/>
      </c>
      <c r="I159" s="73" t="str">
        <f aca="false">IF(B159="","",IF(B159=B158,"",B159))</f>
        <v/>
      </c>
      <c r="J159" s="73"/>
      <c r="K159" s="57" t="str">
        <f aca="false">IFERROR(INDEX($K$109:$K$132,MATCH(23,$F$109:$F$132,0)),"")</f>
        <v/>
      </c>
    </row>
    <row r="160" customFormat="false" ht="13.5" hidden="false" customHeight="true" outlineLevel="0" collapsed="false">
      <c r="A160" s="57" t="n">
        <v>24</v>
      </c>
      <c r="B160" s="73" t="str">
        <f aca="false">IFERROR(INDEX($B$109:$B$132,MATCH(24,$F$109:$F$132,0)),"")</f>
        <v/>
      </c>
      <c r="C160" s="73" t="str">
        <f aca="false">IFERROR(INDEX($C$109:$C$132,MATCH(24,$F$109:$F$132,0)),"")</f>
        <v/>
      </c>
      <c r="D160" s="73"/>
      <c r="E160" s="57" t="str">
        <f aca="false">IFERROR(INDEX($G$109:$G$132,MATCH(24,$F$109:$F$132,0)),"")</f>
        <v/>
      </c>
      <c r="F160" s="57" t="str">
        <f aca="false">IFERROR(INDEX($H$109:$H$132,MATCH(24,$F$109:$F$132,0)),"")</f>
        <v/>
      </c>
      <c r="G160" s="86" t="str">
        <f aca="false">IFERROR(INDEX($I$109:$I$132,MATCH(24,$F$109:$F$132,0)),"")</f>
        <v/>
      </c>
      <c r="H160" s="87" t="str">
        <f aca="false">IFERROR(INDEX($J$109:$J$132,MATCH(24,$F$109:$F$132,0)),"")</f>
        <v/>
      </c>
      <c r="I160" s="73" t="str">
        <f aca="false">IF(B160="","",IF(B160=B159,"",B160))</f>
        <v/>
      </c>
      <c r="J160" s="73"/>
      <c r="K160" s="57" t="str">
        <f aca="false">IFERROR(INDEX($K$109:$K$132,MATCH(24,$F$109:$F$132,0)),"")</f>
        <v/>
      </c>
    </row>
  </sheetData>
  <mergeCells count="282">
    <mergeCell ref="A1:AA1"/>
    <mergeCell ref="A2:AA2"/>
    <mergeCell ref="A4:AA4"/>
    <mergeCell ref="B5:C5"/>
    <mergeCell ref="D5:J5"/>
    <mergeCell ref="K5:M5"/>
    <mergeCell ref="Q5:R5"/>
    <mergeCell ref="V5:W5"/>
    <mergeCell ref="X5:AA5"/>
    <mergeCell ref="B6:C8"/>
    <mergeCell ref="D6:J6"/>
    <mergeCell ref="K6:M6"/>
    <mergeCell ref="Q6:R6"/>
    <mergeCell ref="V6:W6"/>
    <mergeCell ref="X6:AA6"/>
    <mergeCell ref="D7:J7"/>
    <mergeCell ref="K7:M7"/>
    <mergeCell ref="Q7:R7"/>
    <mergeCell ref="V7:W7"/>
    <mergeCell ref="X7:AA7"/>
    <mergeCell ref="D8:J8"/>
    <mergeCell ref="K8:M8"/>
    <mergeCell ref="Q8:R8"/>
    <mergeCell ref="V8:W8"/>
    <mergeCell ref="X8:AA8"/>
    <mergeCell ref="B9:C11"/>
    <mergeCell ref="D9:J9"/>
    <mergeCell ref="K9:M9"/>
    <mergeCell ref="Q9:R9"/>
    <mergeCell ref="V9:W9"/>
    <mergeCell ref="X9:AA9"/>
    <mergeCell ref="D10:J10"/>
    <mergeCell ref="K10:M10"/>
    <mergeCell ref="Q10:R10"/>
    <mergeCell ref="V10:W10"/>
    <mergeCell ref="X10:AA10"/>
    <mergeCell ref="D11:J11"/>
    <mergeCell ref="K11:M11"/>
    <mergeCell ref="Q11:R11"/>
    <mergeCell ref="V11:W11"/>
    <mergeCell ref="X11:AA11"/>
    <mergeCell ref="B12:C14"/>
    <mergeCell ref="D12:J12"/>
    <mergeCell ref="K12:M12"/>
    <mergeCell ref="Q12:R12"/>
    <mergeCell ref="V12:W12"/>
    <mergeCell ref="X12:AA12"/>
    <mergeCell ref="D13:J13"/>
    <mergeCell ref="K13:M13"/>
    <mergeCell ref="Q13:R13"/>
    <mergeCell ref="V13:W13"/>
    <mergeCell ref="X13:AA13"/>
    <mergeCell ref="D14:J14"/>
    <mergeCell ref="K14:M14"/>
    <mergeCell ref="Q14:R14"/>
    <mergeCell ref="V14:W14"/>
    <mergeCell ref="X14:AA14"/>
    <mergeCell ref="B15:C17"/>
    <mergeCell ref="D15:J15"/>
    <mergeCell ref="K15:M15"/>
    <mergeCell ref="Q15:R15"/>
    <mergeCell ref="V15:W15"/>
    <mergeCell ref="X15:AA15"/>
    <mergeCell ref="D16:J16"/>
    <mergeCell ref="K16:M16"/>
    <mergeCell ref="Q16:R16"/>
    <mergeCell ref="V16:W16"/>
    <mergeCell ref="X16:AA16"/>
    <mergeCell ref="D17:J17"/>
    <mergeCell ref="K17:M17"/>
    <mergeCell ref="Q17:R17"/>
    <mergeCell ref="V17:W17"/>
    <mergeCell ref="X17:AA17"/>
    <mergeCell ref="B18:C20"/>
    <mergeCell ref="D18:J18"/>
    <mergeCell ref="K18:M18"/>
    <mergeCell ref="Q18:R18"/>
    <mergeCell ref="V18:W18"/>
    <mergeCell ref="X18:AA18"/>
    <mergeCell ref="D19:J19"/>
    <mergeCell ref="K19:M19"/>
    <mergeCell ref="Q19:R19"/>
    <mergeCell ref="V19:W19"/>
    <mergeCell ref="X19:AA19"/>
    <mergeCell ref="D20:J20"/>
    <mergeCell ref="K20:M20"/>
    <mergeCell ref="Q20:R20"/>
    <mergeCell ref="V20:W20"/>
    <mergeCell ref="X20:AA20"/>
    <mergeCell ref="B21:C23"/>
    <mergeCell ref="D21:J21"/>
    <mergeCell ref="K21:M21"/>
    <mergeCell ref="Q21:R21"/>
    <mergeCell ref="V21:W21"/>
    <mergeCell ref="X21:AA21"/>
    <mergeCell ref="D22:J22"/>
    <mergeCell ref="K22:M22"/>
    <mergeCell ref="Q22:R22"/>
    <mergeCell ref="V22:W22"/>
    <mergeCell ref="X22:AA22"/>
    <mergeCell ref="D23:J23"/>
    <mergeCell ref="K23:M23"/>
    <mergeCell ref="Q23:R23"/>
    <mergeCell ref="V23:W23"/>
    <mergeCell ref="X23:AA23"/>
    <mergeCell ref="B24:C24"/>
    <mergeCell ref="D24:J24"/>
    <mergeCell ref="K24:M24"/>
    <mergeCell ref="N24:AA24"/>
    <mergeCell ref="B25:C25"/>
    <mergeCell ref="D25:J25"/>
    <mergeCell ref="K25:M25"/>
    <mergeCell ref="N25:AA25"/>
    <mergeCell ref="B26:C26"/>
    <mergeCell ref="D26:J26"/>
    <mergeCell ref="K26:M26"/>
    <mergeCell ref="N26:AA26"/>
    <mergeCell ref="B27:C27"/>
    <mergeCell ref="D27:J27"/>
    <mergeCell ref="K27:M27"/>
    <mergeCell ref="N27:AA27"/>
    <mergeCell ref="B28:C28"/>
    <mergeCell ref="D28:J28"/>
    <mergeCell ref="K28:M28"/>
    <mergeCell ref="N28:AA28"/>
    <mergeCell ref="B29:C29"/>
    <mergeCell ref="D29:J29"/>
    <mergeCell ref="K29:M29"/>
    <mergeCell ref="N29:AA29"/>
    <mergeCell ref="B30:C30"/>
    <mergeCell ref="D30:J30"/>
    <mergeCell ref="K30:M30"/>
    <mergeCell ref="N30:AA30"/>
    <mergeCell ref="A31:D31"/>
    <mergeCell ref="E31:J31"/>
    <mergeCell ref="K31:N31"/>
    <mergeCell ref="O31:Q31"/>
    <mergeCell ref="T31:AA31"/>
    <mergeCell ref="A33:AA33"/>
    <mergeCell ref="A34:A35"/>
    <mergeCell ref="B34:B35"/>
    <mergeCell ref="C34:E34"/>
    <mergeCell ref="F34:H34"/>
    <mergeCell ref="I34:K34"/>
    <mergeCell ref="L34:N34"/>
    <mergeCell ref="O34:Q34"/>
    <mergeCell ref="R34:T34"/>
    <mergeCell ref="U34:W34"/>
    <mergeCell ref="X34:Z34"/>
    <mergeCell ref="AA34:AA35"/>
    <mergeCell ref="A48:B48"/>
    <mergeCell ref="A49:B49"/>
    <mergeCell ref="C49:E49"/>
    <mergeCell ref="F49:H49"/>
    <mergeCell ref="I49:K49"/>
    <mergeCell ref="L49:N49"/>
    <mergeCell ref="O49:Q49"/>
    <mergeCell ref="R49:T49"/>
    <mergeCell ref="U49:W49"/>
    <mergeCell ref="X49:Z49"/>
    <mergeCell ref="A51:AA51"/>
    <mergeCell ref="A52:A53"/>
    <mergeCell ref="B52:B53"/>
    <mergeCell ref="C52:E52"/>
    <mergeCell ref="F52:H52"/>
    <mergeCell ref="I52:K52"/>
    <mergeCell ref="L52:N52"/>
    <mergeCell ref="O52:Q52"/>
    <mergeCell ref="R52:T52"/>
    <mergeCell ref="U52:W52"/>
    <mergeCell ref="X52:Z52"/>
    <mergeCell ref="AA52:AA53"/>
    <mergeCell ref="A66:B66"/>
    <mergeCell ref="A67:B67"/>
    <mergeCell ref="C67:E67"/>
    <mergeCell ref="F67:H67"/>
    <mergeCell ref="I67:K67"/>
    <mergeCell ref="L67:N67"/>
    <mergeCell ref="O67:Q67"/>
    <mergeCell ref="R67:T67"/>
    <mergeCell ref="U67:W67"/>
    <mergeCell ref="X67:Z67"/>
    <mergeCell ref="A69:AA69"/>
    <mergeCell ref="A70:A71"/>
    <mergeCell ref="B70:B71"/>
    <mergeCell ref="C70:E70"/>
    <mergeCell ref="F70:H70"/>
    <mergeCell ref="I70:K70"/>
    <mergeCell ref="L70:N70"/>
    <mergeCell ref="O70:Q70"/>
    <mergeCell ref="R70:T70"/>
    <mergeCell ref="U70:W70"/>
    <mergeCell ref="X70:Z70"/>
    <mergeCell ref="AA70:AA71"/>
    <mergeCell ref="A84:B84"/>
    <mergeCell ref="A85:B85"/>
    <mergeCell ref="C85:E85"/>
    <mergeCell ref="F85:H85"/>
    <mergeCell ref="I85:K85"/>
    <mergeCell ref="L85:N85"/>
    <mergeCell ref="O85:Q85"/>
    <mergeCell ref="R85:T85"/>
    <mergeCell ref="U85:W85"/>
    <mergeCell ref="X85:Z85"/>
    <mergeCell ref="A87:AA87"/>
    <mergeCell ref="A107:J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A135:J135"/>
    <mergeCell ref="C136:D136"/>
    <mergeCell ref="I136:J136"/>
    <mergeCell ref="C137:D137"/>
    <mergeCell ref="I137:J137"/>
    <mergeCell ref="C138:D138"/>
    <mergeCell ref="I138:J138"/>
    <mergeCell ref="C139:D139"/>
    <mergeCell ref="I139:J139"/>
    <mergeCell ref="C140:D140"/>
    <mergeCell ref="I140:J140"/>
    <mergeCell ref="C141:D141"/>
    <mergeCell ref="I141:J141"/>
    <mergeCell ref="C142:D142"/>
    <mergeCell ref="I142:J142"/>
    <mergeCell ref="C143:D143"/>
    <mergeCell ref="I143:J143"/>
    <mergeCell ref="C144:D144"/>
    <mergeCell ref="I144:J144"/>
    <mergeCell ref="C145:D145"/>
    <mergeCell ref="I145:J145"/>
    <mergeCell ref="C146:D146"/>
    <mergeCell ref="I146:J146"/>
    <mergeCell ref="C147:D147"/>
    <mergeCell ref="I147:J147"/>
    <mergeCell ref="C148:D148"/>
    <mergeCell ref="I148:J148"/>
    <mergeCell ref="C149:D149"/>
    <mergeCell ref="I149:J149"/>
    <mergeCell ref="C150:D150"/>
    <mergeCell ref="I150:J150"/>
    <mergeCell ref="C151:D151"/>
    <mergeCell ref="I151:J151"/>
    <mergeCell ref="C152:D152"/>
    <mergeCell ref="I152:J152"/>
    <mergeCell ref="C153:D153"/>
    <mergeCell ref="I153:J153"/>
    <mergeCell ref="C154:D154"/>
    <mergeCell ref="I154:J154"/>
    <mergeCell ref="C155:D155"/>
    <mergeCell ref="I155:J155"/>
    <mergeCell ref="C156:D156"/>
    <mergeCell ref="I156:J156"/>
    <mergeCell ref="C157:D157"/>
    <mergeCell ref="I157:J157"/>
    <mergeCell ref="C158:D158"/>
    <mergeCell ref="I158:J158"/>
    <mergeCell ref="C159:D159"/>
    <mergeCell ref="I159:J159"/>
    <mergeCell ref="C160:D160"/>
    <mergeCell ref="I160:J160"/>
  </mergeCells>
  <conditionalFormatting sqref="S6:S23">
    <cfRule type="expression" priority="2" aboveAverage="0" equalAverage="0" bottom="0" percent="0" rank="0" text="" dxfId="12">
      <formula>OR(S6="READY",S6="COMPLETE",S6="MET",S6="Y")</formula>
    </cfRule>
    <cfRule type="expression" priority="3" aboveAverage="0" equalAverage="0" bottom="0" percent="0" rank="0" text="" dxfId="13">
      <formula>S6="IN PROGRESS"</formula>
    </cfRule>
    <cfRule type="expression" priority="4" aboveAverage="0" equalAverage="0" bottom="0" percent="0" rank="0" text="" dxfId="14">
      <formula>OR(S6="NOT READY",S6="NOT STARTED",S6="BELOW",S6="N",S6="NOT MET")</formula>
    </cfRule>
  </conditionalFormatting>
  <conditionalFormatting sqref="U6:U23">
    <cfRule type="expression" priority="5" aboveAverage="0" equalAverage="0" bottom="0" percent="0" rank="0" text="" dxfId="12">
      <formula>OR(U6="READY",U6="COMPLETE",U6="MET",U6="Y")</formula>
    </cfRule>
    <cfRule type="expression" priority="6" aboveAverage="0" equalAverage="0" bottom="0" percent="0" rank="0" text="" dxfId="13">
      <formula>U6="IN PROGRESS"</formula>
    </cfRule>
    <cfRule type="expression" priority="7" aboveAverage="0" equalAverage="0" bottom="0" percent="0" rank="0" text="" dxfId="14">
      <formula>OR(U6="NOT READY",U6="NOT STARTED",U6="BELOW",U6="N",U6="NOT MET")</formula>
    </cfRule>
  </conditionalFormatting>
  <conditionalFormatting sqref="T6:T23">
    <cfRule type="expression" priority="8" aboveAverage="0" equalAverage="0" bottom="0" percent="0" rank="0" text="" dxfId="12">
      <formula>OR(T6="READY",T6="COMPLETE",T6="MET",T6="Y")</formula>
    </cfRule>
    <cfRule type="expression" priority="9" aboveAverage="0" equalAverage="0" bottom="0" percent="0" rank="0" text="" dxfId="13">
      <formula>T6="IN PROGRESS"</formula>
    </cfRule>
    <cfRule type="expression" priority="10" aboveAverage="0" equalAverage="0" bottom="0" percent="0" rank="0" text="" dxfId="14">
      <formula>OR(T6="NOT READY",T6="NOT STARTED",T6="BELOW",T6="N",T6="NOT MET")</formula>
    </cfRule>
  </conditionalFormatting>
  <conditionalFormatting sqref="K25:K30">
    <cfRule type="expression" priority="11" aboveAverage="0" equalAverage="0" bottom="0" percent="0" rank="0" text="" dxfId="12">
      <formula>OR(K25="READY",K25="COMPLETE",K25="MET",K25="Y")</formula>
    </cfRule>
    <cfRule type="expression" priority="12" aboveAverage="0" equalAverage="0" bottom="0" percent="0" rank="0" text="" dxfId="13">
      <formula>K25="IN PROGRESS"</formula>
    </cfRule>
    <cfRule type="expression" priority="13" aboveAverage="0" equalAverage="0" bottom="0" percent="0" rank="0" text="" dxfId="14">
      <formula>OR(K25="NOT READY",K25="NOT STARTED",K25="BELOW",K25="N",K25="NOT MET")</formula>
    </cfRule>
  </conditionalFormatting>
  <conditionalFormatting sqref="R31">
    <cfRule type="expression" priority="14" aboveAverage="0" equalAverage="0" bottom="0" percent="0" rank="0" text="" dxfId="12">
      <formula>OR(R31="READY",R31="COMPLETE",R31="MET",R31="Y")</formula>
    </cfRule>
    <cfRule type="expression" priority="15" aboveAverage="0" equalAverage="0" bottom="0" percent="0" rank="0" text="" dxfId="13">
      <formula>R31="IN PROGRESS"</formula>
    </cfRule>
    <cfRule type="expression" priority="16" aboveAverage="0" equalAverage="0" bottom="0" percent="0" rank="0" text="" dxfId="14">
      <formula>OR(R31="NOT READY",R31="NOT STARTED",R31="BELOW",R31="N",R31="NOT MET")</formula>
    </cfRule>
  </conditionalFormatting>
  <conditionalFormatting sqref="E36:E48">
    <cfRule type="expression" priority="17" aboveAverage="0" equalAverage="0" bottom="0" percent="0" rank="0" text="" dxfId="7">
      <formula>AND(ISNUMBER(E36),E36&gt;=0.9)</formula>
    </cfRule>
    <cfRule type="expression" priority="18" aboveAverage="0" equalAverage="0" bottom="0" percent="0" rank="0" text="" dxfId="8">
      <formula>AND(ISNUMBER(E36),E36&gt;=0.8,E36&lt;0.9)</formula>
    </cfRule>
    <cfRule type="expression" priority="19" aboveAverage="0" equalAverage="0" bottom="0" percent="0" rank="0" text="" dxfId="9">
      <formula>AND(ISNUMBER(E36),E36&lt;0.8)</formula>
    </cfRule>
  </conditionalFormatting>
  <conditionalFormatting sqref="H36:H48">
    <cfRule type="expression" priority="20" aboveAverage="0" equalAverage="0" bottom="0" percent="0" rank="0" text="" dxfId="7">
      <formula>AND(ISNUMBER(H36),H36&gt;=0.9)</formula>
    </cfRule>
    <cfRule type="expression" priority="21" aboveAverage="0" equalAverage="0" bottom="0" percent="0" rank="0" text="" dxfId="8">
      <formula>AND(ISNUMBER(H36),H36&gt;=0.8,H36&lt;0.9)</formula>
    </cfRule>
    <cfRule type="expression" priority="22" aboveAverage="0" equalAverage="0" bottom="0" percent="0" rank="0" text="" dxfId="9">
      <formula>AND(ISNUMBER(H36),H36&lt;0.8)</formula>
    </cfRule>
  </conditionalFormatting>
  <conditionalFormatting sqref="K36:K48">
    <cfRule type="expression" priority="23" aboveAverage="0" equalAverage="0" bottom="0" percent="0" rank="0" text="" dxfId="7">
      <formula>AND(ISNUMBER(K36),K36&gt;=0.9)</formula>
    </cfRule>
    <cfRule type="expression" priority="24" aboveAverage="0" equalAverage="0" bottom="0" percent="0" rank="0" text="" dxfId="8">
      <formula>AND(ISNUMBER(K36),K36&gt;=0.8,K36&lt;0.9)</formula>
    </cfRule>
    <cfRule type="expression" priority="25" aboveAverage="0" equalAverage="0" bottom="0" percent="0" rank="0" text="" dxfId="9">
      <formula>AND(ISNUMBER(K36),K36&lt;0.8)</formula>
    </cfRule>
  </conditionalFormatting>
  <conditionalFormatting sqref="N36:N48">
    <cfRule type="expression" priority="26" aboveAverage="0" equalAverage="0" bottom="0" percent="0" rank="0" text="" dxfId="7">
      <formula>AND(ISNUMBER(N36),N36&gt;=0.9)</formula>
    </cfRule>
    <cfRule type="expression" priority="27" aboveAverage="0" equalAverage="0" bottom="0" percent="0" rank="0" text="" dxfId="8">
      <formula>AND(ISNUMBER(N36),N36&gt;=0.8,N36&lt;0.9)</formula>
    </cfRule>
    <cfRule type="expression" priority="28" aboveAverage="0" equalAverage="0" bottom="0" percent="0" rank="0" text="" dxfId="9">
      <formula>AND(ISNUMBER(N36),N36&lt;0.8)</formula>
    </cfRule>
  </conditionalFormatting>
  <conditionalFormatting sqref="Q36:Q48">
    <cfRule type="expression" priority="29" aboveAverage="0" equalAverage="0" bottom="0" percent="0" rank="0" text="" dxfId="7">
      <formula>AND(ISNUMBER(Q36),Q36&gt;=0.9)</formula>
    </cfRule>
    <cfRule type="expression" priority="30" aboveAverage="0" equalAverage="0" bottom="0" percent="0" rank="0" text="" dxfId="8">
      <formula>AND(ISNUMBER(Q36),Q36&gt;=0.8,Q36&lt;0.9)</formula>
    </cfRule>
    <cfRule type="expression" priority="31" aboveAverage="0" equalAverage="0" bottom="0" percent="0" rank="0" text="" dxfId="9">
      <formula>AND(ISNUMBER(Q36),Q36&lt;0.8)</formula>
    </cfRule>
  </conditionalFormatting>
  <conditionalFormatting sqref="T36:T48">
    <cfRule type="expression" priority="32" aboveAverage="0" equalAverage="0" bottom="0" percent="0" rank="0" text="" dxfId="7">
      <formula>AND(ISNUMBER(T36),T36&gt;=0.9)</formula>
    </cfRule>
    <cfRule type="expression" priority="33" aboveAverage="0" equalAverage="0" bottom="0" percent="0" rank="0" text="" dxfId="8">
      <formula>AND(ISNUMBER(T36),T36&gt;=0.8,T36&lt;0.9)</formula>
    </cfRule>
    <cfRule type="expression" priority="34" aboveAverage="0" equalAverage="0" bottom="0" percent="0" rank="0" text="" dxfId="9">
      <formula>AND(ISNUMBER(T36),T36&lt;0.8)</formula>
    </cfRule>
  </conditionalFormatting>
  <conditionalFormatting sqref="W36:W48">
    <cfRule type="expression" priority="35" aboveAverage="0" equalAverage="0" bottom="0" percent="0" rank="0" text="" dxfId="7">
      <formula>AND(ISNUMBER(W36),W36&gt;=0.9)</formula>
    </cfRule>
    <cfRule type="expression" priority="36" aboveAverage="0" equalAverage="0" bottom="0" percent="0" rank="0" text="" dxfId="8">
      <formula>AND(ISNUMBER(W36),W36&gt;=0.8,W36&lt;0.9)</formula>
    </cfRule>
    <cfRule type="expression" priority="37" aboveAverage="0" equalAverage="0" bottom="0" percent="0" rank="0" text="" dxfId="9">
      <formula>AND(ISNUMBER(W36),W36&lt;0.8)</formula>
    </cfRule>
  </conditionalFormatting>
  <conditionalFormatting sqref="Z36:Z48">
    <cfRule type="expression" priority="38" aboveAverage="0" equalAverage="0" bottom="0" percent="0" rank="0" text="" dxfId="7">
      <formula>AND(ISNUMBER(Z36),Z36&gt;=0.9)</formula>
    </cfRule>
    <cfRule type="expression" priority="39" aboveAverage="0" equalAverage="0" bottom="0" percent="0" rank="0" text="" dxfId="8">
      <formula>AND(ISNUMBER(Z36),Z36&gt;=0.8,Z36&lt;0.9)</formula>
    </cfRule>
    <cfRule type="expression" priority="40" aboveAverage="0" equalAverage="0" bottom="0" percent="0" rank="0" text="" dxfId="9">
      <formula>AND(ISNUMBER(Z36),Z36&lt;0.8)</formula>
    </cfRule>
  </conditionalFormatting>
  <conditionalFormatting sqref="E54:E66">
    <cfRule type="expression" priority="41" aboveAverage="0" equalAverage="0" bottom="0" percent="0" rank="0" text="" dxfId="7">
      <formula>AND(ISNUMBER(E54),E54&gt;=0.9)</formula>
    </cfRule>
    <cfRule type="expression" priority="42" aboveAverage="0" equalAverage="0" bottom="0" percent="0" rank="0" text="" dxfId="8">
      <formula>AND(ISNUMBER(E54),E54&gt;=0.8,E54&lt;0.9)</formula>
    </cfRule>
    <cfRule type="expression" priority="43" aboveAverage="0" equalAverage="0" bottom="0" percent="0" rank="0" text="" dxfId="9">
      <formula>AND(ISNUMBER(E54),E54&lt;0.8)</formula>
    </cfRule>
  </conditionalFormatting>
  <conditionalFormatting sqref="H54:H66">
    <cfRule type="expression" priority="44" aboveAverage="0" equalAverage="0" bottom="0" percent="0" rank="0" text="" dxfId="7">
      <formula>AND(ISNUMBER(H54),H54&gt;=0.9)</formula>
    </cfRule>
    <cfRule type="expression" priority="45" aboveAverage="0" equalAverage="0" bottom="0" percent="0" rank="0" text="" dxfId="8">
      <formula>AND(ISNUMBER(H54),H54&gt;=0.8,H54&lt;0.9)</formula>
    </cfRule>
    <cfRule type="expression" priority="46" aboveAverage="0" equalAverage="0" bottom="0" percent="0" rank="0" text="" dxfId="9">
      <formula>AND(ISNUMBER(H54),H54&lt;0.8)</formula>
    </cfRule>
  </conditionalFormatting>
  <conditionalFormatting sqref="K54:K66">
    <cfRule type="expression" priority="47" aboveAverage="0" equalAverage="0" bottom="0" percent="0" rank="0" text="" dxfId="7">
      <formula>AND(ISNUMBER(K54),K54&gt;=0.9)</formula>
    </cfRule>
    <cfRule type="expression" priority="48" aboveAverage="0" equalAverage="0" bottom="0" percent="0" rank="0" text="" dxfId="8">
      <formula>AND(ISNUMBER(K54),K54&gt;=0.8,K54&lt;0.9)</formula>
    </cfRule>
    <cfRule type="expression" priority="49" aboveAverage="0" equalAverage="0" bottom="0" percent="0" rank="0" text="" dxfId="9">
      <formula>AND(ISNUMBER(K54),K54&lt;0.8)</formula>
    </cfRule>
  </conditionalFormatting>
  <conditionalFormatting sqref="N54:N66">
    <cfRule type="expression" priority="50" aboveAverage="0" equalAverage="0" bottom="0" percent="0" rank="0" text="" dxfId="7">
      <formula>AND(ISNUMBER(N54),N54&gt;=0.9)</formula>
    </cfRule>
    <cfRule type="expression" priority="51" aboveAverage="0" equalAverage="0" bottom="0" percent="0" rank="0" text="" dxfId="8">
      <formula>AND(ISNUMBER(N54),N54&gt;=0.8,N54&lt;0.9)</formula>
    </cfRule>
    <cfRule type="expression" priority="52" aboveAverage="0" equalAverage="0" bottom="0" percent="0" rank="0" text="" dxfId="9">
      <formula>AND(ISNUMBER(N54),N54&lt;0.8)</formula>
    </cfRule>
  </conditionalFormatting>
  <conditionalFormatting sqref="Q54:Q66">
    <cfRule type="expression" priority="53" aboveAverage="0" equalAverage="0" bottom="0" percent="0" rank="0" text="" dxfId="7">
      <formula>AND(ISNUMBER(Q54),Q54&gt;=0.9)</formula>
    </cfRule>
    <cfRule type="expression" priority="54" aboveAverage="0" equalAverage="0" bottom="0" percent="0" rank="0" text="" dxfId="8">
      <formula>AND(ISNUMBER(Q54),Q54&gt;=0.8,Q54&lt;0.9)</formula>
    </cfRule>
    <cfRule type="expression" priority="55" aboveAverage="0" equalAverage="0" bottom="0" percent="0" rank="0" text="" dxfId="9">
      <formula>AND(ISNUMBER(Q54),Q54&lt;0.8)</formula>
    </cfRule>
  </conditionalFormatting>
  <conditionalFormatting sqref="T54:T66">
    <cfRule type="expression" priority="56" aboveAverage="0" equalAverage="0" bottom="0" percent="0" rank="0" text="" dxfId="7">
      <formula>AND(ISNUMBER(T54),T54&gt;=0.9)</formula>
    </cfRule>
    <cfRule type="expression" priority="57" aboveAverage="0" equalAverage="0" bottom="0" percent="0" rank="0" text="" dxfId="8">
      <formula>AND(ISNUMBER(T54),T54&gt;=0.8,T54&lt;0.9)</formula>
    </cfRule>
    <cfRule type="expression" priority="58" aboveAverage="0" equalAverage="0" bottom="0" percent="0" rank="0" text="" dxfId="9">
      <formula>AND(ISNUMBER(T54),T54&lt;0.8)</formula>
    </cfRule>
  </conditionalFormatting>
  <conditionalFormatting sqref="W54:W66">
    <cfRule type="expression" priority="59" aboveAverage="0" equalAverage="0" bottom="0" percent="0" rank="0" text="" dxfId="7">
      <formula>AND(ISNUMBER(W54),W54&gt;=0.9)</formula>
    </cfRule>
    <cfRule type="expression" priority="60" aboveAverage="0" equalAverage="0" bottom="0" percent="0" rank="0" text="" dxfId="8">
      <formula>AND(ISNUMBER(W54),W54&gt;=0.8,W54&lt;0.9)</formula>
    </cfRule>
    <cfRule type="expression" priority="61" aboveAverage="0" equalAverage="0" bottom="0" percent="0" rank="0" text="" dxfId="9">
      <formula>AND(ISNUMBER(W54),W54&lt;0.8)</formula>
    </cfRule>
  </conditionalFormatting>
  <conditionalFormatting sqref="Z54:Z66">
    <cfRule type="expression" priority="62" aboveAverage="0" equalAverage="0" bottom="0" percent="0" rank="0" text="" dxfId="7">
      <formula>AND(ISNUMBER(Z54),Z54&gt;=0.9)</formula>
    </cfRule>
    <cfRule type="expression" priority="63" aboveAverage="0" equalAverage="0" bottom="0" percent="0" rank="0" text="" dxfId="8">
      <formula>AND(ISNUMBER(Z54),Z54&gt;=0.8,Z54&lt;0.9)</formula>
    </cfRule>
    <cfRule type="expression" priority="64" aboveAverage="0" equalAverage="0" bottom="0" percent="0" rank="0" text="" dxfId="9">
      <formula>AND(ISNUMBER(Z54),Z54&lt;0.8)</formula>
    </cfRule>
  </conditionalFormatting>
  <conditionalFormatting sqref="E72:E84">
    <cfRule type="expression" priority="65" aboveAverage="0" equalAverage="0" bottom="0" percent="0" rank="0" text="" dxfId="7">
      <formula>AND(ISNUMBER(E72),E72&gt;=0.9)</formula>
    </cfRule>
    <cfRule type="expression" priority="66" aboveAverage="0" equalAverage="0" bottom="0" percent="0" rank="0" text="" dxfId="8">
      <formula>AND(ISNUMBER(E72),E72&gt;=0.8,E72&lt;0.9)</formula>
    </cfRule>
    <cfRule type="expression" priority="67" aboveAverage="0" equalAverage="0" bottom="0" percent="0" rank="0" text="" dxfId="9">
      <formula>AND(ISNUMBER(E72),E72&lt;0.8)</formula>
    </cfRule>
  </conditionalFormatting>
  <conditionalFormatting sqref="H72:H84">
    <cfRule type="expression" priority="68" aboveAverage="0" equalAverage="0" bottom="0" percent="0" rank="0" text="" dxfId="7">
      <formula>AND(ISNUMBER(H72),H72&gt;=0.9)</formula>
    </cfRule>
    <cfRule type="expression" priority="69" aboveAverage="0" equalAverage="0" bottom="0" percent="0" rank="0" text="" dxfId="8">
      <formula>AND(ISNUMBER(H72),H72&gt;=0.8,H72&lt;0.9)</formula>
    </cfRule>
    <cfRule type="expression" priority="70" aboveAverage="0" equalAverage="0" bottom="0" percent="0" rank="0" text="" dxfId="9">
      <formula>AND(ISNUMBER(H72),H72&lt;0.8)</formula>
    </cfRule>
  </conditionalFormatting>
  <conditionalFormatting sqref="K72:K84">
    <cfRule type="expression" priority="71" aboveAverage="0" equalAverage="0" bottom="0" percent="0" rank="0" text="" dxfId="7">
      <formula>AND(ISNUMBER(K72),K72&gt;=0.9)</formula>
    </cfRule>
    <cfRule type="expression" priority="72" aboveAverage="0" equalAverage="0" bottom="0" percent="0" rank="0" text="" dxfId="8">
      <formula>AND(ISNUMBER(K72),K72&gt;=0.8,K72&lt;0.9)</formula>
    </cfRule>
    <cfRule type="expression" priority="73" aboveAverage="0" equalAverage="0" bottom="0" percent="0" rank="0" text="" dxfId="9">
      <formula>AND(ISNUMBER(K72),K72&lt;0.8)</formula>
    </cfRule>
  </conditionalFormatting>
  <conditionalFormatting sqref="N72:N84">
    <cfRule type="expression" priority="74" aboveAverage="0" equalAverage="0" bottom="0" percent="0" rank="0" text="" dxfId="7">
      <formula>AND(ISNUMBER(N72),N72&gt;=0.9)</formula>
    </cfRule>
    <cfRule type="expression" priority="75" aboveAverage="0" equalAverage="0" bottom="0" percent="0" rank="0" text="" dxfId="8">
      <formula>AND(ISNUMBER(N72),N72&gt;=0.8,N72&lt;0.9)</formula>
    </cfRule>
    <cfRule type="expression" priority="76" aboveAverage="0" equalAverage="0" bottom="0" percent="0" rank="0" text="" dxfId="9">
      <formula>AND(ISNUMBER(N72),N72&lt;0.8)</formula>
    </cfRule>
  </conditionalFormatting>
  <conditionalFormatting sqref="Q72:Q84">
    <cfRule type="expression" priority="77" aboveAverage="0" equalAverage="0" bottom="0" percent="0" rank="0" text="" dxfId="7">
      <formula>AND(ISNUMBER(Q72),Q72&gt;=0.9)</formula>
    </cfRule>
    <cfRule type="expression" priority="78" aboveAverage="0" equalAverage="0" bottom="0" percent="0" rank="0" text="" dxfId="8">
      <formula>AND(ISNUMBER(Q72),Q72&gt;=0.8,Q72&lt;0.9)</formula>
    </cfRule>
    <cfRule type="expression" priority="79" aboveAverage="0" equalAverage="0" bottom="0" percent="0" rank="0" text="" dxfId="9">
      <formula>AND(ISNUMBER(Q72),Q72&lt;0.8)</formula>
    </cfRule>
  </conditionalFormatting>
  <conditionalFormatting sqref="T72:T84">
    <cfRule type="expression" priority="80" aboveAverage="0" equalAverage="0" bottom="0" percent="0" rank="0" text="" dxfId="7">
      <formula>AND(ISNUMBER(T72),T72&gt;=0.9)</formula>
    </cfRule>
    <cfRule type="expression" priority="81" aboveAverage="0" equalAverage="0" bottom="0" percent="0" rank="0" text="" dxfId="8">
      <formula>AND(ISNUMBER(T72),T72&gt;=0.8,T72&lt;0.9)</formula>
    </cfRule>
    <cfRule type="expression" priority="82" aboveAverage="0" equalAverage="0" bottom="0" percent="0" rank="0" text="" dxfId="9">
      <formula>AND(ISNUMBER(T72),T72&lt;0.8)</formula>
    </cfRule>
  </conditionalFormatting>
  <conditionalFormatting sqref="W72:W84">
    <cfRule type="expression" priority="83" aboveAverage="0" equalAverage="0" bottom="0" percent="0" rank="0" text="" dxfId="7">
      <formula>AND(ISNUMBER(W72),W72&gt;=0.9)</formula>
    </cfRule>
    <cfRule type="expression" priority="84" aboveAverage="0" equalAverage="0" bottom="0" percent="0" rank="0" text="" dxfId="8">
      <formula>AND(ISNUMBER(W72),W72&gt;=0.8,W72&lt;0.9)</formula>
    </cfRule>
    <cfRule type="expression" priority="85" aboveAverage="0" equalAverage="0" bottom="0" percent="0" rank="0" text="" dxfId="9">
      <formula>AND(ISNUMBER(W72),W72&lt;0.8)</formula>
    </cfRule>
  </conditionalFormatting>
  <conditionalFormatting sqref="Z72:Z84">
    <cfRule type="expression" priority="86" aboveAverage="0" equalAverage="0" bottom="0" percent="0" rank="0" text="" dxfId="7">
      <formula>AND(ISNUMBER(Z72),Z72&gt;=0.9)</formula>
    </cfRule>
    <cfRule type="expression" priority="87" aboveAverage="0" equalAverage="0" bottom="0" percent="0" rank="0" text="" dxfId="8">
      <formula>AND(ISNUMBER(Z72),Z72&gt;=0.8,Z72&lt;0.9)</formula>
    </cfRule>
    <cfRule type="expression" priority="88" aboveAverage="0" equalAverage="0" bottom="0" percent="0" rank="0" text="" dxfId="9">
      <formula>AND(ISNUMBER(Z72),Z72&lt;0.8)</formula>
    </cfRule>
  </conditionalFormatting>
  <dataValidations count="4">
    <dataValidation allowBlank="true" errorStyle="stop" operator="between" showDropDown="false" showErrorMessage="false" showInputMessage="false" sqref="K6:K23" type="list">
      <formula1>$L$109:$L$139</formula1>
      <formula2>0</formula2>
    </dataValidation>
    <dataValidation allowBlank="true" errorStyle="stop" operator="between" showDropDown="false" showErrorMessage="false" showInputMessage="false" sqref="N6:N23" type="list">
      <formula1>"LSI,Injured,L,R"</formula1>
      <formula2>0</formula2>
    </dataValidation>
    <dataValidation allowBlank="true" errorStyle="stop" operator="between" showDropDown="false" showErrorMessage="false" showInputMessage="false" sqref="O6:O23" type="list">
      <formula1>"≥,≤"</formula1>
      <formula2>0</formula2>
    </dataValidation>
    <dataValidation allowBlank="true" errorStyle="stop" operator="between" showDropDown="false" showErrorMessage="false" showInputMessage="false" sqref="T6:T23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28A"/>
    <pageSetUpPr fitToPage="false"/>
  </sheetPr>
  <dimension ref="A1:AA16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"/>
    <col collapsed="false" customWidth="true" hidden="false" outlineLevel="0" max="26" min="3" style="0" width="10"/>
    <col collapsed="false" customWidth="true" hidden="false" outlineLevel="0" max="27" min="27" style="0" width="32"/>
  </cols>
  <sheetData>
    <row r="1" customFormat="false" ht="27.75" hidden="false" customHeight="true" outlineLevel="0" collapsed="false">
      <c r="A1" s="53" t="s">
        <v>236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customFormat="false" ht="25.5" hidden="false" customHeight="true" outlineLevel="0" collapsed="false">
      <c r="A2" s="54" t="s">
        <v>237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</row>
    <row r="4" customFormat="false" ht="19.5" hidden="false" customHeight="true" outlineLevel="0" collapsed="false">
      <c r="A4" s="62" t="s">
        <v>92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</row>
    <row r="5" customFormat="false" ht="30" hidden="false" customHeight="true" outlineLevel="0" collapsed="false">
      <c r="A5" s="63" t="s">
        <v>93</v>
      </c>
      <c r="B5" s="63" t="s">
        <v>94</v>
      </c>
      <c r="C5" s="63"/>
      <c r="D5" s="63" t="s">
        <v>95</v>
      </c>
      <c r="E5" s="63"/>
      <c r="F5" s="63"/>
      <c r="G5" s="63"/>
      <c r="H5" s="63"/>
      <c r="I5" s="63"/>
      <c r="J5" s="63"/>
      <c r="K5" s="63" t="s">
        <v>96</v>
      </c>
      <c r="L5" s="63"/>
      <c r="M5" s="63"/>
      <c r="N5" s="63" t="s">
        <v>97</v>
      </c>
      <c r="O5" s="63" t="s">
        <v>98</v>
      </c>
      <c r="P5" s="63" t="s">
        <v>99</v>
      </c>
      <c r="Q5" s="63" t="s">
        <v>100</v>
      </c>
      <c r="R5" s="63"/>
      <c r="S5" s="63" t="s">
        <v>101</v>
      </c>
      <c r="T5" s="63" t="s">
        <v>102</v>
      </c>
      <c r="U5" s="63" t="s">
        <v>103</v>
      </c>
      <c r="V5" s="63" t="s">
        <v>104</v>
      </c>
      <c r="W5" s="63"/>
      <c r="X5" s="63" t="s">
        <v>84</v>
      </c>
      <c r="Y5" s="63"/>
      <c r="Z5" s="63"/>
      <c r="AA5" s="63"/>
    </row>
    <row r="6" customFormat="false" ht="18" hidden="false" customHeight="true" outlineLevel="0" collapsed="false">
      <c r="A6" s="64" t="n">
        <v>1</v>
      </c>
      <c r="B6" s="65" t="s">
        <v>105</v>
      </c>
      <c r="C6" s="65"/>
      <c r="D6" s="58" t="s">
        <v>238</v>
      </c>
      <c r="E6" s="58"/>
      <c r="F6" s="58"/>
      <c r="G6" s="58"/>
      <c r="H6" s="58"/>
      <c r="I6" s="58"/>
      <c r="J6" s="58"/>
      <c r="K6" s="66" t="s">
        <v>107</v>
      </c>
      <c r="L6" s="66"/>
      <c r="M6" s="66"/>
      <c r="N6" s="67"/>
      <c r="O6" s="67" t="s">
        <v>108</v>
      </c>
      <c r="P6" s="67"/>
      <c r="Q6" s="68" t="str">
        <f aca="false">IF(IF(OR($K6="",$K6="Manual"),"",IF(LEFT($K6,4)="GPS:",IFERROR(CHOOSE(MATCH($K6,Lists!$G$3:$G$8,0),GPS!$G$6,GPS!$G$7,GPS!$G$8,GPS!$G$9,GPS!$G$10,GPS!$G$11),""),IFERROR(IF($N6="LSI",INDEX($I$109:$I$132,MATCH($K6,$C$109:$C$132,0)),IF($N6="L",INDEX($G$109:$G$132,MATCH($K6,$C$109:$C$132,0)),IF($N6="R",INDEX($H$109:$H$132,MATCH($K6,$C$109:$C$132,0)),IF(Dashboard!$K$5="L",INDEX($G$109:$G$132,MATCH($K6,$C$109:$C$132,0)),IF(Dashboard!$K$5="R",INDEX($H$109:$H$132,MATCH($K6,$C$109:$C$132,0)),""))))),"")))="","",IF(OR($N6="LSI",LEFT($K6,4)="GPS:"),TEXT(IF(OR($K6="",$K6="Manual"),"",IF(LEFT($K6,4)="GPS:",IFERROR(CHOOSE(MATCH($K6,Lists!$G$3:$G$8,0),GPS!$G$6,GPS!$G$7,GPS!$G$8,GPS!$G$9,GPS!$G$10,GPS!$G$11),""),IFERROR(IF($N6="LSI",INDEX($I$109:$I$132,MATCH($K6,$C$109:$C$132,0)),IF($N6="L",INDEX($G$109:$G$132,MATCH($K6,$C$109:$C$132,0)),IF($N6="R",INDEX($H$109:$H$132,MATCH($K6,$C$109:$C$132,0)),IF(Dashboard!$K$5="L",INDEX($G$109:$G$132,MATCH($K6,$C$109:$C$132,0)),IF(Dashboard!$K$5="R",INDEX($H$109:$H$132,MATCH($K6,$C$109:$C$132,0)),""))))),""))),"0%"),TEXT(IF(OR($K6="",$K6="Manual"),"",IF(LEFT($K6,4)="GPS:",IFERROR(CHOOSE(MATCH($K6,Lists!$G$3:$G$8,0),GPS!$G$6,GPS!$G$7,GPS!$G$8,GPS!$G$9,GPS!$G$10,GPS!$G$11),""),IFERROR(IF($N6="LSI",INDEX($I$109:$I$132,MATCH($K6,$C$109:$C$132,0)),IF($N6="L",INDEX($G$109:$G$132,MATCH($K6,$C$109:$C$132,0)),IF($N6="R",INDEX($H$109:$H$132,MATCH($K6,$C$109:$C$132,0)),IF(Dashboard!$K$5="L",INDEX($G$109:$G$132,MATCH($K6,$C$109:$C$132,0)),IF(Dashboard!$K$5="R",INDEX($H$109:$H$132,MATCH($K6,$C$109:$C$132,0)),""))))),""))),"0.0")))</f>
        <v/>
      </c>
      <c r="R6" s="68"/>
      <c r="S6" s="69" t="str">
        <f aca="false">IF(OR(IF(OR($K6="",$K6="Manual"),"",IF(LEFT($K6,4)="GPS:",IFERROR(CHOOSE(MATCH($K6,Lists!$G$3:$G$8,0),GPS!$G$6,GPS!$G$7,GPS!$G$8,GPS!$G$9,GPS!$G$10,GPS!$G$11),""),IFERROR(IF($N6="LSI",INDEX($I$109:$I$132,MATCH($K6,$C$109:$C$132,0)),IF($N6="L",INDEX($G$109:$G$132,MATCH($K6,$C$109:$C$132,0)),IF($N6="R",INDEX($H$109:$H$132,MATCH($K6,$C$109:$C$132,0)),IF(Dashboard!$K$5="L",INDEX($G$109:$G$132,MATCH($K6,$C$109:$C$132,0)),IF(Dashboard!$K$5="R",INDEX($H$109:$H$132,MATCH($K6,$C$109:$C$132,0)),""))))),"")))="",$P6=""),"",IF(IF($O6="≤",IF(OR($K6="",$K6="Manual"),"",IF(LEFT($K6,4)="GPS:",IFERROR(CHOOSE(MATCH($K6,Lists!$G$3:$G$8,0),GPS!$G$6,GPS!$G$7,GPS!$G$8,GPS!$G$9,GPS!$G$10,GPS!$G$11),""),IFERROR(IF($N6="LSI",INDEX($I$109:$I$132,MATCH($K6,$C$109:$C$132,0)),IF($N6="L",INDEX($G$109:$G$132,MATCH($K6,$C$109:$C$132,0)),IF($N6="R",INDEX($H$109:$H$132,MATCH($K6,$C$109:$C$132,0)),IF(Dashboard!$K$5="L",INDEX($G$109:$G$132,MATCH($K6,$C$109:$C$132,0)),IF(Dashboard!$K$5="R",INDEX($H$109:$H$132,MATCH($K6,$C$109:$C$132,0)),""))))),"")))&lt;=$P6,IF(OR($K6="",$K6="Manual"),"",IF(LEFT($K6,4)="GPS:",IFERROR(CHOOSE(MATCH($K6,Lists!$G$3:$G$8,0),GPS!$G$6,GPS!$G$7,GPS!$G$8,GPS!$G$9,GPS!$G$10,GPS!$G$11),""),IFERROR(IF($N6="LSI",INDEX($I$109:$I$132,MATCH($K6,$C$109:$C$132,0)),IF($N6="L",INDEX($G$109:$G$132,MATCH($K6,$C$109:$C$132,0)),IF($N6="R",INDEX($H$109:$H$132,MATCH($K6,$C$109:$C$132,0)),IF(Dashboard!$K$5="L",INDEX($G$109:$G$132,MATCH($K6,$C$109:$C$132,0)),IF(Dashboard!$K$5="R",INDEX($H$109:$H$132,MATCH($K6,$C$109:$C$132,0)),""))))),"")))&gt;=$P6),"MET","NOT MET"))</f>
        <v/>
      </c>
      <c r="T6" s="7"/>
      <c r="U6" s="68" t="str">
        <f aca="false">IF($T6&lt;&gt;"",$T6,IF($S6="MET","Y",IF($S6="NOT MET","N","")))</f>
        <v/>
      </c>
      <c r="V6" s="70" t="str">
        <f aca="false">IF($U6="Y",IFERROR(IF(LEFT($K6,4)="GPS:","",INDEX($J$109:$J$132,MATCH($K6,$C$109:$C$132,0))),""),"")</f>
        <v/>
      </c>
      <c r="W6" s="70"/>
      <c r="X6" s="58"/>
      <c r="Y6" s="58"/>
      <c r="Z6" s="58"/>
      <c r="AA6" s="58"/>
    </row>
    <row r="7" customFormat="false" ht="18" hidden="false" customHeight="true" outlineLevel="0" collapsed="false">
      <c r="A7" s="64" t="n">
        <v>2</v>
      </c>
      <c r="B7" s="65"/>
      <c r="C7" s="65"/>
      <c r="D7" s="58" t="s">
        <v>239</v>
      </c>
      <c r="E7" s="58"/>
      <c r="F7" s="58"/>
      <c r="G7" s="58"/>
      <c r="H7" s="58"/>
      <c r="I7" s="58"/>
      <c r="J7" s="58"/>
      <c r="K7" s="66" t="s">
        <v>231</v>
      </c>
      <c r="L7" s="66"/>
      <c r="M7" s="66"/>
      <c r="N7" s="67" t="s">
        <v>50</v>
      </c>
      <c r="O7" s="67" t="s">
        <v>108</v>
      </c>
      <c r="P7" s="67" t="n">
        <v>0.5</v>
      </c>
      <c r="Q7" s="68" t="str">
        <f aca="false">IF(IF(OR($K7="",$K7="Manual"),"",IF(LEFT($K7,4)="GPS:",IFERROR(CHOOSE(MATCH($K7,Lists!$G$3:$G$8,0),GPS!$G$6,GPS!$G$7,GPS!$G$8,GPS!$G$9,GPS!$G$10,GPS!$G$11),""),IFERROR(IF($N7="LSI",INDEX($I$109:$I$132,MATCH($K7,$C$109:$C$132,0)),IF($N7="L",INDEX($G$109:$G$132,MATCH($K7,$C$109:$C$132,0)),IF($N7="R",INDEX($H$109:$H$132,MATCH($K7,$C$109:$C$132,0)),IF(Dashboard!$K$5="L",INDEX($G$109:$G$132,MATCH($K7,$C$109:$C$132,0)),IF(Dashboard!$K$5="R",INDEX($H$109:$H$132,MATCH($K7,$C$109:$C$132,0)),""))))),"")))="","",IF(OR($N7="LSI",LEFT($K7,4)="GPS:"),TEXT(IF(OR($K7="",$K7="Manual"),"",IF(LEFT($K7,4)="GPS:",IFERROR(CHOOSE(MATCH($K7,Lists!$G$3:$G$8,0),GPS!$G$6,GPS!$G$7,GPS!$G$8,GPS!$G$9,GPS!$G$10,GPS!$G$11),""),IFERROR(IF($N7="LSI",INDEX($I$109:$I$132,MATCH($K7,$C$109:$C$132,0)),IF($N7="L",INDEX($G$109:$G$132,MATCH($K7,$C$109:$C$132,0)),IF($N7="R",INDEX($H$109:$H$132,MATCH($K7,$C$109:$C$132,0)),IF(Dashboard!$K$5="L",INDEX($G$109:$G$132,MATCH($K7,$C$109:$C$132,0)),IF(Dashboard!$K$5="R",INDEX($H$109:$H$132,MATCH($K7,$C$109:$C$132,0)),""))))),""))),"0%"),TEXT(IF(OR($K7="",$K7="Manual"),"",IF(LEFT($K7,4)="GPS:",IFERROR(CHOOSE(MATCH($K7,Lists!$G$3:$G$8,0),GPS!$G$6,GPS!$G$7,GPS!$G$8,GPS!$G$9,GPS!$G$10,GPS!$G$11),""),IFERROR(IF($N7="LSI",INDEX($I$109:$I$132,MATCH($K7,$C$109:$C$132,0)),IF($N7="L",INDEX($G$109:$G$132,MATCH($K7,$C$109:$C$132,0)),IF($N7="R",INDEX($H$109:$H$132,MATCH($K7,$C$109:$C$132,0)),IF(Dashboard!$K$5="L",INDEX($G$109:$G$132,MATCH($K7,$C$109:$C$132,0)),IF(Dashboard!$K$5="R",INDEX($H$109:$H$132,MATCH($K7,$C$109:$C$132,0)),""))))),""))),"0.0")))</f>
        <v/>
      </c>
      <c r="R7" s="68"/>
      <c r="S7" s="69" t="str">
        <f aca="false">IF(OR(IF(OR($K7="",$K7="Manual"),"",IF(LEFT($K7,4)="GPS:",IFERROR(CHOOSE(MATCH($K7,Lists!$G$3:$G$8,0),GPS!$G$6,GPS!$G$7,GPS!$G$8,GPS!$G$9,GPS!$G$10,GPS!$G$11),""),IFERROR(IF($N7="LSI",INDEX($I$109:$I$132,MATCH($K7,$C$109:$C$132,0)),IF($N7="L",INDEX($G$109:$G$132,MATCH($K7,$C$109:$C$132,0)),IF($N7="R",INDEX($H$109:$H$132,MATCH($K7,$C$109:$C$132,0)),IF(Dashboard!$K$5="L",INDEX($G$109:$G$132,MATCH($K7,$C$109:$C$132,0)),IF(Dashboard!$K$5="R",INDEX($H$109:$H$132,MATCH($K7,$C$109:$C$132,0)),""))))),"")))="",$P7=""),"",IF(IF($O7="≤",IF(OR($K7="",$K7="Manual"),"",IF(LEFT($K7,4)="GPS:",IFERROR(CHOOSE(MATCH($K7,Lists!$G$3:$G$8,0),GPS!$G$6,GPS!$G$7,GPS!$G$8,GPS!$G$9,GPS!$G$10,GPS!$G$11),""),IFERROR(IF($N7="LSI",INDEX($I$109:$I$132,MATCH($K7,$C$109:$C$132,0)),IF($N7="L",INDEX($G$109:$G$132,MATCH($K7,$C$109:$C$132,0)),IF($N7="R",INDEX($H$109:$H$132,MATCH($K7,$C$109:$C$132,0)),IF(Dashboard!$K$5="L",INDEX($G$109:$G$132,MATCH($K7,$C$109:$C$132,0)),IF(Dashboard!$K$5="R",INDEX($H$109:$H$132,MATCH($K7,$C$109:$C$132,0)),""))))),"")))&lt;=$P7,IF(OR($K7="",$K7="Manual"),"",IF(LEFT($K7,4)="GPS:",IFERROR(CHOOSE(MATCH($K7,Lists!$G$3:$G$8,0),GPS!$G$6,GPS!$G$7,GPS!$G$8,GPS!$G$9,GPS!$G$10,GPS!$G$11),""),IFERROR(IF($N7="LSI",INDEX($I$109:$I$132,MATCH($K7,$C$109:$C$132,0)),IF($N7="L",INDEX($G$109:$G$132,MATCH($K7,$C$109:$C$132,0)),IF($N7="R",INDEX($H$109:$H$132,MATCH($K7,$C$109:$C$132,0)),IF(Dashboard!$K$5="L",INDEX($G$109:$G$132,MATCH($K7,$C$109:$C$132,0)),IF(Dashboard!$K$5="R",INDEX($H$109:$H$132,MATCH($K7,$C$109:$C$132,0)),""))))),"")))&gt;=$P7),"MET","NOT MET"))</f>
        <v/>
      </c>
      <c r="T7" s="7"/>
      <c r="U7" s="68" t="str">
        <f aca="false">IF($T7&lt;&gt;"",$T7,IF($S7="MET","Y",IF($S7="NOT MET","N","")))</f>
        <v/>
      </c>
      <c r="V7" s="70" t="str">
        <f aca="false">IF($U7="Y",IFERROR(IF(LEFT($K7,4)="GPS:","",INDEX($J$109:$J$132,MATCH($K7,$C$109:$C$132,0))),""),"")</f>
        <v/>
      </c>
      <c r="W7" s="70"/>
      <c r="X7" s="58"/>
      <c r="Y7" s="58"/>
      <c r="Z7" s="58"/>
      <c r="AA7" s="58"/>
    </row>
    <row r="8" customFormat="false" ht="18" hidden="false" customHeight="true" outlineLevel="0" collapsed="false">
      <c r="A8" s="64" t="n">
        <v>3</v>
      </c>
      <c r="B8" s="65"/>
      <c r="C8" s="65"/>
      <c r="D8" s="58"/>
      <c r="E8" s="58"/>
      <c r="F8" s="58"/>
      <c r="G8" s="58"/>
      <c r="H8" s="58"/>
      <c r="I8" s="58"/>
      <c r="J8" s="58"/>
      <c r="K8" s="66"/>
      <c r="L8" s="66"/>
      <c r="M8" s="66"/>
      <c r="N8" s="67"/>
      <c r="O8" s="67" t="s">
        <v>108</v>
      </c>
      <c r="P8" s="67"/>
      <c r="Q8" s="68" t="str">
        <f aca="false">IF(IF(OR($K8="",$K8="Manual"),"",IF(LEFT($K8,4)="GPS:",IFERROR(CHOOSE(MATCH($K8,Lists!$G$3:$G$8,0),GPS!$G$6,GPS!$G$7,GPS!$G$8,GPS!$G$9,GPS!$G$10,GPS!$G$11),""),IFERROR(IF($N8="LSI",INDEX($I$109:$I$132,MATCH($K8,$C$109:$C$132,0)),IF($N8="L",INDEX($G$109:$G$132,MATCH($K8,$C$109:$C$132,0)),IF($N8="R",INDEX($H$109:$H$132,MATCH($K8,$C$109:$C$132,0)),IF(Dashboard!$K$5="L",INDEX($G$109:$G$132,MATCH($K8,$C$109:$C$132,0)),IF(Dashboard!$K$5="R",INDEX($H$109:$H$132,MATCH($K8,$C$109:$C$132,0)),""))))),"")))="","",IF(OR($N8="LSI",LEFT($K8,4)="GPS:"),TEXT(IF(OR($K8="",$K8="Manual"),"",IF(LEFT($K8,4)="GPS:",IFERROR(CHOOSE(MATCH($K8,Lists!$G$3:$G$8,0),GPS!$G$6,GPS!$G$7,GPS!$G$8,GPS!$G$9,GPS!$G$10,GPS!$G$11),""),IFERROR(IF($N8="LSI",INDEX($I$109:$I$132,MATCH($K8,$C$109:$C$132,0)),IF($N8="L",INDEX($G$109:$G$132,MATCH($K8,$C$109:$C$132,0)),IF($N8="R",INDEX($H$109:$H$132,MATCH($K8,$C$109:$C$132,0)),IF(Dashboard!$K$5="L",INDEX($G$109:$G$132,MATCH($K8,$C$109:$C$132,0)),IF(Dashboard!$K$5="R",INDEX($H$109:$H$132,MATCH($K8,$C$109:$C$132,0)),""))))),""))),"0%"),TEXT(IF(OR($K8="",$K8="Manual"),"",IF(LEFT($K8,4)="GPS:",IFERROR(CHOOSE(MATCH($K8,Lists!$G$3:$G$8,0),GPS!$G$6,GPS!$G$7,GPS!$G$8,GPS!$G$9,GPS!$G$10,GPS!$G$11),""),IFERROR(IF($N8="LSI",INDEX($I$109:$I$132,MATCH($K8,$C$109:$C$132,0)),IF($N8="L",INDEX($G$109:$G$132,MATCH($K8,$C$109:$C$132,0)),IF($N8="R",INDEX($H$109:$H$132,MATCH($K8,$C$109:$C$132,0)),IF(Dashboard!$K$5="L",INDEX($G$109:$G$132,MATCH($K8,$C$109:$C$132,0)),IF(Dashboard!$K$5="R",INDEX($H$109:$H$132,MATCH($K8,$C$109:$C$132,0)),""))))),""))),"0.0")))</f>
        <v/>
      </c>
      <c r="R8" s="68"/>
      <c r="S8" s="69" t="str">
        <f aca="false">IF(OR(IF(OR($K8="",$K8="Manual"),"",IF(LEFT($K8,4)="GPS:",IFERROR(CHOOSE(MATCH($K8,Lists!$G$3:$G$8,0),GPS!$G$6,GPS!$G$7,GPS!$G$8,GPS!$G$9,GPS!$G$10,GPS!$G$11),""),IFERROR(IF($N8="LSI",INDEX($I$109:$I$132,MATCH($K8,$C$109:$C$132,0)),IF($N8="L",INDEX($G$109:$G$132,MATCH($K8,$C$109:$C$132,0)),IF($N8="R",INDEX($H$109:$H$132,MATCH($K8,$C$109:$C$132,0)),IF(Dashboard!$K$5="L",INDEX($G$109:$G$132,MATCH($K8,$C$109:$C$132,0)),IF(Dashboard!$K$5="R",INDEX($H$109:$H$132,MATCH($K8,$C$109:$C$132,0)),""))))),"")))="",$P8=""),"",IF(IF($O8="≤",IF(OR($K8="",$K8="Manual"),"",IF(LEFT($K8,4)="GPS:",IFERROR(CHOOSE(MATCH($K8,Lists!$G$3:$G$8,0),GPS!$G$6,GPS!$G$7,GPS!$G$8,GPS!$G$9,GPS!$G$10,GPS!$G$11),""),IFERROR(IF($N8="LSI",INDEX($I$109:$I$132,MATCH($K8,$C$109:$C$132,0)),IF($N8="L",INDEX($G$109:$G$132,MATCH($K8,$C$109:$C$132,0)),IF($N8="R",INDEX($H$109:$H$132,MATCH($K8,$C$109:$C$132,0)),IF(Dashboard!$K$5="L",INDEX($G$109:$G$132,MATCH($K8,$C$109:$C$132,0)),IF(Dashboard!$K$5="R",INDEX($H$109:$H$132,MATCH($K8,$C$109:$C$132,0)),""))))),"")))&lt;=$P8,IF(OR($K8="",$K8="Manual"),"",IF(LEFT($K8,4)="GPS:",IFERROR(CHOOSE(MATCH($K8,Lists!$G$3:$G$8,0),GPS!$G$6,GPS!$G$7,GPS!$G$8,GPS!$G$9,GPS!$G$10,GPS!$G$11),""),IFERROR(IF($N8="LSI",INDEX($I$109:$I$132,MATCH($K8,$C$109:$C$132,0)),IF($N8="L",INDEX($G$109:$G$132,MATCH($K8,$C$109:$C$132,0)),IF($N8="R",INDEX($H$109:$H$132,MATCH($K8,$C$109:$C$132,0)),IF(Dashboard!$K$5="L",INDEX($G$109:$G$132,MATCH($K8,$C$109:$C$132,0)),IF(Dashboard!$K$5="R",INDEX($H$109:$H$132,MATCH($K8,$C$109:$C$132,0)),""))))),"")))&gt;=$P8),"MET","NOT MET"))</f>
        <v/>
      </c>
      <c r="T8" s="7"/>
      <c r="U8" s="68" t="str">
        <f aca="false">IF($T8&lt;&gt;"",$T8,IF($S8="MET","Y",IF($S8="NOT MET","N","")))</f>
        <v/>
      </c>
      <c r="V8" s="70" t="str">
        <f aca="false">IF($U8="Y",IFERROR(IF(LEFT($K8,4)="GPS:","",INDEX($J$109:$J$132,MATCH($K8,$C$109:$C$132,0))),""),"")</f>
        <v/>
      </c>
      <c r="W8" s="70"/>
      <c r="X8" s="58"/>
      <c r="Y8" s="58"/>
      <c r="Z8" s="58"/>
      <c r="AA8" s="58"/>
    </row>
    <row r="9" customFormat="false" ht="18" hidden="false" customHeight="true" outlineLevel="0" collapsed="false">
      <c r="A9" s="64" t="n">
        <v>4</v>
      </c>
      <c r="B9" s="65" t="s">
        <v>110</v>
      </c>
      <c r="C9" s="65"/>
      <c r="D9" s="58" t="s">
        <v>240</v>
      </c>
      <c r="E9" s="58"/>
      <c r="F9" s="58"/>
      <c r="G9" s="58"/>
      <c r="H9" s="58"/>
      <c r="I9" s="58"/>
      <c r="J9" s="58"/>
      <c r="K9" s="66" t="s">
        <v>231</v>
      </c>
      <c r="L9" s="66"/>
      <c r="M9" s="66"/>
      <c r="N9" s="67" t="s">
        <v>50</v>
      </c>
      <c r="O9" s="67" t="s">
        <v>108</v>
      </c>
      <c r="P9" s="67" t="n">
        <v>0.85</v>
      </c>
      <c r="Q9" s="68" t="str">
        <f aca="false">IF(IF(OR($K9="",$K9="Manual"),"",IF(LEFT($K9,4)="GPS:",IFERROR(CHOOSE(MATCH($K9,Lists!$G$3:$G$8,0),GPS!$G$6,GPS!$G$7,GPS!$G$8,GPS!$G$9,GPS!$G$10,GPS!$G$11),""),IFERROR(IF($N9="LSI",INDEX($I$109:$I$132,MATCH($K9,$C$109:$C$132,0)),IF($N9="L",INDEX($G$109:$G$132,MATCH($K9,$C$109:$C$132,0)),IF($N9="R",INDEX($H$109:$H$132,MATCH($K9,$C$109:$C$132,0)),IF(Dashboard!$K$5="L",INDEX($G$109:$G$132,MATCH($K9,$C$109:$C$132,0)),IF(Dashboard!$K$5="R",INDEX($H$109:$H$132,MATCH($K9,$C$109:$C$132,0)),""))))),"")))="","",IF(OR($N9="LSI",LEFT($K9,4)="GPS:"),TEXT(IF(OR($K9="",$K9="Manual"),"",IF(LEFT($K9,4)="GPS:",IFERROR(CHOOSE(MATCH($K9,Lists!$G$3:$G$8,0),GPS!$G$6,GPS!$G$7,GPS!$G$8,GPS!$G$9,GPS!$G$10,GPS!$G$11),""),IFERROR(IF($N9="LSI",INDEX($I$109:$I$132,MATCH($K9,$C$109:$C$132,0)),IF($N9="L",INDEX($G$109:$G$132,MATCH($K9,$C$109:$C$132,0)),IF($N9="R",INDEX($H$109:$H$132,MATCH($K9,$C$109:$C$132,0)),IF(Dashboard!$K$5="L",INDEX($G$109:$G$132,MATCH($K9,$C$109:$C$132,0)),IF(Dashboard!$K$5="R",INDEX($H$109:$H$132,MATCH($K9,$C$109:$C$132,0)),""))))),""))),"0%"),TEXT(IF(OR($K9="",$K9="Manual"),"",IF(LEFT($K9,4)="GPS:",IFERROR(CHOOSE(MATCH($K9,Lists!$G$3:$G$8,0),GPS!$G$6,GPS!$G$7,GPS!$G$8,GPS!$G$9,GPS!$G$10,GPS!$G$11),""),IFERROR(IF($N9="LSI",INDEX($I$109:$I$132,MATCH($K9,$C$109:$C$132,0)),IF($N9="L",INDEX($G$109:$G$132,MATCH($K9,$C$109:$C$132,0)),IF($N9="R",INDEX($H$109:$H$132,MATCH($K9,$C$109:$C$132,0)),IF(Dashboard!$K$5="L",INDEX($G$109:$G$132,MATCH($K9,$C$109:$C$132,0)),IF(Dashboard!$K$5="R",INDEX($H$109:$H$132,MATCH($K9,$C$109:$C$132,0)),""))))),""))),"0.0")))</f>
        <v/>
      </c>
      <c r="R9" s="68"/>
      <c r="S9" s="69" t="str">
        <f aca="false">IF(OR(IF(OR($K9="",$K9="Manual"),"",IF(LEFT($K9,4)="GPS:",IFERROR(CHOOSE(MATCH($K9,Lists!$G$3:$G$8,0),GPS!$G$6,GPS!$G$7,GPS!$G$8,GPS!$G$9,GPS!$G$10,GPS!$G$11),""),IFERROR(IF($N9="LSI",INDEX($I$109:$I$132,MATCH($K9,$C$109:$C$132,0)),IF($N9="L",INDEX($G$109:$G$132,MATCH($K9,$C$109:$C$132,0)),IF($N9="R",INDEX($H$109:$H$132,MATCH($K9,$C$109:$C$132,0)),IF(Dashboard!$K$5="L",INDEX($G$109:$G$132,MATCH($K9,$C$109:$C$132,0)),IF(Dashboard!$K$5="R",INDEX($H$109:$H$132,MATCH($K9,$C$109:$C$132,0)),""))))),"")))="",$P9=""),"",IF(IF($O9="≤",IF(OR($K9="",$K9="Manual"),"",IF(LEFT($K9,4)="GPS:",IFERROR(CHOOSE(MATCH($K9,Lists!$G$3:$G$8,0),GPS!$G$6,GPS!$G$7,GPS!$G$8,GPS!$G$9,GPS!$G$10,GPS!$G$11),""),IFERROR(IF($N9="LSI",INDEX($I$109:$I$132,MATCH($K9,$C$109:$C$132,0)),IF($N9="L",INDEX($G$109:$G$132,MATCH($K9,$C$109:$C$132,0)),IF($N9="R",INDEX($H$109:$H$132,MATCH($K9,$C$109:$C$132,0)),IF(Dashboard!$K$5="L",INDEX($G$109:$G$132,MATCH($K9,$C$109:$C$132,0)),IF(Dashboard!$K$5="R",INDEX($H$109:$H$132,MATCH($K9,$C$109:$C$132,0)),""))))),"")))&lt;=$P9,IF(OR($K9="",$K9="Manual"),"",IF(LEFT($K9,4)="GPS:",IFERROR(CHOOSE(MATCH($K9,Lists!$G$3:$G$8,0),GPS!$G$6,GPS!$G$7,GPS!$G$8,GPS!$G$9,GPS!$G$10,GPS!$G$11),""),IFERROR(IF($N9="LSI",INDEX($I$109:$I$132,MATCH($K9,$C$109:$C$132,0)),IF($N9="L",INDEX($G$109:$G$132,MATCH($K9,$C$109:$C$132,0)),IF($N9="R",INDEX($H$109:$H$132,MATCH($K9,$C$109:$C$132,0)),IF(Dashboard!$K$5="L",INDEX($G$109:$G$132,MATCH($K9,$C$109:$C$132,0)),IF(Dashboard!$K$5="R",INDEX($H$109:$H$132,MATCH($K9,$C$109:$C$132,0)),""))))),"")))&gt;=$P9),"MET","NOT MET"))</f>
        <v/>
      </c>
      <c r="T9" s="7"/>
      <c r="U9" s="68" t="str">
        <f aca="false">IF($T9&lt;&gt;"",$T9,IF($S9="MET","Y",IF($S9="NOT MET","N","")))</f>
        <v/>
      </c>
      <c r="V9" s="70" t="str">
        <f aca="false">IF($U9="Y",IFERROR(IF(LEFT($K9,4)="GPS:","",INDEX($J$109:$J$132,MATCH($K9,$C$109:$C$132,0))),""),"")</f>
        <v/>
      </c>
      <c r="W9" s="70"/>
      <c r="X9" s="58"/>
      <c r="Y9" s="58"/>
      <c r="Z9" s="58"/>
      <c r="AA9" s="58"/>
    </row>
    <row r="10" customFormat="false" ht="18" hidden="false" customHeight="true" outlineLevel="0" collapsed="false">
      <c r="A10" s="64" t="n">
        <v>5</v>
      </c>
      <c r="B10" s="65"/>
      <c r="C10" s="65"/>
      <c r="D10" s="58" t="s">
        <v>241</v>
      </c>
      <c r="E10" s="58"/>
      <c r="F10" s="58"/>
      <c r="G10" s="58"/>
      <c r="H10" s="58"/>
      <c r="I10" s="58"/>
      <c r="J10" s="58"/>
      <c r="K10" s="66" t="s">
        <v>242</v>
      </c>
      <c r="L10" s="66"/>
      <c r="M10" s="66"/>
      <c r="N10" s="67" t="s">
        <v>222</v>
      </c>
      <c r="O10" s="67" t="s">
        <v>108</v>
      </c>
      <c r="P10" s="67" t="n">
        <v>15</v>
      </c>
      <c r="Q10" s="68" t="str">
        <f aca="false">IF(IF(OR($K10="",$K10="Manual"),"",IF(LEFT($K10,4)="GPS:",IFERROR(CHOOSE(MATCH($K10,Lists!$G$3:$G$8,0),GPS!$G$6,GPS!$G$7,GPS!$G$8,GPS!$G$9,GPS!$G$10,GPS!$G$11),""),IFERROR(IF($N10="LSI",INDEX($I$109:$I$132,MATCH($K10,$C$109:$C$132,0)),IF($N10="L",INDEX($G$109:$G$132,MATCH($K10,$C$109:$C$132,0)),IF($N10="R",INDEX($H$109:$H$132,MATCH($K10,$C$109:$C$132,0)),IF(Dashboard!$K$5="L",INDEX($G$109:$G$132,MATCH($K10,$C$109:$C$132,0)),IF(Dashboard!$K$5="R",INDEX($H$109:$H$132,MATCH($K10,$C$109:$C$132,0)),""))))),"")))="","",IF(OR($N10="LSI",LEFT($K10,4)="GPS:"),TEXT(IF(OR($K10="",$K10="Manual"),"",IF(LEFT($K10,4)="GPS:",IFERROR(CHOOSE(MATCH($K10,Lists!$G$3:$G$8,0),GPS!$G$6,GPS!$G$7,GPS!$G$8,GPS!$G$9,GPS!$G$10,GPS!$G$11),""),IFERROR(IF($N10="LSI",INDEX($I$109:$I$132,MATCH($K10,$C$109:$C$132,0)),IF($N10="L",INDEX($G$109:$G$132,MATCH($K10,$C$109:$C$132,0)),IF($N10="R",INDEX($H$109:$H$132,MATCH($K10,$C$109:$C$132,0)),IF(Dashboard!$K$5="L",INDEX($G$109:$G$132,MATCH($K10,$C$109:$C$132,0)),IF(Dashboard!$K$5="R",INDEX($H$109:$H$132,MATCH($K10,$C$109:$C$132,0)),""))))),""))),"0%"),TEXT(IF(OR($K10="",$K10="Manual"),"",IF(LEFT($K10,4)="GPS:",IFERROR(CHOOSE(MATCH($K10,Lists!$G$3:$G$8,0),GPS!$G$6,GPS!$G$7,GPS!$G$8,GPS!$G$9,GPS!$G$10,GPS!$G$11),""),IFERROR(IF($N10="LSI",INDEX($I$109:$I$132,MATCH($K10,$C$109:$C$132,0)),IF($N10="L",INDEX($G$109:$G$132,MATCH($K10,$C$109:$C$132,0)),IF($N10="R",INDEX($H$109:$H$132,MATCH($K10,$C$109:$C$132,0)),IF(Dashboard!$K$5="L",INDEX($G$109:$G$132,MATCH($K10,$C$109:$C$132,0)),IF(Dashboard!$K$5="R",INDEX($H$109:$H$132,MATCH($K10,$C$109:$C$132,0)),""))))),""))),"0.0")))</f>
        <v/>
      </c>
      <c r="R10" s="68"/>
      <c r="S10" s="69" t="str">
        <f aca="false">IF(OR(IF(OR($K10="",$K10="Manual"),"",IF(LEFT($K10,4)="GPS:",IFERROR(CHOOSE(MATCH($K10,Lists!$G$3:$G$8,0),GPS!$G$6,GPS!$G$7,GPS!$G$8,GPS!$G$9,GPS!$G$10,GPS!$G$11),""),IFERROR(IF($N10="LSI",INDEX($I$109:$I$132,MATCH($K10,$C$109:$C$132,0)),IF($N10="L",INDEX($G$109:$G$132,MATCH($K10,$C$109:$C$132,0)),IF($N10="R",INDEX($H$109:$H$132,MATCH($K10,$C$109:$C$132,0)),IF(Dashboard!$K$5="L",INDEX($G$109:$G$132,MATCH($K10,$C$109:$C$132,0)),IF(Dashboard!$K$5="R",INDEX($H$109:$H$132,MATCH($K10,$C$109:$C$132,0)),""))))),"")))="",$P10=""),"",IF(IF($O10="≤",IF(OR($K10="",$K10="Manual"),"",IF(LEFT($K10,4)="GPS:",IFERROR(CHOOSE(MATCH($K10,Lists!$G$3:$G$8,0),GPS!$G$6,GPS!$G$7,GPS!$G$8,GPS!$G$9,GPS!$G$10,GPS!$G$11),""),IFERROR(IF($N10="LSI",INDEX($I$109:$I$132,MATCH($K10,$C$109:$C$132,0)),IF($N10="L",INDEX($G$109:$G$132,MATCH($K10,$C$109:$C$132,0)),IF($N10="R",INDEX($H$109:$H$132,MATCH($K10,$C$109:$C$132,0)),IF(Dashboard!$K$5="L",INDEX($G$109:$G$132,MATCH($K10,$C$109:$C$132,0)),IF(Dashboard!$K$5="R",INDEX($H$109:$H$132,MATCH($K10,$C$109:$C$132,0)),""))))),"")))&lt;=$P10,IF(OR($K10="",$K10="Manual"),"",IF(LEFT($K10,4)="GPS:",IFERROR(CHOOSE(MATCH($K10,Lists!$G$3:$G$8,0),GPS!$G$6,GPS!$G$7,GPS!$G$8,GPS!$G$9,GPS!$G$10,GPS!$G$11),""),IFERROR(IF($N10="LSI",INDEX($I$109:$I$132,MATCH($K10,$C$109:$C$132,0)),IF($N10="L",INDEX($G$109:$G$132,MATCH($K10,$C$109:$C$132,0)),IF($N10="R",INDEX($H$109:$H$132,MATCH($K10,$C$109:$C$132,0)),IF(Dashboard!$K$5="L",INDEX($G$109:$G$132,MATCH($K10,$C$109:$C$132,0)),IF(Dashboard!$K$5="R",INDEX($H$109:$H$132,MATCH($K10,$C$109:$C$132,0)),""))))),"")))&gt;=$P10),"MET","NOT MET"))</f>
        <v/>
      </c>
      <c r="T10" s="7"/>
      <c r="U10" s="68" t="str">
        <f aca="false">IF($T10&lt;&gt;"",$T10,IF($S10="MET","Y",IF($S10="NOT MET","N","")))</f>
        <v/>
      </c>
      <c r="V10" s="70" t="str">
        <f aca="false">IF($U10="Y",IFERROR(IF(LEFT($K10,4)="GPS:","",INDEX($J$109:$J$132,MATCH($K10,$C$109:$C$132,0))),""),"")</f>
        <v/>
      </c>
      <c r="W10" s="70"/>
      <c r="X10" s="58"/>
      <c r="Y10" s="58"/>
      <c r="Z10" s="58"/>
      <c r="AA10" s="58"/>
    </row>
    <row r="11" customFormat="false" ht="18" hidden="false" customHeight="true" outlineLevel="0" collapsed="false">
      <c r="A11" s="64" t="n">
        <v>6</v>
      </c>
      <c r="B11" s="65"/>
      <c r="C11" s="65"/>
      <c r="D11" s="58"/>
      <c r="E11" s="58"/>
      <c r="F11" s="58"/>
      <c r="G11" s="58"/>
      <c r="H11" s="58"/>
      <c r="I11" s="58"/>
      <c r="J11" s="58"/>
      <c r="K11" s="66"/>
      <c r="L11" s="66"/>
      <c r="M11" s="66"/>
      <c r="N11" s="67"/>
      <c r="O11" s="67" t="s">
        <v>108</v>
      </c>
      <c r="P11" s="67"/>
      <c r="Q11" s="68" t="str">
        <f aca="false">IF(IF(OR($K11="",$K11="Manual"),"",IF(LEFT($K11,4)="GPS:",IFERROR(CHOOSE(MATCH($K11,Lists!$G$3:$G$8,0),GPS!$G$6,GPS!$G$7,GPS!$G$8,GPS!$G$9,GPS!$G$10,GPS!$G$11),""),IFERROR(IF($N11="LSI",INDEX($I$109:$I$132,MATCH($K11,$C$109:$C$132,0)),IF($N11="L",INDEX($G$109:$G$132,MATCH($K11,$C$109:$C$132,0)),IF($N11="R",INDEX($H$109:$H$132,MATCH($K11,$C$109:$C$132,0)),IF(Dashboard!$K$5="L",INDEX($G$109:$G$132,MATCH($K11,$C$109:$C$132,0)),IF(Dashboard!$K$5="R",INDEX($H$109:$H$132,MATCH($K11,$C$109:$C$132,0)),""))))),"")))="","",IF(OR($N11="LSI",LEFT($K11,4)="GPS:"),TEXT(IF(OR($K11="",$K11="Manual"),"",IF(LEFT($K11,4)="GPS:",IFERROR(CHOOSE(MATCH($K11,Lists!$G$3:$G$8,0),GPS!$G$6,GPS!$G$7,GPS!$G$8,GPS!$G$9,GPS!$G$10,GPS!$G$11),""),IFERROR(IF($N11="LSI",INDEX($I$109:$I$132,MATCH($K11,$C$109:$C$132,0)),IF($N11="L",INDEX($G$109:$G$132,MATCH($K11,$C$109:$C$132,0)),IF($N11="R",INDEX($H$109:$H$132,MATCH($K11,$C$109:$C$132,0)),IF(Dashboard!$K$5="L",INDEX($G$109:$G$132,MATCH($K11,$C$109:$C$132,0)),IF(Dashboard!$K$5="R",INDEX($H$109:$H$132,MATCH($K11,$C$109:$C$132,0)),""))))),""))),"0%"),TEXT(IF(OR($K11="",$K11="Manual"),"",IF(LEFT($K11,4)="GPS:",IFERROR(CHOOSE(MATCH($K11,Lists!$G$3:$G$8,0),GPS!$G$6,GPS!$G$7,GPS!$G$8,GPS!$G$9,GPS!$G$10,GPS!$G$11),""),IFERROR(IF($N11="LSI",INDEX($I$109:$I$132,MATCH($K11,$C$109:$C$132,0)),IF($N11="L",INDEX($G$109:$G$132,MATCH($K11,$C$109:$C$132,0)),IF($N11="R",INDEX($H$109:$H$132,MATCH($K11,$C$109:$C$132,0)),IF(Dashboard!$K$5="L",INDEX($G$109:$G$132,MATCH($K11,$C$109:$C$132,0)),IF(Dashboard!$K$5="R",INDEX($H$109:$H$132,MATCH($K11,$C$109:$C$132,0)),""))))),""))),"0.0")))</f>
        <v/>
      </c>
      <c r="R11" s="68"/>
      <c r="S11" s="69" t="str">
        <f aca="false">IF(OR(IF(OR($K11="",$K11="Manual"),"",IF(LEFT($K11,4)="GPS:",IFERROR(CHOOSE(MATCH($K11,Lists!$G$3:$G$8,0),GPS!$G$6,GPS!$G$7,GPS!$G$8,GPS!$G$9,GPS!$G$10,GPS!$G$11),""),IFERROR(IF($N11="LSI",INDEX($I$109:$I$132,MATCH($K11,$C$109:$C$132,0)),IF($N11="L",INDEX($G$109:$G$132,MATCH($K11,$C$109:$C$132,0)),IF($N11="R",INDEX($H$109:$H$132,MATCH($K11,$C$109:$C$132,0)),IF(Dashboard!$K$5="L",INDEX($G$109:$G$132,MATCH($K11,$C$109:$C$132,0)),IF(Dashboard!$K$5="R",INDEX($H$109:$H$132,MATCH($K11,$C$109:$C$132,0)),""))))),"")))="",$P11=""),"",IF(IF($O11="≤",IF(OR($K11="",$K11="Manual"),"",IF(LEFT($K11,4)="GPS:",IFERROR(CHOOSE(MATCH($K11,Lists!$G$3:$G$8,0),GPS!$G$6,GPS!$G$7,GPS!$G$8,GPS!$G$9,GPS!$G$10,GPS!$G$11),""),IFERROR(IF($N11="LSI",INDEX($I$109:$I$132,MATCH($K11,$C$109:$C$132,0)),IF($N11="L",INDEX($G$109:$G$132,MATCH($K11,$C$109:$C$132,0)),IF($N11="R",INDEX($H$109:$H$132,MATCH($K11,$C$109:$C$132,0)),IF(Dashboard!$K$5="L",INDEX($G$109:$G$132,MATCH($K11,$C$109:$C$132,0)),IF(Dashboard!$K$5="R",INDEX($H$109:$H$132,MATCH($K11,$C$109:$C$132,0)),""))))),"")))&lt;=$P11,IF(OR($K11="",$K11="Manual"),"",IF(LEFT($K11,4)="GPS:",IFERROR(CHOOSE(MATCH($K11,Lists!$G$3:$G$8,0),GPS!$G$6,GPS!$G$7,GPS!$G$8,GPS!$G$9,GPS!$G$10,GPS!$G$11),""),IFERROR(IF($N11="LSI",INDEX($I$109:$I$132,MATCH($K11,$C$109:$C$132,0)),IF($N11="L",INDEX($G$109:$G$132,MATCH($K11,$C$109:$C$132,0)),IF($N11="R",INDEX($H$109:$H$132,MATCH($K11,$C$109:$C$132,0)),IF(Dashboard!$K$5="L",INDEX($G$109:$G$132,MATCH($K11,$C$109:$C$132,0)),IF(Dashboard!$K$5="R",INDEX($H$109:$H$132,MATCH($K11,$C$109:$C$132,0)),""))))),"")))&gt;=$P11),"MET","NOT MET"))</f>
        <v/>
      </c>
      <c r="T11" s="7"/>
      <c r="U11" s="68" t="str">
        <f aca="false">IF($T11&lt;&gt;"",$T11,IF($S11="MET","Y",IF($S11="NOT MET","N","")))</f>
        <v/>
      </c>
      <c r="V11" s="70" t="str">
        <f aca="false">IF($U11="Y",IFERROR(IF(LEFT($K11,4)="GPS:","",INDEX($J$109:$J$132,MATCH($K11,$C$109:$C$132,0))),""),"")</f>
        <v/>
      </c>
      <c r="W11" s="70"/>
      <c r="X11" s="58"/>
      <c r="Y11" s="58"/>
      <c r="Z11" s="58"/>
      <c r="AA11" s="58"/>
    </row>
    <row r="12" customFormat="false" ht="18" hidden="false" customHeight="true" outlineLevel="0" collapsed="false">
      <c r="A12" s="64" t="n">
        <v>7</v>
      </c>
      <c r="B12" s="65" t="s">
        <v>117</v>
      </c>
      <c r="C12" s="65"/>
      <c r="D12" s="58" t="s">
        <v>243</v>
      </c>
      <c r="E12" s="58"/>
      <c r="F12" s="58"/>
      <c r="G12" s="58"/>
      <c r="H12" s="58"/>
      <c r="I12" s="58"/>
      <c r="J12" s="58"/>
      <c r="K12" s="66" t="s">
        <v>244</v>
      </c>
      <c r="L12" s="66"/>
      <c r="M12" s="66"/>
      <c r="N12" s="67" t="s">
        <v>50</v>
      </c>
      <c r="O12" s="67" t="s">
        <v>108</v>
      </c>
      <c r="P12" s="67" t="n">
        <v>0.8</v>
      </c>
      <c r="Q12" s="68" t="str">
        <f aca="false">IF(IF(OR($K12="",$K12="Manual"),"",IF(LEFT($K12,4)="GPS:",IFERROR(CHOOSE(MATCH($K12,Lists!$G$3:$G$8,0),GPS!$G$6,GPS!$G$7,GPS!$G$8,GPS!$G$9,GPS!$G$10,GPS!$G$11),""),IFERROR(IF($N12="LSI",INDEX($I$109:$I$132,MATCH($K12,$C$109:$C$132,0)),IF($N12="L",INDEX($G$109:$G$132,MATCH($K12,$C$109:$C$132,0)),IF($N12="R",INDEX($H$109:$H$132,MATCH($K12,$C$109:$C$132,0)),IF(Dashboard!$K$5="L",INDEX($G$109:$G$132,MATCH($K12,$C$109:$C$132,0)),IF(Dashboard!$K$5="R",INDEX($H$109:$H$132,MATCH($K12,$C$109:$C$132,0)),""))))),"")))="","",IF(OR($N12="LSI",LEFT($K12,4)="GPS:"),TEXT(IF(OR($K12="",$K12="Manual"),"",IF(LEFT($K12,4)="GPS:",IFERROR(CHOOSE(MATCH($K12,Lists!$G$3:$G$8,0),GPS!$G$6,GPS!$G$7,GPS!$G$8,GPS!$G$9,GPS!$G$10,GPS!$G$11),""),IFERROR(IF($N12="LSI",INDEX($I$109:$I$132,MATCH($K12,$C$109:$C$132,0)),IF($N12="L",INDEX($G$109:$G$132,MATCH($K12,$C$109:$C$132,0)),IF($N12="R",INDEX($H$109:$H$132,MATCH($K12,$C$109:$C$132,0)),IF(Dashboard!$K$5="L",INDEX($G$109:$G$132,MATCH($K12,$C$109:$C$132,0)),IF(Dashboard!$K$5="R",INDEX($H$109:$H$132,MATCH($K12,$C$109:$C$132,0)),""))))),""))),"0%"),TEXT(IF(OR($K12="",$K12="Manual"),"",IF(LEFT($K12,4)="GPS:",IFERROR(CHOOSE(MATCH($K12,Lists!$G$3:$G$8,0),GPS!$G$6,GPS!$G$7,GPS!$G$8,GPS!$G$9,GPS!$G$10,GPS!$G$11),""),IFERROR(IF($N12="LSI",INDEX($I$109:$I$132,MATCH($K12,$C$109:$C$132,0)),IF($N12="L",INDEX($G$109:$G$132,MATCH($K12,$C$109:$C$132,0)),IF($N12="R",INDEX($H$109:$H$132,MATCH($K12,$C$109:$C$132,0)),IF(Dashboard!$K$5="L",INDEX($G$109:$G$132,MATCH($K12,$C$109:$C$132,0)),IF(Dashboard!$K$5="R",INDEX($H$109:$H$132,MATCH($K12,$C$109:$C$132,0)),""))))),""))),"0.0")))</f>
        <v/>
      </c>
      <c r="R12" s="68"/>
      <c r="S12" s="69" t="str">
        <f aca="false">IF(OR(IF(OR($K12="",$K12="Manual"),"",IF(LEFT($K12,4)="GPS:",IFERROR(CHOOSE(MATCH($K12,Lists!$G$3:$G$8,0),GPS!$G$6,GPS!$G$7,GPS!$G$8,GPS!$G$9,GPS!$G$10,GPS!$G$11),""),IFERROR(IF($N12="LSI",INDEX($I$109:$I$132,MATCH($K12,$C$109:$C$132,0)),IF($N12="L",INDEX($G$109:$G$132,MATCH($K12,$C$109:$C$132,0)),IF($N12="R",INDEX($H$109:$H$132,MATCH($K12,$C$109:$C$132,0)),IF(Dashboard!$K$5="L",INDEX($G$109:$G$132,MATCH($K12,$C$109:$C$132,0)),IF(Dashboard!$K$5="R",INDEX($H$109:$H$132,MATCH($K12,$C$109:$C$132,0)),""))))),"")))="",$P12=""),"",IF(IF($O12="≤",IF(OR($K12="",$K12="Manual"),"",IF(LEFT($K12,4)="GPS:",IFERROR(CHOOSE(MATCH($K12,Lists!$G$3:$G$8,0),GPS!$G$6,GPS!$G$7,GPS!$G$8,GPS!$G$9,GPS!$G$10,GPS!$G$11),""),IFERROR(IF($N12="LSI",INDEX($I$109:$I$132,MATCH($K12,$C$109:$C$132,0)),IF($N12="L",INDEX($G$109:$G$132,MATCH($K12,$C$109:$C$132,0)),IF($N12="R",INDEX($H$109:$H$132,MATCH($K12,$C$109:$C$132,0)),IF(Dashboard!$K$5="L",INDEX($G$109:$G$132,MATCH($K12,$C$109:$C$132,0)),IF(Dashboard!$K$5="R",INDEX($H$109:$H$132,MATCH($K12,$C$109:$C$132,0)),""))))),"")))&lt;=$P12,IF(OR($K12="",$K12="Manual"),"",IF(LEFT($K12,4)="GPS:",IFERROR(CHOOSE(MATCH($K12,Lists!$G$3:$G$8,0),GPS!$G$6,GPS!$G$7,GPS!$G$8,GPS!$G$9,GPS!$G$10,GPS!$G$11),""),IFERROR(IF($N12="LSI",INDEX($I$109:$I$132,MATCH($K12,$C$109:$C$132,0)),IF($N12="L",INDEX($G$109:$G$132,MATCH($K12,$C$109:$C$132,0)),IF($N12="R",INDEX($H$109:$H$132,MATCH($K12,$C$109:$C$132,0)),IF(Dashboard!$K$5="L",INDEX($G$109:$G$132,MATCH($K12,$C$109:$C$132,0)),IF(Dashboard!$K$5="R",INDEX($H$109:$H$132,MATCH($K12,$C$109:$C$132,0)),""))))),"")))&gt;=$P12),"MET","NOT MET"))</f>
        <v/>
      </c>
      <c r="T12" s="7"/>
      <c r="U12" s="68" t="str">
        <f aca="false">IF($T12&lt;&gt;"",$T12,IF($S12="MET","Y",IF($S12="NOT MET","N","")))</f>
        <v/>
      </c>
      <c r="V12" s="70" t="str">
        <f aca="false">IF($U12="Y",IFERROR(IF(LEFT($K12,4)="GPS:","",INDEX($J$109:$J$132,MATCH($K12,$C$109:$C$132,0))),""),"")</f>
        <v/>
      </c>
      <c r="W12" s="70"/>
      <c r="X12" s="58"/>
      <c r="Y12" s="58"/>
      <c r="Z12" s="58"/>
      <c r="AA12" s="58"/>
    </row>
    <row r="13" customFormat="false" ht="18" hidden="false" customHeight="true" outlineLevel="0" collapsed="false">
      <c r="A13" s="64" t="n">
        <v>8</v>
      </c>
      <c r="B13" s="65"/>
      <c r="C13" s="65"/>
      <c r="D13" s="58" t="s">
        <v>197</v>
      </c>
      <c r="E13" s="58"/>
      <c r="F13" s="58"/>
      <c r="G13" s="58"/>
      <c r="H13" s="58"/>
      <c r="I13" s="58"/>
      <c r="J13" s="58"/>
      <c r="K13" s="66" t="s">
        <v>107</v>
      </c>
      <c r="L13" s="66"/>
      <c r="M13" s="66"/>
      <c r="N13" s="67"/>
      <c r="O13" s="67" t="s">
        <v>108</v>
      </c>
      <c r="P13" s="67"/>
      <c r="Q13" s="68" t="str">
        <f aca="false">IF(IF(OR($K13="",$K13="Manual"),"",IF(LEFT($K13,4)="GPS:",IFERROR(CHOOSE(MATCH($K13,Lists!$G$3:$G$8,0),GPS!$G$6,GPS!$G$7,GPS!$G$8,GPS!$G$9,GPS!$G$10,GPS!$G$11),""),IFERROR(IF($N13="LSI",INDEX($I$109:$I$132,MATCH($K13,$C$109:$C$132,0)),IF($N13="L",INDEX($G$109:$G$132,MATCH($K13,$C$109:$C$132,0)),IF($N13="R",INDEX($H$109:$H$132,MATCH($K13,$C$109:$C$132,0)),IF(Dashboard!$K$5="L",INDEX($G$109:$G$132,MATCH($K13,$C$109:$C$132,0)),IF(Dashboard!$K$5="R",INDEX($H$109:$H$132,MATCH($K13,$C$109:$C$132,0)),""))))),"")))="","",IF(OR($N13="LSI",LEFT($K13,4)="GPS:"),TEXT(IF(OR($K13="",$K13="Manual"),"",IF(LEFT($K13,4)="GPS:",IFERROR(CHOOSE(MATCH($K13,Lists!$G$3:$G$8,0),GPS!$G$6,GPS!$G$7,GPS!$G$8,GPS!$G$9,GPS!$G$10,GPS!$G$11),""),IFERROR(IF($N13="LSI",INDEX($I$109:$I$132,MATCH($K13,$C$109:$C$132,0)),IF($N13="L",INDEX($G$109:$G$132,MATCH($K13,$C$109:$C$132,0)),IF($N13="R",INDEX($H$109:$H$132,MATCH($K13,$C$109:$C$132,0)),IF(Dashboard!$K$5="L",INDEX($G$109:$G$132,MATCH($K13,$C$109:$C$132,0)),IF(Dashboard!$K$5="R",INDEX($H$109:$H$132,MATCH($K13,$C$109:$C$132,0)),""))))),""))),"0%"),TEXT(IF(OR($K13="",$K13="Manual"),"",IF(LEFT($K13,4)="GPS:",IFERROR(CHOOSE(MATCH($K13,Lists!$G$3:$G$8,0),GPS!$G$6,GPS!$G$7,GPS!$G$8,GPS!$G$9,GPS!$G$10,GPS!$G$11),""),IFERROR(IF($N13="LSI",INDEX($I$109:$I$132,MATCH($K13,$C$109:$C$132,0)),IF($N13="L",INDEX($G$109:$G$132,MATCH($K13,$C$109:$C$132,0)),IF($N13="R",INDEX($H$109:$H$132,MATCH($K13,$C$109:$C$132,0)),IF(Dashboard!$K$5="L",INDEX($G$109:$G$132,MATCH($K13,$C$109:$C$132,0)),IF(Dashboard!$K$5="R",INDEX($H$109:$H$132,MATCH($K13,$C$109:$C$132,0)),""))))),""))),"0.0")))</f>
        <v/>
      </c>
      <c r="R13" s="68"/>
      <c r="S13" s="69" t="str">
        <f aca="false">IF(OR(IF(OR($K13="",$K13="Manual"),"",IF(LEFT($K13,4)="GPS:",IFERROR(CHOOSE(MATCH($K13,Lists!$G$3:$G$8,0),GPS!$G$6,GPS!$G$7,GPS!$G$8,GPS!$G$9,GPS!$G$10,GPS!$G$11),""),IFERROR(IF($N13="LSI",INDEX($I$109:$I$132,MATCH($K13,$C$109:$C$132,0)),IF($N13="L",INDEX($G$109:$G$132,MATCH($K13,$C$109:$C$132,0)),IF($N13="R",INDEX($H$109:$H$132,MATCH($K13,$C$109:$C$132,0)),IF(Dashboard!$K$5="L",INDEX($G$109:$G$132,MATCH($K13,$C$109:$C$132,0)),IF(Dashboard!$K$5="R",INDEX($H$109:$H$132,MATCH($K13,$C$109:$C$132,0)),""))))),"")))="",$P13=""),"",IF(IF($O13="≤",IF(OR($K13="",$K13="Manual"),"",IF(LEFT($K13,4)="GPS:",IFERROR(CHOOSE(MATCH($K13,Lists!$G$3:$G$8,0),GPS!$G$6,GPS!$G$7,GPS!$G$8,GPS!$G$9,GPS!$G$10,GPS!$G$11),""),IFERROR(IF($N13="LSI",INDEX($I$109:$I$132,MATCH($K13,$C$109:$C$132,0)),IF($N13="L",INDEX($G$109:$G$132,MATCH($K13,$C$109:$C$132,0)),IF($N13="R",INDEX($H$109:$H$132,MATCH($K13,$C$109:$C$132,0)),IF(Dashboard!$K$5="L",INDEX($G$109:$G$132,MATCH($K13,$C$109:$C$132,0)),IF(Dashboard!$K$5="R",INDEX($H$109:$H$132,MATCH($K13,$C$109:$C$132,0)),""))))),"")))&lt;=$P13,IF(OR($K13="",$K13="Manual"),"",IF(LEFT($K13,4)="GPS:",IFERROR(CHOOSE(MATCH($K13,Lists!$G$3:$G$8,0),GPS!$G$6,GPS!$G$7,GPS!$G$8,GPS!$G$9,GPS!$G$10,GPS!$G$11),""),IFERROR(IF($N13="LSI",INDEX($I$109:$I$132,MATCH($K13,$C$109:$C$132,0)),IF($N13="L",INDEX($G$109:$G$132,MATCH($K13,$C$109:$C$132,0)),IF($N13="R",INDEX($H$109:$H$132,MATCH($K13,$C$109:$C$132,0)),IF(Dashboard!$K$5="L",INDEX($G$109:$G$132,MATCH($K13,$C$109:$C$132,0)),IF(Dashboard!$K$5="R",INDEX($H$109:$H$132,MATCH($K13,$C$109:$C$132,0)),""))))),"")))&gt;=$P13),"MET","NOT MET"))</f>
        <v/>
      </c>
      <c r="T13" s="7"/>
      <c r="U13" s="68" t="str">
        <f aca="false">IF($T13&lt;&gt;"",$T13,IF($S13="MET","Y",IF($S13="NOT MET","N","")))</f>
        <v/>
      </c>
      <c r="V13" s="70" t="str">
        <f aca="false">IF($U13="Y",IFERROR(IF(LEFT($K13,4)="GPS:","",INDEX($J$109:$J$132,MATCH($K13,$C$109:$C$132,0))),""),"")</f>
        <v/>
      </c>
      <c r="W13" s="70"/>
      <c r="X13" s="58"/>
      <c r="Y13" s="58"/>
      <c r="Z13" s="58"/>
      <c r="AA13" s="58"/>
    </row>
    <row r="14" customFormat="false" ht="18" hidden="false" customHeight="true" outlineLevel="0" collapsed="false">
      <c r="A14" s="64" t="n">
        <v>9</v>
      </c>
      <c r="B14" s="65"/>
      <c r="C14" s="65"/>
      <c r="D14" s="58" t="s">
        <v>245</v>
      </c>
      <c r="E14" s="58"/>
      <c r="F14" s="58"/>
      <c r="G14" s="58"/>
      <c r="H14" s="58"/>
      <c r="I14" s="58"/>
      <c r="J14" s="58"/>
      <c r="K14" s="66" t="s">
        <v>107</v>
      </c>
      <c r="L14" s="66"/>
      <c r="M14" s="66"/>
      <c r="N14" s="67"/>
      <c r="O14" s="67" t="s">
        <v>108</v>
      </c>
      <c r="P14" s="67"/>
      <c r="Q14" s="68" t="str">
        <f aca="false">IF(IF(OR($K14="",$K14="Manual"),"",IF(LEFT($K14,4)="GPS:",IFERROR(CHOOSE(MATCH($K14,Lists!$G$3:$G$8,0),GPS!$G$6,GPS!$G$7,GPS!$G$8,GPS!$G$9,GPS!$G$10,GPS!$G$11),""),IFERROR(IF($N14="LSI",INDEX($I$109:$I$132,MATCH($K14,$C$109:$C$132,0)),IF($N14="L",INDEX($G$109:$G$132,MATCH($K14,$C$109:$C$132,0)),IF($N14="R",INDEX($H$109:$H$132,MATCH($K14,$C$109:$C$132,0)),IF(Dashboard!$K$5="L",INDEX($G$109:$G$132,MATCH($K14,$C$109:$C$132,0)),IF(Dashboard!$K$5="R",INDEX($H$109:$H$132,MATCH($K14,$C$109:$C$132,0)),""))))),"")))="","",IF(OR($N14="LSI",LEFT($K14,4)="GPS:"),TEXT(IF(OR($K14="",$K14="Manual"),"",IF(LEFT($K14,4)="GPS:",IFERROR(CHOOSE(MATCH($K14,Lists!$G$3:$G$8,0),GPS!$G$6,GPS!$G$7,GPS!$G$8,GPS!$G$9,GPS!$G$10,GPS!$G$11),""),IFERROR(IF($N14="LSI",INDEX($I$109:$I$132,MATCH($K14,$C$109:$C$132,0)),IF($N14="L",INDEX($G$109:$G$132,MATCH($K14,$C$109:$C$132,0)),IF($N14="R",INDEX($H$109:$H$132,MATCH($K14,$C$109:$C$132,0)),IF(Dashboard!$K$5="L",INDEX($G$109:$G$132,MATCH($K14,$C$109:$C$132,0)),IF(Dashboard!$K$5="R",INDEX($H$109:$H$132,MATCH($K14,$C$109:$C$132,0)),""))))),""))),"0%"),TEXT(IF(OR($K14="",$K14="Manual"),"",IF(LEFT($K14,4)="GPS:",IFERROR(CHOOSE(MATCH($K14,Lists!$G$3:$G$8,0),GPS!$G$6,GPS!$G$7,GPS!$G$8,GPS!$G$9,GPS!$G$10,GPS!$G$11),""),IFERROR(IF($N14="LSI",INDEX($I$109:$I$132,MATCH($K14,$C$109:$C$132,0)),IF($N14="L",INDEX($G$109:$G$132,MATCH($K14,$C$109:$C$132,0)),IF($N14="R",INDEX($H$109:$H$132,MATCH($K14,$C$109:$C$132,0)),IF(Dashboard!$K$5="L",INDEX($G$109:$G$132,MATCH($K14,$C$109:$C$132,0)),IF(Dashboard!$K$5="R",INDEX($H$109:$H$132,MATCH($K14,$C$109:$C$132,0)),""))))),""))),"0.0")))</f>
        <v/>
      </c>
      <c r="R14" s="68"/>
      <c r="S14" s="69" t="str">
        <f aca="false">IF(OR(IF(OR($K14="",$K14="Manual"),"",IF(LEFT($K14,4)="GPS:",IFERROR(CHOOSE(MATCH($K14,Lists!$G$3:$G$8,0),GPS!$G$6,GPS!$G$7,GPS!$G$8,GPS!$G$9,GPS!$G$10,GPS!$G$11),""),IFERROR(IF($N14="LSI",INDEX($I$109:$I$132,MATCH($K14,$C$109:$C$132,0)),IF($N14="L",INDEX($G$109:$G$132,MATCH($K14,$C$109:$C$132,0)),IF($N14="R",INDEX($H$109:$H$132,MATCH($K14,$C$109:$C$132,0)),IF(Dashboard!$K$5="L",INDEX($G$109:$G$132,MATCH($K14,$C$109:$C$132,0)),IF(Dashboard!$K$5="R",INDEX($H$109:$H$132,MATCH($K14,$C$109:$C$132,0)),""))))),"")))="",$P14=""),"",IF(IF($O14="≤",IF(OR($K14="",$K14="Manual"),"",IF(LEFT($K14,4)="GPS:",IFERROR(CHOOSE(MATCH($K14,Lists!$G$3:$G$8,0),GPS!$G$6,GPS!$G$7,GPS!$G$8,GPS!$G$9,GPS!$G$10,GPS!$G$11),""),IFERROR(IF($N14="LSI",INDEX($I$109:$I$132,MATCH($K14,$C$109:$C$132,0)),IF($N14="L",INDEX($G$109:$G$132,MATCH($K14,$C$109:$C$132,0)),IF($N14="R",INDEX($H$109:$H$132,MATCH($K14,$C$109:$C$132,0)),IF(Dashboard!$K$5="L",INDEX($G$109:$G$132,MATCH($K14,$C$109:$C$132,0)),IF(Dashboard!$K$5="R",INDEX($H$109:$H$132,MATCH($K14,$C$109:$C$132,0)),""))))),"")))&lt;=$P14,IF(OR($K14="",$K14="Manual"),"",IF(LEFT($K14,4)="GPS:",IFERROR(CHOOSE(MATCH($K14,Lists!$G$3:$G$8,0),GPS!$G$6,GPS!$G$7,GPS!$G$8,GPS!$G$9,GPS!$G$10,GPS!$G$11),""),IFERROR(IF($N14="LSI",INDEX($I$109:$I$132,MATCH($K14,$C$109:$C$132,0)),IF($N14="L",INDEX($G$109:$G$132,MATCH($K14,$C$109:$C$132,0)),IF($N14="R",INDEX($H$109:$H$132,MATCH($K14,$C$109:$C$132,0)),IF(Dashboard!$K$5="L",INDEX($G$109:$G$132,MATCH($K14,$C$109:$C$132,0)),IF(Dashboard!$K$5="R",INDEX($H$109:$H$132,MATCH($K14,$C$109:$C$132,0)),""))))),"")))&gt;=$P14),"MET","NOT MET"))</f>
        <v/>
      </c>
      <c r="T14" s="7"/>
      <c r="U14" s="68" t="str">
        <f aca="false">IF($T14&lt;&gt;"",$T14,IF($S14="MET","Y",IF($S14="NOT MET","N","")))</f>
        <v/>
      </c>
      <c r="V14" s="70" t="str">
        <f aca="false">IF($U14="Y",IFERROR(IF(LEFT($K14,4)="GPS:","",INDEX($J$109:$J$132,MATCH($K14,$C$109:$C$132,0))),""),"")</f>
        <v/>
      </c>
      <c r="W14" s="70"/>
      <c r="X14" s="58"/>
      <c r="Y14" s="58"/>
      <c r="Z14" s="58"/>
      <c r="AA14" s="58"/>
    </row>
    <row r="15" customFormat="false" ht="18" hidden="false" customHeight="true" outlineLevel="0" collapsed="false">
      <c r="A15" s="64" t="n">
        <v>10</v>
      </c>
      <c r="B15" s="65" t="s">
        <v>122</v>
      </c>
      <c r="C15" s="65"/>
      <c r="D15" s="58" t="s">
        <v>246</v>
      </c>
      <c r="E15" s="58"/>
      <c r="F15" s="58"/>
      <c r="G15" s="58"/>
      <c r="H15" s="58"/>
      <c r="I15" s="58"/>
      <c r="J15" s="58"/>
      <c r="K15" s="66" t="s">
        <v>162</v>
      </c>
      <c r="L15" s="66"/>
      <c r="M15" s="66"/>
      <c r="N15" s="67" t="s">
        <v>50</v>
      </c>
      <c r="O15" s="67" t="s">
        <v>108</v>
      </c>
      <c r="P15" s="67" t="n">
        <v>0.9</v>
      </c>
      <c r="Q15" s="68" t="str">
        <f aca="false">IF(IF(OR($K15="",$K15="Manual"),"",IF(LEFT($K15,4)="GPS:",IFERROR(CHOOSE(MATCH($K15,Lists!$G$3:$G$8,0),GPS!$G$6,GPS!$G$7,GPS!$G$8,GPS!$G$9,GPS!$G$10,GPS!$G$11),""),IFERROR(IF($N15="LSI",INDEX($I$109:$I$132,MATCH($K15,$C$109:$C$132,0)),IF($N15="L",INDEX($G$109:$G$132,MATCH($K15,$C$109:$C$132,0)),IF($N15="R",INDEX($H$109:$H$132,MATCH($K15,$C$109:$C$132,0)),IF(Dashboard!$K$5="L",INDEX($G$109:$G$132,MATCH($K15,$C$109:$C$132,0)),IF(Dashboard!$K$5="R",INDEX($H$109:$H$132,MATCH($K15,$C$109:$C$132,0)),""))))),"")))="","",IF(OR($N15="LSI",LEFT($K15,4)="GPS:"),TEXT(IF(OR($K15="",$K15="Manual"),"",IF(LEFT($K15,4)="GPS:",IFERROR(CHOOSE(MATCH($K15,Lists!$G$3:$G$8,0),GPS!$G$6,GPS!$G$7,GPS!$G$8,GPS!$G$9,GPS!$G$10,GPS!$G$11),""),IFERROR(IF($N15="LSI",INDEX($I$109:$I$132,MATCH($K15,$C$109:$C$132,0)),IF($N15="L",INDEX($G$109:$G$132,MATCH($K15,$C$109:$C$132,0)),IF($N15="R",INDEX($H$109:$H$132,MATCH($K15,$C$109:$C$132,0)),IF(Dashboard!$K$5="L",INDEX($G$109:$G$132,MATCH($K15,$C$109:$C$132,0)),IF(Dashboard!$K$5="R",INDEX($H$109:$H$132,MATCH($K15,$C$109:$C$132,0)),""))))),""))),"0%"),TEXT(IF(OR($K15="",$K15="Manual"),"",IF(LEFT($K15,4)="GPS:",IFERROR(CHOOSE(MATCH($K15,Lists!$G$3:$G$8,0),GPS!$G$6,GPS!$G$7,GPS!$G$8,GPS!$G$9,GPS!$G$10,GPS!$G$11),""),IFERROR(IF($N15="LSI",INDEX($I$109:$I$132,MATCH($K15,$C$109:$C$132,0)),IF($N15="L",INDEX($G$109:$G$132,MATCH($K15,$C$109:$C$132,0)),IF($N15="R",INDEX($H$109:$H$132,MATCH($K15,$C$109:$C$132,0)),IF(Dashboard!$K$5="L",INDEX($G$109:$G$132,MATCH($K15,$C$109:$C$132,0)),IF(Dashboard!$K$5="R",INDEX($H$109:$H$132,MATCH($K15,$C$109:$C$132,0)),""))))),""))),"0.0")))</f>
        <v/>
      </c>
      <c r="R15" s="68"/>
      <c r="S15" s="69" t="str">
        <f aca="false">IF(OR(IF(OR($K15="",$K15="Manual"),"",IF(LEFT($K15,4)="GPS:",IFERROR(CHOOSE(MATCH($K15,Lists!$G$3:$G$8,0),GPS!$G$6,GPS!$G$7,GPS!$G$8,GPS!$G$9,GPS!$G$10,GPS!$G$11),""),IFERROR(IF($N15="LSI",INDEX($I$109:$I$132,MATCH($K15,$C$109:$C$132,0)),IF($N15="L",INDEX($G$109:$G$132,MATCH($K15,$C$109:$C$132,0)),IF($N15="R",INDEX($H$109:$H$132,MATCH($K15,$C$109:$C$132,0)),IF(Dashboard!$K$5="L",INDEX($G$109:$G$132,MATCH($K15,$C$109:$C$132,0)),IF(Dashboard!$K$5="R",INDEX($H$109:$H$132,MATCH($K15,$C$109:$C$132,0)),""))))),"")))="",$P15=""),"",IF(IF($O15="≤",IF(OR($K15="",$K15="Manual"),"",IF(LEFT($K15,4)="GPS:",IFERROR(CHOOSE(MATCH($K15,Lists!$G$3:$G$8,0),GPS!$G$6,GPS!$G$7,GPS!$G$8,GPS!$G$9,GPS!$G$10,GPS!$G$11),""),IFERROR(IF($N15="LSI",INDEX($I$109:$I$132,MATCH($K15,$C$109:$C$132,0)),IF($N15="L",INDEX($G$109:$G$132,MATCH($K15,$C$109:$C$132,0)),IF($N15="R",INDEX($H$109:$H$132,MATCH($K15,$C$109:$C$132,0)),IF(Dashboard!$K$5="L",INDEX($G$109:$G$132,MATCH($K15,$C$109:$C$132,0)),IF(Dashboard!$K$5="R",INDEX($H$109:$H$132,MATCH($K15,$C$109:$C$132,0)),""))))),"")))&lt;=$P15,IF(OR($K15="",$K15="Manual"),"",IF(LEFT($K15,4)="GPS:",IFERROR(CHOOSE(MATCH($K15,Lists!$G$3:$G$8,0),GPS!$G$6,GPS!$G$7,GPS!$G$8,GPS!$G$9,GPS!$G$10,GPS!$G$11),""),IFERROR(IF($N15="LSI",INDEX($I$109:$I$132,MATCH($K15,$C$109:$C$132,0)),IF($N15="L",INDEX($G$109:$G$132,MATCH($K15,$C$109:$C$132,0)),IF($N15="R",INDEX($H$109:$H$132,MATCH($K15,$C$109:$C$132,0)),IF(Dashboard!$K$5="L",INDEX($G$109:$G$132,MATCH($K15,$C$109:$C$132,0)),IF(Dashboard!$K$5="R",INDEX($H$109:$H$132,MATCH($K15,$C$109:$C$132,0)),""))))),"")))&gt;=$P15),"MET","NOT MET"))</f>
        <v/>
      </c>
      <c r="T15" s="7"/>
      <c r="U15" s="68" t="str">
        <f aca="false">IF($T15&lt;&gt;"",$T15,IF($S15="MET","Y",IF($S15="NOT MET","N","")))</f>
        <v/>
      </c>
      <c r="V15" s="70" t="str">
        <f aca="false">IF($U15="Y",IFERROR(IF(LEFT($K15,4)="GPS:","",INDEX($J$109:$J$132,MATCH($K15,$C$109:$C$132,0))),""),"")</f>
        <v/>
      </c>
      <c r="W15" s="70"/>
      <c r="X15" s="58"/>
      <c r="Y15" s="58"/>
      <c r="Z15" s="58"/>
      <c r="AA15" s="58"/>
    </row>
    <row r="16" customFormat="false" ht="18" hidden="false" customHeight="true" outlineLevel="0" collapsed="false">
      <c r="A16" s="64" t="n">
        <v>11</v>
      </c>
      <c r="B16" s="65"/>
      <c r="C16" s="65"/>
      <c r="D16" s="58" t="s">
        <v>124</v>
      </c>
      <c r="E16" s="58"/>
      <c r="F16" s="58"/>
      <c r="G16" s="58"/>
      <c r="H16" s="58"/>
      <c r="I16" s="58"/>
      <c r="J16" s="58"/>
      <c r="K16" s="66" t="s">
        <v>125</v>
      </c>
      <c r="L16" s="66"/>
      <c r="M16" s="66"/>
      <c r="N16" s="67" t="s">
        <v>50</v>
      </c>
      <c r="O16" s="67" t="s">
        <v>108</v>
      </c>
      <c r="P16" s="67" t="n">
        <v>0.9</v>
      </c>
      <c r="Q16" s="68" t="str">
        <f aca="false">IF(IF(OR($K16="",$K16="Manual"),"",IF(LEFT($K16,4)="GPS:",IFERROR(CHOOSE(MATCH($K16,Lists!$G$3:$G$8,0),GPS!$G$6,GPS!$G$7,GPS!$G$8,GPS!$G$9,GPS!$G$10,GPS!$G$11),""),IFERROR(IF($N16="LSI",INDEX($I$109:$I$132,MATCH($K16,$C$109:$C$132,0)),IF($N16="L",INDEX($G$109:$G$132,MATCH($K16,$C$109:$C$132,0)),IF($N16="R",INDEX($H$109:$H$132,MATCH($K16,$C$109:$C$132,0)),IF(Dashboard!$K$5="L",INDEX($G$109:$G$132,MATCH($K16,$C$109:$C$132,0)),IF(Dashboard!$K$5="R",INDEX($H$109:$H$132,MATCH($K16,$C$109:$C$132,0)),""))))),"")))="","",IF(OR($N16="LSI",LEFT($K16,4)="GPS:"),TEXT(IF(OR($K16="",$K16="Manual"),"",IF(LEFT($K16,4)="GPS:",IFERROR(CHOOSE(MATCH($K16,Lists!$G$3:$G$8,0),GPS!$G$6,GPS!$G$7,GPS!$G$8,GPS!$G$9,GPS!$G$10,GPS!$G$11),""),IFERROR(IF($N16="LSI",INDEX($I$109:$I$132,MATCH($K16,$C$109:$C$132,0)),IF($N16="L",INDEX($G$109:$G$132,MATCH($K16,$C$109:$C$132,0)),IF($N16="R",INDEX($H$109:$H$132,MATCH($K16,$C$109:$C$132,0)),IF(Dashboard!$K$5="L",INDEX($G$109:$G$132,MATCH($K16,$C$109:$C$132,0)),IF(Dashboard!$K$5="R",INDEX($H$109:$H$132,MATCH($K16,$C$109:$C$132,0)),""))))),""))),"0%"),TEXT(IF(OR($K16="",$K16="Manual"),"",IF(LEFT($K16,4)="GPS:",IFERROR(CHOOSE(MATCH($K16,Lists!$G$3:$G$8,0),GPS!$G$6,GPS!$G$7,GPS!$G$8,GPS!$G$9,GPS!$G$10,GPS!$G$11),""),IFERROR(IF($N16="LSI",INDEX($I$109:$I$132,MATCH($K16,$C$109:$C$132,0)),IF($N16="L",INDEX($G$109:$G$132,MATCH($K16,$C$109:$C$132,0)),IF($N16="R",INDEX($H$109:$H$132,MATCH($K16,$C$109:$C$132,0)),IF(Dashboard!$K$5="L",INDEX($G$109:$G$132,MATCH($K16,$C$109:$C$132,0)),IF(Dashboard!$K$5="R",INDEX($H$109:$H$132,MATCH($K16,$C$109:$C$132,0)),""))))),""))),"0.0")))</f>
        <v/>
      </c>
      <c r="R16" s="68"/>
      <c r="S16" s="69" t="str">
        <f aca="false">IF(OR(IF(OR($K16="",$K16="Manual"),"",IF(LEFT($K16,4)="GPS:",IFERROR(CHOOSE(MATCH($K16,Lists!$G$3:$G$8,0),GPS!$G$6,GPS!$G$7,GPS!$G$8,GPS!$G$9,GPS!$G$10,GPS!$G$11),""),IFERROR(IF($N16="LSI",INDEX($I$109:$I$132,MATCH($K16,$C$109:$C$132,0)),IF($N16="L",INDEX($G$109:$G$132,MATCH($K16,$C$109:$C$132,0)),IF($N16="R",INDEX($H$109:$H$132,MATCH($K16,$C$109:$C$132,0)),IF(Dashboard!$K$5="L",INDEX($G$109:$G$132,MATCH($K16,$C$109:$C$132,0)),IF(Dashboard!$K$5="R",INDEX($H$109:$H$132,MATCH($K16,$C$109:$C$132,0)),""))))),"")))="",$P16=""),"",IF(IF($O16="≤",IF(OR($K16="",$K16="Manual"),"",IF(LEFT($K16,4)="GPS:",IFERROR(CHOOSE(MATCH($K16,Lists!$G$3:$G$8,0),GPS!$G$6,GPS!$G$7,GPS!$G$8,GPS!$G$9,GPS!$G$10,GPS!$G$11),""),IFERROR(IF($N16="LSI",INDEX($I$109:$I$132,MATCH($K16,$C$109:$C$132,0)),IF($N16="L",INDEX($G$109:$G$132,MATCH($K16,$C$109:$C$132,0)),IF($N16="R",INDEX($H$109:$H$132,MATCH($K16,$C$109:$C$132,0)),IF(Dashboard!$K$5="L",INDEX($G$109:$G$132,MATCH($K16,$C$109:$C$132,0)),IF(Dashboard!$K$5="R",INDEX($H$109:$H$132,MATCH($K16,$C$109:$C$132,0)),""))))),"")))&lt;=$P16,IF(OR($K16="",$K16="Manual"),"",IF(LEFT($K16,4)="GPS:",IFERROR(CHOOSE(MATCH($K16,Lists!$G$3:$G$8,0),GPS!$G$6,GPS!$G$7,GPS!$G$8,GPS!$G$9,GPS!$G$10,GPS!$G$11),""),IFERROR(IF($N16="LSI",INDEX($I$109:$I$132,MATCH($K16,$C$109:$C$132,0)),IF($N16="L",INDEX($G$109:$G$132,MATCH($K16,$C$109:$C$132,0)),IF($N16="R",INDEX($H$109:$H$132,MATCH($K16,$C$109:$C$132,0)),IF(Dashboard!$K$5="L",INDEX($G$109:$G$132,MATCH($K16,$C$109:$C$132,0)),IF(Dashboard!$K$5="R",INDEX($H$109:$H$132,MATCH($K16,$C$109:$C$132,0)),""))))),"")))&gt;=$P16),"MET","NOT MET"))</f>
        <v/>
      </c>
      <c r="T16" s="7"/>
      <c r="U16" s="68" t="str">
        <f aca="false">IF($T16&lt;&gt;"",$T16,IF($S16="MET","Y",IF($S16="NOT MET","N","")))</f>
        <v/>
      </c>
      <c r="V16" s="70" t="str">
        <f aca="false">IF($U16="Y",IFERROR(IF(LEFT($K16,4)="GPS:","",INDEX($J$109:$J$132,MATCH($K16,$C$109:$C$132,0))),""),"")</f>
        <v/>
      </c>
      <c r="W16" s="70"/>
      <c r="X16" s="58"/>
      <c r="Y16" s="58"/>
      <c r="Z16" s="58"/>
      <c r="AA16" s="58"/>
    </row>
    <row r="17" customFormat="false" ht="18" hidden="false" customHeight="true" outlineLevel="0" collapsed="false">
      <c r="A17" s="64" t="n">
        <v>12</v>
      </c>
      <c r="B17" s="65"/>
      <c r="C17" s="65"/>
      <c r="D17" s="58" t="s">
        <v>247</v>
      </c>
      <c r="E17" s="58"/>
      <c r="F17" s="58"/>
      <c r="G17" s="58"/>
      <c r="H17" s="58"/>
      <c r="I17" s="58"/>
      <c r="J17" s="58"/>
      <c r="K17" s="66" t="s">
        <v>164</v>
      </c>
      <c r="L17" s="66"/>
      <c r="M17" s="66"/>
      <c r="N17" s="67" t="s">
        <v>50</v>
      </c>
      <c r="O17" s="67" t="s">
        <v>108</v>
      </c>
      <c r="P17" s="67" t="n">
        <v>0.9</v>
      </c>
      <c r="Q17" s="68" t="str">
        <f aca="false">IF(IF(OR($K17="",$K17="Manual"),"",IF(LEFT($K17,4)="GPS:",IFERROR(CHOOSE(MATCH($K17,Lists!$G$3:$G$8,0),GPS!$G$6,GPS!$G$7,GPS!$G$8,GPS!$G$9,GPS!$G$10,GPS!$G$11),""),IFERROR(IF($N17="LSI",INDEX($I$109:$I$132,MATCH($K17,$C$109:$C$132,0)),IF($N17="L",INDEX($G$109:$G$132,MATCH($K17,$C$109:$C$132,0)),IF($N17="R",INDEX($H$109:$H$132,MATCH($K17,$C$109:$C$132,0)),IF(Dashboard!$K$5="L",INDEX($G$109:$G$132,MATCH($K17,$C$109:$C$132,0)),IF(Dashboard!$K$5="R",INDEX($H$109:$H$132,MATCH($K17,$C$109:$C$132,0)),""))))),"")))="","",IF(OR($N17="LSI",LEFT($K17,4)="GPS:"),TEXT(IF(OR($K17="",$K17="Manual"),"",IF(LEFT($K17,4)="GPS:",IFERROR(CHOOSE(MATCH($K17,Lists!$G$3:$G$8,0),GPS!$G$6,GPS!$G$7,GPS!$G$8,GPS!$G$9,GPS!$G$10,GPS!$G$11),""),IFERROR(IF($N17="LSI",INDEX($I$109:$I$132,MATCH($K17,$C$109:$C$132,0)),IF($N17="L",INDEX($G$109:$G$132,MATCH($K17,$C$109:$C$132,0)),IF($N17="R",INDEX($H$109:$H$132,MATCH($K17,$C$109:$C$132,0)),IF(Dashboard!$K$5="L",INDEX($G$109:$G$132,MATCH($K17,$C$109:$C$132,0)),IF(Dashboard!$K$5="R",INDEX($H$109:$H$132,MATCH($K17,$C$109:$C$132,0)),""))))),""))),"0%"),TEXT(IF(OR($K17="",$K17="Manual"),"",IF(LEFT($K17,4)="GPS:",IFERROR(CHOOSE(MATCH($K17,Lists!$G$3:$G$8,0),GPS!$G$6,GPS!$G$7,GPS!$G$8,GPS!$G$9,GPS!$G$10,GPS!$G$11),""),IFERROR(IF($N17="LSI",INDEX($I$109:$I$132,MATCH($K17,$C$109:$C$132,0)),IF($N17="L",INDEX($G$109:$G$132,MATCH($K17,$C$109:$C$132,0)),IF($N17="R",INDEX($H$109:$H$132,MATCH($K17,$C$109:$C$132,0)),IF(Dashboard!$K$5="L",INDEX($G$109:$G$132,MATCH($K17,$C$109:$C$132,0)),IF(Dashboard!$K$5="R",INDEX($H$109:$H$132,MATCH($K17,$C$109:$C$132,0)),""))))),""))),"0.0")))</f>
        <v/>
      </c>
      <c r="R17" s="68"/>
      <c r="S17" s="69" t="str">
        <f aca="false">IF(OR(IF(OR($K17="",$K17="Manual"),"",IF(LEFT($K17,4)="GPS:",IFERROR(CHOOSE(MATCH($K17,Lists!$G$3:$G$8,0),GPS!$G$6,GPS!$G$7,GPS!$G$8,GPS!$G$9,GPS!$G$10,GPS!$G$11),""),IFERROR(IF($N17="LSI",INDEX($I$109:$I$132,MATCH($K17,$C$109:$C$132,0)),IF($N17="L",INDEX($G$109:$G$132,MATCH($K17,$C$109:$C$132,0)),IF($N17="R",INDEX($H$109:$H$132,MATCH($K17,$C$109:$C$132,0)),IF(Dashboard!$K$5="L",INDEX($G$109:$G$132,MATCH($K17,$C$109:$C$132,0)),IF(Dashboard!$K$5="R",INDEX($H$109:$H$132,MATCH($K17,$C$109:$C$132,0)),""))))),"")))="",$P17=""),"",IF(IF($O17="≤",IF(OR($K17="",$K17="Manual"),"",IF(LEFT($K17,4)="GPS:",IFERROR(CHOOSE(MATCH($K17,Lists!$G$3:$G$8,0),GPS!$G$6,GPS!$G$7,GPS!$G$8,GPS!$G$9,GPS!$G$10,GPS!$G$11),""),IFERROR(IF($N17="LSI",INDEX($I$109:$I$132,MATCH($K17,$C$109:$C$132,0)),IF($N17="L",INDEX($G$109:$G$132,MATCH($K17,$C$109:$C$132,0)),IF($N17="R",INDEX($H$109:$H$132,MATCH($K17,$C$109:$C$132,0)),IF(Dashboard!$K$5="L",INDEX($G$109:$G$132,MATCH($K17,$C$109:$C$132,0)),IF(Dashboard!$K$5="R",INDEX($H$109:$H$132,MATCH($K17,$C$109:$C$132,0)),""))))),"")))&lt;=$P17,IF(OR($K17="",$K17="Manual"),"",IF(LEFT($K17,4)="GPS:",IFERROR(CHOOSE(MATCH($K17,Lists!$G$3:$G$8,0),GPS!$G$6,GPS!$G$7,GPS!$G$8,GPS!$G$9,GPS!$G$10,GPS!$G$11),""),IFERROR(IF($N17="LSI",INDEX($I$109:$I$132,MATCH($K17,$C$109:$C$132,0)),IF($N17="L",INDEX($G$109:$G$132,MATCH($K17,$C$109:$C$132,0)),IF($N17="R",INDEX($H$109:$H$132,MATCH($K17,$C$109:$C$132,0)),IF(Dashboard!$K$5="L",INDEX($G$109:$G$132,MATCH($K17,$C$109:$C$132,0)),IF(Dashboard!$K$5="R",INDEX($H$109:$H$132,MATCH($K17,$C$109:$C$132,0)),""))))),"")))&gt;=$P17),"MET","NOT MET"))</f>
        <v/>
      </c>
      <c r="T17" s="7"/>
      <c r="U17" s="68" t="str">
        <f aca="false">IF($T17&lt;&gt;"",$T17,IF($S17="MET","Y",IF($S17="NOT MET","N","")))</f>
        <v/>
      </c>
      <c r="V17" s="70" t="str">
        <f aca="false">IF($U17="Y",IFERROR(IF(LEFT($K17,4)="GPS:","",INDEX($J$109:$J$132,MATCH($K17,$C$109:$C$132,0))),""),"")</f>
        <v/>
      </c>
      <c r="W17" s="70"/>
      <c r="X17" s="58"/>
      <c r="Y17" s="58"/>
      <c r="Z17" s="58"/>
      <c r="AA17" s="58"/>
    </row>
    <row r="18" customFormat="false" ht="18" hidden="false" customHeight="true" outlineLevel="0" collapsed="false">
      <c r="A18" s="64" t="n">
        <v>13</v>
      </c>
      <c r="B18" s="65" t="s">
        <v>128</v>
      </c>
      <c r="C18" s="65"/>
      <c r="D18" s="58" t="s">
        <v>129</v>
      </c>
      <c r="E18" s="58"/>
      <c r="F18" s="58"/>
      <c r="G18" s="58"/>
      <c r="H18" s="58"/>
      <c r="I18" s="58"/>
      <c r="J18" s="58"/>
      <c r="K18" s="66" t="s">
        <v>130</v>
      </c>
      <c r="L18" s="66"/>
      <c r="M18" s="66"/>
      <c r="N18" s="67"/>
      <c r="O18" s="67" t="s">
        <v>108</v>
      </c>
      <c r="P18" s="67" t="n">
        <v>0.9</v>
      </c>
      <c r="Q18" s="68" t="str">
        <f aca="false">IF(IF(OR($K18="",$K18="Manual"),"",IF(LEFT($K18,4)="GPS:",IFERROR(CHOOSE(MATCH($K18,Lists!$G$3:$G$8,0),GPS!$G$6,GPS!$G$7,GPS!$G$8,GPS!$G$9,GPS!$G$10,GPS!$G$11),""),IFERROR(IF($N18="LSI",INDEX($I$109:$I$132,MATCH($K18,$C$109:$C$132,0)),IF($N18="L",INDEX($G$109:$G$132,MATCH($K18,$C$109:$C$132,0)),IF($N18="R",INDEX($H$109:$H$132,MATCH($K18,$C$109:$C$132,0)),IF(Dashboard!$K$5="L",INDEX($G$109:$G$132,MATCH($K18,$C$109:$C$132,0)),IF(Dashboard!$K$5="R",INDEX($H$109:$H$132,MATCH($K18,$C$109:$C$132,0)),""))))),"")))="","",IF(OR($N18="LSI",LEFT($K18,4)="GPS:"),TEXT(IF(OR($K18="",$K18="Manual"),"",IF(LEFT($K18,4)="GPS:",IFERROR(CHOOSE(MATCH($K18,Lists!$G$3:$G$8,0),GPS!$G$6,GPS!$G$7,GPS!$G$8,GPS!$G$9,GPS!$G$10,GPS!$G$11),""),IFERROR(IF($N18="LSI",INDEX($I$109:$I$132,MATCH($K18,$C$109:$C$132,0)),IF($N18="L",INDEX($G$109:$G$132,MATCH($K18,$C$109:$C$132,0)),IF($N18="R",INDEX($H$109:$H$132,MATCH($K18,$C$109:$C$132,0)),IF(Dashboard!$K$5="L",INDEX($G$109:$G$132,MATCH($K18,$C$109:$C$132,0)),IF(Dashboard!$K$5="R",INDEX($H$109:$H$132,MATCH($K18,$C$109:$C$132,0)),""))))),""))),"0%"),TEXT(IF(OR($K18="",$K18="Manual"),"",IF(LEFT($K18,4)="GPS:",IFERROR(CHOOSE(MATCH($K18,Lists!$G$3:$G$8,0),GPS!$G$6,GPS!$G$7,GPS!$G$8,GPS!$G$9,GPS!$G$10,GPS!$G$11),""),IFERROR(IF($N18="LSI",INDEX($I$109:$I$132,MATCH($K18,$C$109:$C$132,0)),IF($N18="L",INDEX($G$109:$G$132,MATCH($K18,$C$109:$C$132,0)),IF($N18="R",INDEX($H$109:$H$132,MATCH($K18,$C$109:$C$132,0)),IF(Dashboard!$K$5="L",INDEX($G$109:$G$132,MATCH($K18,$C$109:$C$132,0)),IF(Dashboard!$K$5="R",INDEX($H$109:$H$132,MATCH($K18,$C$109:$C$132,0)),""))))),""))),"0.0")))</f>
        <v>52%</v>
      </c>
      <c r="R18" s="68"/>
      <c r="S18" s="69" t="str">
        <f aca="false">IF(OR(IF(OR($K18="",$K18="Manual"),"",IF(LEFT($K18,4)="GPS:",IFERROR(CHOOSE(MATCH($K18,Lists!$G$3:$G$8,0),GPS!$G$6,GPS!$G$7,GPS!$G$8,GPS!$G$9,GPS!$G$10,GPS!$G$11),""),IFERROR(IF($N18="LSI",INDEX($I$109:$I$132,MATCH($K18,$C$109:$C$132,0)),IF($N18="L",INDEX($G$109:$G$132,MATCH($K18,$C$109:$C$132,0)),IF($N18="R",INDEX($H$109:$H$132,MATCH($K18,$C$109:$C$132,0)),IF(Dashboard!$K$5="L",INDEX($G$109:$G$132,MATCH($K18,$C$109:$C$132,0)),IF(Dashboard!$K$5="R",INDEX($H$109:$H$132,MATCH($K18,$C$109:$C$132,0)),""))))),"")))="",$P18=""),"",IF(IF($O18="≤",IF(OR($K18="",$K18="Manual"),"",IF(LEFT($K18,4)="GPS:",IFERROR(CHOOSE(MATCH($K18,Lists!$G$3:$G$8,0),GPS!$G$6,GPS!$G$7,GPS!$G$8,GPS!$G$9,GPS!$G$10,GPS!$G$11),""),IFERROR(IF($N18="LSI",INDEX($I$109:$I$132,MATCH($K18,$C$109:$C$132,0)),IF($N18="L",INDEX($G$109:$G$132,MATCH($K18,$C$109:$C$132,0)),IF($N18="R",INDEX($H$109:$H$132,MATCH($K18,$C$109:$C$132,0)),IF(Dashboard!$K$5="L",INDEX($G$109:$G$132,MATCH($K18,$C$109:$C$132,0)),IF(Dashboard!$K$5="R",INDEX($H$109:$H$132,MATCH($K18,$C$109:$C$132,0)),""))))),"")))&lt;=$P18,IF(OR($K18="",$K18="Manual"),"",IF(LEFT($K18,4)="GPS:",IFERROR(CHOOSE(MATCH($K18,Lists!$G$3:$G$8,0),GPS!$G$6,GPS!$G$7,GPS!$G$8,GPS!$G$9,GPS!$G$10,GPS!$G$11),""),IFERROR(IF($N18="LSI",INDEX($I$109:$I$132,MATCH($K18,$C$109:$C$132,0)),IF($N18="L",INDEX($G$109:$G$132,MATCH($K18,$C$109:$C$132,0)),IF($N18="R",INDEX($H$109:$H$132,MATCH($K18,$C$109:$C$132,0)),IF(Dashboard!$K$5="L",INDEX($G$109:$G$132,MATCH($K18,$C$109:$C$132,0)),IF(Dashboard!$K$5="R",INDEX($H$109:$H$132,MATCH($K18,$C$109:$C$132,0)),""))))),"")))&gt;=$P18),"MET","NOT MET"))</f>
        <v>NOT MET</v>
      </c>
      <c r="T18" s="7"/>
      <c r="U18" s="68" t="str">
        <f aca="false">IF($T18&lt;&gt;"",$T18,IF($S18="MET","Y",IF($S18="NOT MET","N","")))</f>
        <v>N</v>
      </c>
      <c r="V18" s="70" t="str">
        <f aca="false">IF($U18="Y",IFERROR(IF(LEFT($K18,4)="GPS:","",INDEX($J$109:$J$132,MATCH($K18,$C$109:$C$132,0))),""),"")</f>
        <v/>
      </c>
      <c r="W18" s="70"/>
      <c r="X18" s="58"/>
      <c r="Y18" s="58"/>
      <c r="Z18" s="58"/>
      <c r="AA18" s="58"/>
    </row>
    <row r="19" customFormat="false" ht="18" hidden="false" customHeight="true" outlineLevel="0" collapsed="false">
      <c r="A19" s="64" t="n">
        <v>14</v>
      </c>
      <c r="B19" s="65"/>
      <c r="C19" s="65"/>
      <c r="D19" s="58" t="s">
        <v>131</v>
      </c>
      <c r="E19" s="58"/>
      <c r="F19" s="58"/>
      <c r="G19" s="58"/>
      <c r="H19" s="58"/>
      <c r="I19" s="58"/>
      <c r="J19" s="58"/>
      <c r="K19" s="66" t="s">
        <v>132</v>
      </c>
      <c r="L19" s="66"/>
      <c r="M19" s="66"/>
      <c r="N19" s="67"/>
      <c r="O19" s="67" t="s">
        <v>108</v>
      </c>
      <c r="P19" s="67" t="n">
        <v>0.9</v>
      </c>
      <c r="Q19" s="68" t="str">
        <f aca="false">IF(IF(OR($K19="",$K19="Manual"),"",IF(LEFT($K19,4)="GPS:",IFERROR(CHOOSE(MATCH($K19,Lists!$G$3:$G$8,0),GPS!$G$6,GPS!$G$7,GPS!$G$8,GPS!$G$9,GPS!$G$10,GPS!$G$11),""),IFERROR(IF($N19="LSI",INDEX($I$109:$I$132,MATCH($K19,$C$109:$C$132,0)),IF($N19="L",INDEX($G$109:$G$132,MATCH($K19,$C$109:$C$132,0)),IF($N19="R",INDEX($H$109:$H$132,MATCH($K19,$C$109:$C$132,0)),IF(Dashboard!$K$5="L",INDEX($G$109:$G$132,MATCH($K19,$C$109:$C$132,0)),IF(Dashboard!$K$5="R",INDEX($H$109:$H$132,MATCH($K19,$C$109:$C$132,0)),""))))),"")))="","",IF(OR($N19="LSI",LEFT($K19,4)="GPS:"),TEXT(IF(OR($K19="",$K19="Manual"),"",IF(LEFT($K19,4)="GPS:",IFERROR(CHOOSE(MATCH($K19,Lists!$G$3:$G$8,0),GPS!$G$6,GPS!$G$7,GPS!$G$8,GPS!$G$9,GPS!$G$10,GPS!$G$11),""),IFERROR(IF($N19="LSI",INDEX($I$109:$I$132,MATCH($K19,$C$109:$C$132,0)),IF($N19="L",INDEX($G$109:$G$132,MATCH($K19,$C$109:$C$132,0)),IF($N19="R",INDEX($H$109:$H$132,MATCH($K19,$C$109:$C$132,0)),IF(Dashboard!$K$5="L",INDEX($G$109:$G$132,MATCH($K19,$C$109:$C$132,0)),IF(Dashboard!$K$5="R",INDEX($H$109:$H$132,MATCH($K19,$C$109:$C$132,0)),""))))),""))),"0%"),TEXT(IF(OR($K19="",$K19="Manual"),"",IF(LEFT($K19,4)="GPS:",IFERROR(CHOOSE(MATCH($K19,Lists!$G$3:$G$8,0),GPS!$G$6,GPS!$G$7,GPS!$G$8,GPS!$G$9,GPS!$G$10,GPS!$G$11),""),IFERROR(IF($N19="LSI",INDEX($I$109:$I$132,MATCH($K19,$C$109:$C$132,0)),IF($N19="L",INDEX($G$109:$G$132,MATCH($K19,$C$109:$C$132,0)),IF($N19="R",INDEX($H$109:$H$132,MATCH($K19,$C$109:$C$132,0)),IF(Dashboard!$K$5="L",INDEX($G$109:$G$132,MATCH($K19,$C$109:$C$132,0)),IF(Dashboard!$K$5="R",INDEX($H$109:$H$132,MATCH($K19,$C$109:$C$132,0)),""))))),""))),"0.0")))</f>
        <v>59%</v>
      </c>
      <c r="R19" s="68"/>
      <c r="S19" s="69" t="str">
        <f aca="false">IF(OR(IF(OR($K19="",$K19="Manual"),"",IF(LEFT($K19,4)="GPS:",IFERROR(CHOOSE(MATCH($K19,Lists!$G$3:$G$8,0),GPS!$G$6,GPS!$G$7,GPS!$G$8,GPS!$G$9,GPS!$G$10,GPS!$G$11),""),IFERROR(IF($N19="LSI",INDEX($I$109:$I$132,MATCH($K19,$C$109:$C$132,0)),IF($N19="L",INDEX($G$109:$G$132,MATCH($K19,$C$109:$C$132,0)),IF($N19="R",INDEX($H$109:$H$132,MATCH($K19,$C$109:$C$132,0)),IF(Dashboard!$K$5="L",INDEX($G$109:$G$132,MATCH($K19,$C$109:$C$132,0)),IF(Dashboard!$K$5="R",INDEX($H$109:$H$132,MATCH($K19,$C$109:$C$132,0)),""))))),"")))="",$P19=""),"",IF(IF($O19="≤",IF(OR($K19="",$K19="Manual"),"",IF(LEFT($K19,4)="GPS:",IFERROR(CHOOSE(MATCH($K19,Lists!$G$3:$G$8,0),GPS!$G$6,GPS!$G$7,GPS!$G$8,GPS!$G$9,GPS!$G$10,GPS!$G$11),""),IFERROR(IF($N19="LSI",INDEX($I$109:$I$132,MATCH($K19,$C$109:$C$132,0)),IF($N19="L",INDEX($G$109:$G$132,MATCH($K19,$C$109:$C$132,0)),IF($N19="R",INDEX($H$109:$H$132,MATCH($K19,$C$109:$C$132,0)),IF(Dashboard!$K$5="L",INDEX($G$109:$G$132,MATCH($K19,$C$109:$C$132,0)),IF(Dashboard!$K$5="R",INDEX($H$109:$H$132,MATCH($K19,$C$109:$C$132,0)),""))))),"")))&lt;=$P19,IF(OR($K19="",$K19="Manual"),"",IF(LEFT($K19,4)="GPS:",IFERROR(CHOOSE(MATCH($K19,Lists!$G$3:$G$8,0),GPS!$G$6,GPS!$G$7,GPS!$G$8,GPS!$G$9,GPS!$G$10,GPS!$G$11),""),IFERROR(IF($N19="LSI",INDEX($I$109:$I$132,MATCH($K19,$C$109:$C$132,0)),IF($N19="L",INDEX($G$109:$G$132,MATCH($K19,$C$109:$C$132,0)),IF($N19="R",INDEX($H$109:$H$132,MATCH($K19,$C$109:$C$132,0)),IF(Dashboard!$K$5="L",INDEX($G$109:$G$132,MATCH($K19,$C$109:$C$132,0)),IF(Dashboard!$K$5="R",INDEX($H$109:$H$132,MATCH($K19,$C$109:$C$132,0)),""))))),"")))&gt;=$P19),"MET","NOT MET"))</f>
        <v>NOT MET</v>
      </c>
      <c r="T19" s="7"/>
      <c r="U19" s="68" t="str">
        <f aca="false">IF($T19&lt;&gt;"",$T19,IF($S19="MET","Y",IF($S19="NOT MET","N","")))</f>
        <v>N</v>
      </c>
      <c r="V19" s="70" t="str">
        <f aca="false">IF($U19="Y",IFERROR(IF(LEFT($K19,4)="GPS:","",INDEX($J$109:$J$132,MATCH($K19,$C$109:$C$132,0))),""),"")</f>
        <v/>
      </c>
      <c r="W19" s="70"/>
      <c r="X19" s="58"/>
      <c r="Y19" s="58"/>
      <c r="Z19" s="58"/>
      <c r="AA19" s="58"/>
    </row>
    <row r="20" customFormat="false" ht="18" hidden="false" customHeight="true" outlineLevel="0" collapsed="false">
      <c r="A20" s="64" t="n">
        <v>15</v>
      </c>
      <c r="B20" s="65"/>
      <c r="C20" s="65"/>
      <c r="D20" s="58" t="s">
        <v>133</v>
      </c>
      <c r="E20" s="58"/>
      <c r="F20" s="58"/>
      <c r="G20" s="58"/>
      <c r="H20" s="58"/>
      <c r="I20" s="58"/>
      <c r="J20" s="58"/>
      <c r="K20" s="66" t="s">
        <v>107</v>
      </c>
      <c r="L20" s="66"/>
      <c r="M20" s="66"/>
      <c r="N20" s="67"/>
      <c r="O20" s="67" t="s">
        <v>108</v>
      </c>
      <c r="P20" s="67"/>
      <c r="Q20" s="68" t="str">
        <f aca="false">IF(IF(OR($K20="",$K20="Manual"),"",IF(LEFT($K20,4)="GPS:",IFERROR(CHOOSE(MATCH($K20,Lists!$G$3:$G$8,0),GPS!$G$6,GPS!$G$7,GPS!$G$8,GPS!$G$9,GPS!$G$10,GPS!$G$11),""),IFERROR(IF($N20="LSI",INDEX($I$109:$I$132,MATCH($K20,$C$109:$C$132,0)),IF($N20="L",INDEX($G$109:$G$132,MATCH($K20,$C$109:$C$132,0)),IF($N20="R",INDEX($H$109:$H$132,MATCH($K20,$C$109:$C$132,0)),IF(Dashboard!$K$5="L",INDEX($G$109:$G$132,MATCH($K20,$C$109:$C$132,0)),IF(Dashboard!$K$5="R",INDEX($H$109:$H$132,MATCH($K20,$C$109:$C$132,0)),""))))),"")))="","",IF(OR($N20="LSI",LEFT($K20,4)="GPS:"),TEXT(IF(OR($K20="",$K20="Manual"),"",IF(LEFT($K20,4)="GPS:",IFERROR(CHOOSE(MATCH($K20,Lists!$G$3:$G$8,0),GPS!$G$6,GPS!$G$7,GPS!$G$8,GPS!$G$9,GPS!$G$10,GPS!$G$11),""),IFERROR(IF($N20="LSI",INDEX($I$109:$I$132,MATCH($K20,$C$109:$C$132,0)),IF($N20="L",INDEX($G$109:$G$132,MATCH($K20,$C$109:$C$132,0)),IF($N20="R",INDEX($H$109:$H$132,MATCH($K20,$C$109:$C$132,0)),IF(Dashboard!$K$5="L",INDEX($G$109:$G$132,MATCH($K20,$C$109:$C$132,0)),IF(Dashboard!$K$5="R",INDEX($H$109:$H$132,MATCH($K20,$C$109:$C$132,0)),""))))),""))),"0%"),TEXT(IF(OR($K20="",$K20="Manual"),"",IF(LEFT($K20,4)="GPS:",IFERROR(CHOOSE(MATCH($K20,Lists!$G$3:$G$8,0),GPS!$G$6,GPS!$G$7,GPS!$G$8,GPS!$G$9,GPS!$G$10,GPS!$G$11),""),IFERROR(IF($N20="LSI",INDEX($I$109:$I$132,MATCH($K20,$C$109:$C$132,0)),IF($N20="L",INDEX($G$109:$G$132,MATCH($K20,$C$109:$C$132,0)),IF($N20="R",INDEX($H$109:$H$132,MATCH($K20,$C$109:$C$132,0)),IF(Dashboard!$K$5="L",INDEX($G$109:$G$132,MATCH($K20,$C$109:$C$132,0)),IF(Dashboard!$K$5="R",INDEX($H$109:$H$132,MATCH($K20,$C$109:$C$132,0)),""))))),""))),"0.0")))</f>
        <v/>
      </c>
      <c r="R20" s="68"/>
      <c r="S20" s="69" t="str">
        <f aca="false">IF(OR(IF(OR($K20="",$K20="Manual"),"",IF(LEFT($K20,4)="GPS:",IFERROR(CHOOSE(MATCH($K20,Lists!$G$3:$G$8,0),GPS!$G$6,GPS!$G$7,GPS!$G$8,GPS!$G$9,GPS!$G$10,GPS!$G$11),""),IFERROR(IF($N20="LSI",INDEX($I$109:$I$132,MATCH($K20,$C$109:$C$132,0)),IF($N20="L",INDEX($G$109:$G$132,MATCH($K20,$C$109:$C$132,0)),IF($N20="R",INDEX($H$109:$H$132,MATCH($K20,$C$109:$C$132,0)),IF(Dashboard!$K$5="L",INDEX($G$109:$G$132,MATCH($K20,$C$109:$C$132,0)),IF(Dashboard!$K$5="R",INDEX($H$109:$H$132,MATCH($K20,$C$109:$C$132,0)),""))))),"")))="",$P20=""),"",IF(IF($O20="≤",IF(OR($K20="",$K20="Manual"),"",IF(LEFT($K20,4)="GPS:",IFERROR(CHOOSE(MATCH($K20,Lists!$G$3:$G$8,0),GPS!$G$6,GPS!$G$7,GPS!$G$8,GPS!$G$9,GPS!$G$10,GPS!$G$11),""),IFERROR(IF($N20="LSI",INDEX($I$109:$I$132,MATCH($K20,$C$109:$C$132,0)),IF($N20="L",INDEX($G$109:$G$132,MATCH($K20,$C$109:$C$132,0)),IF($N20="R",INDEX($H$109:$H$132,MATCH($K20,$C$109:$C$132,0)),IF(Dashboard!$K$5="L",INDEX($G$109:$G$132,MATCH($K20,$C$109:$C$132,0)),IF(Dashboard!$K$5="R",INDEX($H$109:$H$132,MATCH($K20,$C$109:$C$132,0)),""))))),"")))&lt;=$P20,IF(OR($K20="",$K20="Manual"),"",IF(LEFT($K20,4)="GPS:",IFERROR(CHOOSE(MATCH($K20,Lists!$G$3:$G$8,0),GPS!$G$6,GPS!$G$7,GPS!$G$8,GPS!$G$9,GPS!$G$10,GPS!$G$11),""),IFERROR(IF($N20="LSI",INDEX($I$109:$I$132,MATCH($K20,$C$109:$C$132,0)),IF($N20="L",INDEX($G$109:$G$132,MATCH($K20,$C$109:$C$132,0)),IF($N20="R",INDEX($H$109:$H$132,MATCH($K20,$C$109:$C$132,0)),IF(Dashboard!$K$5="L",INDEX($G$109:$G$132,MATCH($K20,$C$109:$C$132,0)),IF(Dashboard!$K$5="R",INDEX($H$109:$H$132,MATCH($K20,$C$109:$C$132,0)),""))))),"")))&gt;=$P20),"MET","NOT MET"))</f>
        <v/>
      </c>
      <c r="T20" s="7"/>
      <c r="U20" s="68" t="str">
        <f aca="false">IF($T20&lt;&gt;"",$T20,IF($S20="MET","Y",IF($S20="NOT MET","N","")))</f>
        <v/>
      </c>
      <c r="V20" s="70" t="str">
        <f aca="false">IF($U20="Y",IFERROR(IF(LEFT($K20,4)="GPS:","",INDEX($J$109:$J$132,MATCH($K20,$C$109:$C$132,0))),""),"")</f>
        <v/>
      </c>
      <c r="W20" s="70"/>
      <c r="X20" s="58"/>
      <c r="Y20" s="58"/>
      <c r="Z20" s="58"/>
      <c r="AA20" s="58"/>
    </row>
    <row r="21" customFormat="false" ht="18" hidden="false" customHeight="true" outlineLevel="0" collapsed="false">
      <c r="A21" s="64" t="n">
        <v>16</v>
      </c>
      <c r="B21" s="65" t="s">
        <v>134</v>
      </c>
      <c r="C21" s="65"/>
      <c r="D21" s="58" t="s">
        <v>135</v>
      </c>
      <c r="E21" s="58"/>
      <c r="F21" s="58"/>
      <c r="G21" s="58"/>
      <c r="H21" s="58"/>
      <c r="I21" s="58"/>
      <c r="J21" s="58"/>
      <c r="K21" s="66" t="s">
        <v>130</v>
      </c>
      <c r="L21" s="66"/>
      <c r="M21" s="66"/>
      <c r="N21" s="67"/>
      <c r="O21" s="67" t="s">
        <v>108</v>
      </c>
      <c r="P21" s="67" t="n">
        <v>1</v>
      </c>
      <c r="Q21" s="68" t="str">
        <f aca="false">IF(IF(OR($K21="",$K21="Manual"),"",IF(LEFT($K21,4)="GPS:",IFERROR(CHOOSE(MATCH($K21,Lists!$G$3:$G$8,0),GPS!$G$6,GPS!$G$7,GPS!$G$8,GPS!$G$9,GPS!$G$10,GPS!$G$11),""),IFERROR(IF($N21="LSI",INDEX($I$109:$I$132,MATCH($K21,$C$109:$C$132,0)),IF($N21="L",INDEX($G$109:$G$132,MATCH($K21,$C$109:$C$132,0)),IF($N21="R",INDEX($H$109:$H$132,MATCH($K21,$C$109:$C$132,0)),IF(Dashboard!$K$5="L",INDEX($G$109:$G$132,MATCH($K21,$C$109:$C$132,0)),IF(Dashboard!$K$5="R",INDEX($H$109:$H$132,MATCH($K21,$C$109:$C$132,0)),""))))),"")))="","",IF(OR($N21="LSI",LEFT($K21,4)="GPS:"),TEXT(IF(OR($K21="",$K21="Manual"),"",IF(LEFT($K21,4)="GPS:",IFERROR(CHOOSE(MATCH($K21,Lists!$G$3:$G$8,0),GPS!$G$6,GPS!$G$7,GPS!$G$8,GPS!$G$9,GPS!$G$10,GPS!$G$11),""),IFERROR(IF($N21="LSI",INDEX($I$109:$I$132,MATCH($K21,$C$109:$C$132,0)),IF($N21="L",INDEX($G$109:$G$132,MATCH($K21,$C$109:$C$132,0)),IF($N21="R",INDEX($H$109:$H$132,MATCH($K21,$C$109:$C$132,0)),IF(Dashboard!$K$5="L",INDEX($G$109:$G$132,MATCH($K21,$C$109:$C$132,0)),IF(Dashboard!$K$5="R",INDEX($H$109:$H$132,MATCH($K21,$C$109:$C$132,0)),""))))),""))),"0%"),TEXT(IF(OR($K21="",$K21="Manual"),"",IF(LEFT($K21,4)="GPS:",IFERROR(CHOOSE(MATCH($K21,Lists!$G$3:$G$8,0),GPS!$G$6,GPS!$G$7,GPS!$G$8,GPS!$G$9,GPS!$G$10,GPS!$G$11),""),IFERROR(IF($N21="LSI",INDEX($I$109:$I$132,MATCH($K21,$C$109:$C$132,0)),IF($N21="L",INDEX($G$109:$G$132,MATCH($K21,$C$109:$C$132,0)),IF($N21="R",INDEX($H$109:$H$132,MATCH($K21,$C$109:$C$132,0)),IF(Dashboard!$K$5="L",INDEX($G$109:$G$132,MATCH($K21,$C$109:$C$132,0)),IF(Dashboard!$K$5="R",INDEX($H$109:$H$132,MATCH($K21,$C$109:$C$132,0)),""))))),""))),"0.0")))</f>
        <v>52%</v>
      </c>
      <c r="R21" s="68"/>
      <c r="S21" s="69" t="str">
        <f aca="false">IF(OR(IF(OR($K21="",$K21="Manual"),"",IF(LEFT($K21,4)="GPS:",IFERROR(CHOOSE(MATCH($K21,Lists!$G$3:$G$8,0),GPS!$G$6,GPS!$G$7,GPS!$G$8,GPS!$G$9,GPS!$G$10,GPS!$G$11),""),IFERROR(IF($N21="LSI",INDEX($I$109:$I$132,MATCH($K21,$C$109:$C$132,0)),IF($N21="L",INDEX($G$109:$G$132,MATCH($K21,$C$109:$C$132,0)),IF($N21="R",INDEX($H$109:$H$132,MATCH($K21,$C$109:$C$132,0)),IF(Dashboard!$K$5="L",INDEX($G$109:$G$132,MATCH($K21,$C$109:$C$132,0)),IF(Dashboard!$K$5="R",INDEX($H$109:$H$132,MATCH($K21,$C$109:$C$132,0)),""))))),"")))="",$P21=""),"",IF(IF($O21="≤",IF(OR($K21="",$K21="Manual"),"",IF(LEFT($K21,4)="GPS:",IFERROR(CHOOSE(MATCH($K21,Lists!$G$3:$G$8,0),GPS!$G$6,GPS!$G$7,GPS!$G$8,GPS!$G$9,GPS!$G$10,GPS!$G$11),""),IFERROR(IF($N21="LSI",INDEX($I$109:$I$132,MATCH($K21,$C$109:$C$132,0)),IF($N21="L",INDEX($G$109:$G$132,MATCH($K21,$C$109:$C$132,0)),IF($N21="R",INDEX($H$109:$H$132,MATCH($K21,$C$109:$C$132,0)),IF(Dashboard!$K$5="L",INDEX($G$109:$G$132,MATCH($K21,$C$109:$C$132,0)),IF(Dashboard!$K$5="R",INDEX($H$109:$H$132,MATCH($K21,$C$109:$C$132,0)),""))))),"")))&lt;=$P21,IF(OR($K21="",$K21="Manual"),"",IF(LEFT($K21,4)="GPS:",IFERROR(CHOOSE(MATCH($K21,Lists!$G$3:$G$8,0),GPS!$G$6,GPS!$G$7,GPS!$G$8,GPS!$G$9,GPS!$G$10,GPS!$G$11),""),IFERROR(IF($N21="LSI",INDEX($I$109:$I$132,MATCH($K21,$C$109:$C$132,0)),IF($N21="L",INDEX($G$109:$G$132,MATCH($K21,$C$109:$C$132,0)),IF($N21="R",INDEX($H$109:$H$132,MATCH($K21,$C$109:$C$132,0)),IF(Dashboard!$K$5="L",INDEX($G$109:$G$132,MATCH($K21,$C$109:$C$132,0)),IF(Dashboard!$K$5="R",INDEX($H$109:$H$132,MATCH($K21,$C$109:$C$132,0)),""))))),"")))&gt;=$P21),"MET","NOT MET"))</f>
        <v>NOT MET</v>
      </c>
      <c r="T21" s="7"/>
      <c r="U21" s="68" t="str">
        <f aca="false">IF($T21&lt;&gt;"",$T21,IF($S21="MET","Y",IF($S21="NOT MET","N","")))</f>
        <v>N</v>
      </c>
      <c r="V21" s="70" t="str">
        <f aca="false">IF($U21="Y",IFERROR(IF(LEFT($K21,4)="GPS:","",INDEX($J$109:$J$132,MATCH($K21,$C$109:$C$132,0))),""),"")</f>
        <v/>
      </c>
      <c r="W21" s="70"/>
      <c r="X21" s="58"/>
      <c r="Y21" s="58"/>
      <c r="Z21" s="58"/>
      <c r="AA21" s="58"/>
    </row>
    <row r="22" customFormat="false" ht="18" hidden="false" customHeight="true" outlineLevel="0" collapsed="false">
      <c r="A22" s="64" t="n">
        <v>17</v>
      </c>
      <c r="B22" s="65"/>
      <c r="C22" s="65"/>
      <c r="D22" s="58" t="s">
        <v>136</v>
      </c>
      <c r="E22" s="58"/>
      <c r="F22" s="58"/>
      <c r="G22" s="58"/>
      <c r="H22" s="58"/>
      <c r="I22" s="58"/>
      <c r="J22" s="58"/>
      <c r="K22" s="66" t="s">
        <v>137</v>
      </c>
      <c r="L22" s="66"/>
      <c r="M22" s="66"/>
      <c r="N22" s="67"/>
      <c r="O22" s="67" t="s">
        <v>108</v>
      </c>
      <c r="P22" s="67" t="n">
        <v>0.95</v>
      </c>
      <c r="Q22" s="68" t="str">
        <f aca="false">IF(IF(OR($K22="",$K22="Manual"),"",IF(LEFT($K22,4)="GPS:",IFERROR(CHOOSE(MATCH($K22,Lists!$G$3:$G$8,0),GPS!$G$6,GPS!$G$7,GPS!$G$8,GPS!$G$9,GPS!$G$10,GPS!$G$11),""),IFERROR(IF($N22="LSI",INDEX($I$109:$I$132,MATCH($K22,$C$109:$C$132,0)),IF($N22="L",INDEX($G$109:$G$132,MATCH($K22,$C$109:$C$132,0)),IF($N22="R",INDEX($H$109:$H$132,MATCH($K22,$C$109:$C$132,0)),IF(Dashboard!$K$5="L",INDEX($G$109:$G$132,MATCH($K22,$C$109:$C$132,0)),IF(Dashboard!$K$5="R",INDEX($H$109:$H$132,MATCH($K22,$C$109:$C$132,0)),""))))),"")))="","",IF(OR($N22="LSI",LEFT($K22,4)="GPS:"),TEXT(IF(OR($K22="",$K22="Manual"),"",IF(LEFT($K22,4)="GPS:",IFERROR(CHOOSE(MATCH($K22,Lists!$G$3:$G$8,0),GPS!$G$6,GPS!$G$7,GPS!$G$8,GPS!$G$9,GPS!$G$10,GPS!$G$11),""),IFERROR(IF($N22="LSI",INDEX($I$109:$I$132,MATCH($K22,$C$109:$C$132,0)),IF($N22="L",INDEX($G$109:$G$132,MATCH($K22,$C$109:$C$132,0)),IF($N22="R",INDEX($H$109:$H$132,MATCH($K22,$C$109:$C$132,0)),IF(Dashboard!$K$5="L",INDEX($G$109:$G$132,MATCH($K22,$C$109:$C$132,0)),IF(Dashboard!$K$5="R",INDEX($H$109:$H$132,MATCH($K22,$C$109:$C$132,0)),""))))),""))),"0%"),TEXT(IF(OR($K22="",$K22="Manual"),"",IF(LEFT($K22,4)="GPS:",IFERROR(CHOOSE(MATCH($K22,Lists!$G$3:$G$8,0),GPS!$G$6,GPS!$G$7,GPS!$G$8,GPS!$G$9,GPS!$G$10,GPS!$G$11),""),IFERROR(IF($N22="LSI",INDEX($I$109:$I$132,MATCH($K22,$C$109:$C$132,0)),IF($N22="L",INDEX($G$109:$G$132,MATCH($K22,$C$109:$C$132,0)),IF($N22="R",INDEX($H$109:$H$132,MATCH($K22,$C$109:$C$132,0)),IF(Dashboard!$K$5="L",INDEX($G$109:$G$132,MATCH($K22,$C$109:$C$132,0)),IF(Dashboard!$K$5="R",INDEX($H$109:$H$132,MATCH($K22,$C$109:$C$132,0)),""))))),""))),"0.0")))</f>
        <v>42%</v>
      </c>
      <c r="R22" s="68"/>
      <c r="S22" s="69" t="str">
        <f aca="false">IF(OR(IF(OR($K22="",$K22="Manual"),"",IF(LEFT($K22,4)="GPS:",IFERROR(CHOOSE(MATCH($K22,Lists!$G$3:$G$8,0),GPS!$G$6,GPS!$G$7,GPS!$G$8,GPS!$G$9,GPS!$G$10,GPS!$G$11),""),IFERROR(IF($N22="LSI",INDEX($I$109:$I$132,MATCH($K22,$C$109:$C$132,0)),IF($N22="L",INDEX($G$109:$G$132,MATCH($K22,$C$109:$C$132,0)),IF($N22="R",INDEX($H$109:$H$132,MATCH($K22,$C$109:$C$132,0)),IF(Dashboard!$K$5="L",INDEX($G$109:$G$132,MATCH($K22,$C$109:$C$132,0)),IF(Dashboard!$K$5="R",INDEX($H$109:$H$132,MATCH($K22,$C$109:$C$132,0)),""))))),"")))="",$P22=""),"",IF(IF($O22="≤",IF(OR($K22="",$K22="Manual"),"",IF(LEFT($K22,4)="GPS:",IFERROR(CHOOSE(MATCH($K22,Lists!$G$3:$G$8,0),GPS!$G$6,GPS!$G$7,GPS!$G$8,GPS!$G$9,GPS!$G$10,GPS!$G$11),""),IFERROR(IF($N22="LSI",INDEX($I$109:$I$132,MATCH($K22,$C$109:$C$132,0)),IF($N22="L",INDEX($G$109:$G$132,MATCH($K22,$C$109:$C$132,0)),IF($N22="R",INDEX($H$109:$H$132,MATCH($K22,$C$109:$C$132,0)),IF(Dashboard!$K$5="L",INDEX($G$109:$G$132,MATCH($K22,$C$109:$C$132,0)),IF(Dashboard!$K$5="R",INDEX($H$109:$H$132,MATCH($K22,$C$109:$C$132,0)),""))))),"")))&lt;=$P22,IF(OR($K22="",$K22="Manual"),"",IF(LEFT($K22,4)="GPS:",IFERROR(CHOOSE(MATCH($K22,Lists!$G$3:$G$8,0),GPS!$G$6,GPS!$G$7,GPS!$G$8,GPS!$G$9,GPS!$G$10,GPS!$G$11),""),IFERROR(IF($N22="LSI",INDEX($I$109:$I$132,MATCH($K22,$C$109:$C$132,0)),IF($N22="L",INDEX($G$109:$G$132,MATCH($K22,$C$109:$C$132,0)),IF($N22="R",INDEX($H$109:$H$132,MATCH($K22,$C$109:$C$132,0)),IF(Dashboard!$K$5="L",INDEX($G$109:$G$132,MATCH($K22,$C$109:$C$132,0)),IF(Dashboard!$K$5="R",INDEX($H$109:$H$132,MATCH($K22,$C$109:$C$132,0)),""))))),"")))&gt;=$P22),"MET","NOT MET"))</f>
        <v>NOT MET</v>
      </c>
      <c r="T22" s="7"/>
      <c r="U22" s="68" t="str">
        <f aca="false">IF($T22&lt;&gt;"",$T22,IF($S22="MET","Y",IF($S22="NOT MET","N","")))</f>
        <v>N</v>
      </c>
      <c r="V22" s="70" t="str">
        <f aca="false">IF($U22="Y",IFERROR(IF(LEFT($K22,4)="GPS:","",INDEX($J$109:$J$132,MATCH($K22,$C$109:$C$132,0))),""),"")</f>
        <v/>
      </c>
      <c r="W22" s="70"/>
      <c r="X22" s="58"/>
      <c r="Y22" s="58"/>
      <c r="Z22" s="58"/>
      <c r="AA22" s="58"/>
    </row>
    <row r="23" customFormat="false" ht="18" hidden="false" customHeight="true" outlineLevel="0" collapsed="false">
      <c r="A23" s="64" t="n">
        <v>18</v>
      </c>
      <c r="B23" s="65"/>
      <c r="C23" s="65"/>
      <c r="D23" s="58" t="s">
        <v>211</v>
      </c>
      <c r="E23" s="58"/>
      <c r="F23" s="58"/>
      <c r="G23" s="58"/>
      <c r="H23" s="58"/>
      <c r="I23" s="58"/>
      <c r="J23" s="58"/>
      <c r="K23" s="66" t="s">
        <v>107</v>
      </c>
      <c r="L23" s="66"/>
      <c r="M23" s="66"/>
      <c r="N23" s="67"/>
      <c r="O23" s="67" t="s">
        <v>108</v>
      </c>
      <c r="P23" s="67"/>
      <c r="Q23" s="68" t="str">
        <f aca="false">IF(IF(OR($K23="",$K23="Manual"),"",IF(LEFT($K23,4)="GPS:",IFERROR(CHOOSE(MATCH($K23,Lists!$G$3:$G$8,0),GPS!$G$6,GPS!$G$7,GPS!$G$8,GPS!$G$9,GPS!$G$10,GPS!$G$11),""),IFERROR(IF($N23="LSI",INDEX($I$109:$I$132,MATCH($K23,$C$109:$C$132,0)),IF($N23="L",INDEX($G$109:$G$132,MATCH($K23,$C$109:$C$132,0)),IF($N23="R",INDEX($H$109:$H$132,MATCH($K23,$C$109:$C$132,0)),IF(Dashboard!$K$5="L",INDEX($G$109:$G$132,MATCH($K23,$C$109:$C$132,0)),IF(Dashboard!$K$5="R",INDEX($H$109:$H$132,MATCH($K23,$C$109:$C$132,0)),""))))),"")))="","",IF(OR($N23="LSI",LEFT($K23,4)="GPS:"),TEXT(IF(OR($K23="",$K23="Manual"),"",IF(LEFT($K23,4)="GPS:",IFERROR(CHOOSE(MATCH($K23,Lists!$G$3:$G$8,0),GPS!$G$6,GPS!$G$7,GPS!$G$8,GPS!$G$9,GPS!$G$10,GPS!$G$11),""),IFERROR(IF($N23="LSI",INDEX($I$109:$I$132,MATCH($K23,$C$109:$C$132,0)),IF($N23="L",INDEX($G$109:$G$132,MATCH($K23,$C$109:$C$132,0)),IF($N23="R",INDEX($H$109:$H$132,MATCH($K23,$C$109:$C$132,0)),IF(Dashboard!$K$5="L",INDEX($G$109:$G$132,MATCH($K23,$C$109:$C$132,0)),IF(Dashboard!$K$5="R",INDEX($H$109:$H$132,MATCH($K23,$C$109:$C$132,0)),""))))),""))),"0%"),TEXT(IF(OR($K23="",$K23="Manual"),"",IF(LEFT($K23,4)="GPS:",IFERROR(CHOOSE(MATCH($K23,Lists!$G$3:$G$8,0),GPS!$G$6,GPS!$G$7,GPS!$G$8,GPS!$G$9,GPS!$G$10,GPS!$G$11),""),IFERROR(IF($N23="LSI",INDEX($I$109:$I$132,MATCH($K23,$C$109:$C$132,0)),IF($N23="L",INDEX($G$109:$G$132,MATCH($K23,$C$109:$C$132,0)),IF($N23="R",INDEX($H$109:$H$132,MATCH($K23,$C$109:$C$132,0)),IF(Dashboard!$K$5="L",INDEX($G$109:$G$132,MATCH($K23,$C$109:$C$132,0)),IF(Dashboard!$K$5="R",INDEX($H$109:$H$132,MATCH($K23,$C$109:$C$132,0)),""))))),""))),"0.0")))</f>
        <v/>
      </c>
      <c r="R23" s="68"/>
      <c r="S23" s="69" t="str">
        <f aca="false">IF(OR(IF(OR($K23="",$K23="Manual"),"",IF(LEFT($K23,4)="GPS:",IFERROR(CHOOSE(MATCH($K23,Lists!$G$3:$G$8,0),GPS!$G$6,GPS!$G$7,GPS!$G$8,GPS!$G$9,GPS!$G$10,GPS!$G$11),""),IFERROR(IF($N23="LSI",INDEX($I$109:$I$132,MATCH($K23,$C$109:$C$132,0)),IF($N23="L",INDEX($G$109:$G$132,MATCH($K23,$C$109:$C$132,0)),IF($N23="R",INDEX($H$109:$H$132,MATCH($K23,$C$109:$C$132,0)),IF(Dashboard!$K$5="L",INDEX($G$109:$G$132,MATCH($K23,$C$109:$C$132,0)),IF(Dashboard!$K$5="R",INDEX($H$109:$H$132,MATCH($K23,$C$109:$C$132,0)),""))))),"")))="",$P23=""),"",IF(IF($O23="≤",IF(OR($K23="",$K23="Manual"),"",IF(LEFT($K23,4)="GPS:",IFERROR(CHOOSE(MATCH($K23,Lists!$G$3:$G$8,0),GPS!$G$6,GPS!$G$7,GPS!$G$8,GPS!$G$9,GPS!$G$10,GPS!$G$11),""),IFERROR(IF($N23="LSI",INDEX($I$109:$I$132,MATCH($K23,$C$109:$C$132,0)),IF($N23="L",INDEX($G$109:$G$132,MATCH($K23,$C$109:$C$132,0)),IF($N23="R",INDEX($H$109:$H$132,MATCH($K23,$C$109:$C$132,0)),IF(Dashboard!$K$5="L",INDEX($G$109:$G$132,MATCH($K23,$C$109:$C$132,0)),IF(Dashboard!$K$5="R",INDEX($H$109:$H$132,MATCH($K23,$C$109:$C$132,0)),""))))),"")))&lt;=$P23,IF(OR($K23="",$K23="Manual"),"",IF(LEFT($K23,4)="GPS:",IFERROR(CHOOSE(MATCH($K23,Lists!$G$3:$G$8,0),GPS!$G$6,GPS!$G$7,GPS!$G$8,GPS!$G$9,GPS!$G$10,GPS!$G$11),""),IFERROR(IF($N23="LSI",INDEX($I$109:$I$132,MATCH($K23,$C$109:$C$132,0)),IF($N23="L",INDEX($G$109:$G$132,MATCH($K23,$C$109:$C$132,0)),IF($N23="R",INDEX($H$109:$H$132,MATCH($K23,$C$109:$C$132,0)),IF(Dashboard!$K$5="L",INDEX($G$109:$G$132,MATCH($K23,$C$109:$C$132,0)),IF(Dashboard!$K$5="R",INDEX($H$109:$H$132,MATCH($K23,$C$109:$C$132,0)),""))))),"")))&gt;=$P23),"MET","NOT MET"))</f>
        <v/>
      </c>
      <c r="T23" s="7"/>
      <c r="U23" s="68" t="str">
        <f aca="false">IF($T23&lt;&gt;"",$T23,IF($S23="MET","Y",IF($S23="NOT MET","N","")))</f>
        <v/>
      </c>
      <c r="V23" s="70" t="str">
        <f aca="false">IF($U23="Y",IFERROR(IF(LEFT($K23,4)="GPS:","",INDEX($J$109:$J$132,MATCH($K23,$C$109:$C$132,0))),""),"")</f>
        <v/>
      </c>
      <c r="W23" s="70"/>
      <c r="X23" s="58"/>
      <c r="Y23" s="58"/>
      <c r="Z23" s="58"/>
      <c r="AA23" s="58"/>
    </row>
    <row r="24" customFormat="false" ht="15.75" hidden="false" customHeight="true" outlineLevel="0" collapsed="false">
      <c r="A24" s="33"/>
      <c r="B24" s="33" t="s">
        <v>94</v>
      </c>
      <c r="C24" s="33"/>
      <c r="D24" s="33" t="s">
        <v>139</v>
      </c>
      <c r="E24" s="33"/>
      <c r="F24" s="33"/>
      <c r="G24" s="33"/>
      <c r="H24" s="33"/>
      <c r="I24" s="33"/>
      <c r="J24" s="33"/>
      <c r="K24" s="33" t="s">
        <v>140</v>
      </c>
      <c r="L24" s="33"/>
      <c r="M24" s="33"/>
      <c r="N24" s="33" t="s">
        <v>141</v>
      </c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 customFormat="false" ht="15" hidden="false" customHeight="true" outlineLevel="0" collapsed="false">
      <c r="A25" s="57" t="n">
        <v>1</v>
      </c>
      <c r="B25" s="71" t="s">
        <v>105</v>
      </c>
      <c r="C25" s="71"/>
      <c r="D25" s="72" t="str">
        <f aca="false">IF(COUNTA($D$6:$D$8)=0,"No criteria defined",COUNTIFS($D$6:$D$8,"&lt;&gt;",$U$6:$U$8,"Y")&amp;" / "&amp;COUNTA($D$6:$D$8))</f>
        <v>0 / 2</v>
      </c>
      <c r="E25" s="72"/>
      <c r="F25" s="72"/>
      <c r="G25" s="72"/>
      <c r="H25" s="72"/>
      <c r="I25" s="72"/>
      <c r="J25" s="72"/>
      <c r="K25" s="68" t="str">
        <f aca="false">IF(AND(COUNTA($D$6:$D$8)&gt;0,COUNTIFS($D$6:$D$8,"&lt;&gt;",$U$6:$U$8,"Y")=COUNTA($D$6:$D$8)),"Y","N")</f>
        <v>N</v>
      </c>
      <c r="L25" s="68"/>
      <c r="M25" s="68"/>
      <c r="N25" s="73" t="str">
        <f aca="false">IF(K25="Y","—",IF(AND($D$6&lt;&gt;"",$U$6&lt;&gt;"Y"),$D$6,IF(AND($D$7&lt;&gt;"",$U$7&lt;&gt;"Y"),$D$7,IF(AND($D$8&lt;&gt;"",$U$8&lt;&gt;"Y"),$D$8,""))))</f>
        <v>Pain &amp; swelling controlled; full weight-bearing</v>
      </c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</row>
    <row r="26" customFormat="false" ht="15" hidden="false" customHeight="true" outlineLevel="0" collapsed="false">
      <c r="A26" s="57" t="n">
        <v>2</v>
      </c>
      <c r="B26" s="71" t="s">
        <v>110</v>
      </c>
      <c r="C26" s="71"/>
      <c r="D26" s="72" t="str">
        <f aca="false">IF(COUNTA($D$9:$D$11)=0,"No criteria defined",COUNTIFS($D$9:$D$11,"&lt;&gt;",$U$9:$U$11,"Y")&amp;" / "&amp;COUNTA($D$9:$D$11))</f>
        <v>0 / 2</v>
      </c>
      <c r="E26" s="72"/>
      <c r="F26" s="72"/>
      <c r="G26" s="72"/>
      <c r="H26" s="72"/>
      <c r="I26" s="72"/>
      <c r="J26" s="72"/>
      <c r="K26" s="68" t="str">
        <f aca="false">IF(AND(COUNTA($D$9:$D$11)&gt;0,COUNTIFS($D$9:$D$11,"&lt;&gt;",$U$9:$U$11,"Y")=COUNTA($D$9:$D$11)),"Y","N")</f>
        <v>N</v>
      </c>
      <c r="L26" s="68"/>
      <c r="M26" s="68"/>
      <c r="N26" s="73" t="str">
        <f aca="false">IF(K26="Y","—",IF(AND($D$9&lt;&gt;"",$U$9&lt;&gt;"Y"),$D$9,IF(AND($D$10&lt;&gt;"",$U$10&lt;&gt;"Y"),$D$10,IF(AND($D$11&lt;&gt;"",$U$11&lt;&gt;"Y"),$D$11,""))))</f>
        <v>Knee-to-wall ≥ 85% of other side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</row>
    <row r="27" customFormat="false" ht="15" hidden="false" customHeight="true" outlineLevel="0" collapsed="false">
      <c r="A27" s="57" t="n">
        <v>3</v>
      </c>
      <c r="B27" s="71" t="s">
        <v>117</v>
      </c>
      <c r="C27" s="71"/>
      <c r="D27" s="72" t="str">
        <f aca="false">IF(COUNTA($D$12:$D$14)=0,"No criteria defined",COUNTIFS($D$12:$D$14,"&lt;&gt;",$U$12:$U$14,"Y")&amp;" / "&amp;COUNTA($D$12:$D$14))</f>
        <v>0 / 3</v>
      </c>
      <c r="E27" s="72"/>
      <c r="F27" s="72"/>
      <c r="G27" s="72"/>
      <c r="H27" s="72"/>
      <c r="I27" s="72"/>
      <c r="J27" s="72"/>
      <c r="K27" s="68" t="str">
        <f aca="false">IF(AND(COUNTA($D$12:$D$14)&gt;0,COUNTIFS($D$12:$D$14,"&lt;&gt;",$U$12:$U$14,"Y")=COUNTA($D$12:$D$14)),"Y","N")</f>
        <v>N</v>
      </c>
      <c r="L27" s="68"/>
      <c r="M27" s="68"/>
      <c r="N27" s="73" t="str">
        <f aca="false">IF(K27="Y","—",IF(AND($D$12&lt;&gt;"",$U$12&lt;&gt;"Y"),$D$12,IF(AND($D$13&lt;&gt;"",$U$13&lt;&gt;"Y"),$D$13,IF(AND($D$14&lt;&gt;"",$U$14&lt;&gt;"Y"),$D$14,""))))</f>
        <v>Plantarflexion strength ≥ 80% LSI</v>
      </c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</row>
    <row r="28" customFormat="false" ht="15" hidden="false" customHeight="true" outlineLevel="0" collapsed="false">
      <c r="A28" s="57" t="n">
        <v>4</v>
      </c>
      <c r="B28" s="71" t="s">
        <v>122</v>
      </c>
      <c r="C28" s="71"/>
      <c r="D28" s="72" t="str">
        <f aca="false">IF(COUNTA($D$15:$D$17)=0,"No criteria defined",COUNTIFS($D$15:$D$17,"&lt;&gt;",$U$15:$U$17,"Y")&amp;" / "&amp;COUNTA($D$15:$D$17))</f>
        <v>0 / 3</v>
      </c>
      <c r="E28" s="72"/>
      <c r="F28" s="72"/>
      <c r="G28" s="72"/>
      <c r="H28" s="72"/>
      <c r="I28" s="72"/>
      <c r="J28" s="72"/>
      <c r="K28" s="68" t="str">
        <f aca="false">IF(AND(COUNTA($D$15:$D$17)&gt;0,COUNTIFS($D$15:$D$17,"&lt;&gt;",$U$15:$U$17,"Y")=COUNTA($D$15:$D$17)),"Y","N")</f>
        <v>N</v>
      </c>
      <c r="L28" s="68"/>
      <c r="M28" s="68"/>
      <c r="N28" s="73" t="str">
        <f aca="false">IF(K28="Y","—",IF(AND($D$15&lt;&gt;"",$U$15&lt;&gt;"Y"),$D$15,IF(AND($D$16&lt;&gt;"",$U$16&lt;&gt;"Y"),$D$16,IF(AND($D$17&lt;&gt;"",$U$17&lt;&gt;"Y"),$D$17,""))))</f>
        <v>Lateral capacity ≥ 90% LSI</v>
      </c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</row>
    <row r="29" customFormat="false" ht="15" hidden="false" customHeight="true" outlineLevel="0" collapsed="false">
      <c r="A29" s="57" t="n">
        <v>5</v>
      </c>
      <c r="B29" s="71" t="s">
        <v>128</v>
      </c>
      <c r="C29" s="71"/>
      <c r="D29" s="72" t="str">
        <f aca="false">IF(COUNTA($D$18:$D$20)=0,"No criteria defined",COUNTIFS($D$18:$D$20,"&lt;&gt;",$U$18:$U$20,"Y")&amp;" / "&amp;COUNTA($D$18:$D$20))</f>
        <v>0 / 3</v>
      </c>
      <c r="E29" s="72"/>
      <c r="F29" s="72"/>
      <c r="G29" s="72"/>
      <c r="H29" s="72"/>
      <c r="I29" s="72"/>
      <c r="J29" s="72"/>
      <c r="K29" s="68" t="str">
        <f aca="false">IF(AND(COUNTA($D$18:$D$20)&gt;0,COUNTIFS($D$18:$D$20,"&lt;&gt;",$U$18:$U$20,"Y")=COUNTA($D$18:$D$20)),"Y","N")</f>
        <v>N</v>
      </c>
      <c r="L29" s="68"/>
      <c r="M29" s="68"/>
      <c r="N29" s="73" t="str">
        <f aca="false">IF(K29="Y","—",IF(AND($D$18&lt;&gt;"",$U$18&lt;&gt;"Y"),$D$18,IF(AND($D$19&lt;&gt;"",$U$19&lt;&gt;"Y"),$D$19,IF(AND($D$20&lt;&gt;"",$U$20&lt;&gt;"Y"),$D$20,""))))</f>
        <v>Total distance ≥ 90% of baseline</v>
      </c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</row>
    <row r="30" customFormat="false" ht="15" hidden="false" customHeight="true" outlineLevel="0" collapsed="false">
      <c r="A30" s="57" t="n">
        <v>6</v>
      </c>
      <c r="B30" s="71" t="s">
        <v>134</v>
      </c>
      <c r="C30" s="71"/>
      <c r="D30" s="72" t="str">
        <f aca="false">IF(COUNTA($D$21:$D$23)=0,"No criteria defined",COUNTIFS($D$21:$D$23,"&lt;&gt;",$U$21:$U$23,"Y")&amp;" / "&amp;COUNTA($D$21:$D$23))</f>
        <v>0 / 3</v>
      </c>
      <c r="E30" s="72"/>
      <c r="F30" s="72"/>
      <c r="G30" s="72"/>
      <c r="H30" s="72"/>
      <c r="I30" s="72"/>
      <c r="J30" s="72"/>
      <c r="K30" s="68" t="str">
        <f aca="false">IF(AND(COUNTA($D$21:$D$23)&gt;0,COUNTIFS($D$21:$D$23,"&lt;&gt;",$U$21:$U$23,"Y")=COUNTA($D$21:$D$23)),"Y","N")</f>
        <v>N</v>
      </c>
      <c r="L30" s="68"/>
      <c r="M30" s="68"/>
      <c r="N30" s="73" t="str">
        <f aca="false">IF(K30="Y","—",IF(AND($D$21&lt;&gt;"",$U$21&lt;&gt;"Y"),$D$21,IF(AND($D$22&lt;&gt;"",$U$22&lt;&gt;"Y"),$D$22,IF(AND($D$23&lt;&gt;"",$U$23&lt;&gt;"Y"),$D$23,""))))</f>
        <v>Total distance ≥ 100% of baseline</v>
      </c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</row>
    <row r="31" customFormat="false" ht="30" hidden="false" customHeight="true" outlineLevel="0" collapsed="false">
      <c r="A31" s="74" t="s">
        <v>41</v>
      </c>
      <c r="B31" s="74"/>
      <c r="C31" s="74"/>
      <c r="D31" s="74"/>
      <c r="E31" s="75" t="str">
        <f aca="false">IFERROR(INDEX($B$25:$B$30,MATCH("N",$K$25:$K$30,0)),"Rehab complete — RTP")</f>
        <v>1. Protection</v>
      </c>
      <c r="F31" s="75"/>
      <c r="G31" s="75"/>
      <c r="H31" s="75"/>
      <c r="I31" s="75"/>
      <c r="J31" s="75"/>
      <c r="K31" s="65" t="s">
        <v>142</v>
      </c>
      <c r="L31" s="65"/>
      <c r="M31" s="65"/>
      <c r="N31" s="65"/>
      <c r="O31" s="68" t="str">
        <f aca="false">COUNTIF($K$25:$K$30,"Y")&amp;" / 6"</f>
        <v>0 / 6</v>
      </c>
      <c r="P31" s="68"/>
      <c r="Q31" s="68"/>
      <c r="R31" s="69" t="str">
        <f aca="false">IF(COUNTIF($K$25:$K$30,"Y")&gt;=6,"COMPLETE",IF(COUNTIF($K$25:$K$30,"Y")=0,"NOT STARTED","IN PROGRESS"))</f>
        <v>NOT STARTED</v>
      </c>
      <c r="S31" s="76" t="s">
        <v>143</v>
      </c>
      <c r="T31" s="60" t="str">
        <f aca="false">IFERROR(_xlfn.TEXTJOIN("   ·   ",TRUE(),IF(AND(INDEX($D$6:$D$23,((MATCH("N",$K$25:$K$30,0))-1)*3+1)&lt;&gt;"",INDEX($U$6:$U$23,((MATCH("N",$K$25:$K$30,0))-1)*3+1)&lt;&gt;"Y"),INDEX($D$6:$D$23,((MATCH("N",$K$25:$K$30,0))-1)*3+1),""),IF(AND(INDEX($D$6:$D$23,((MATCH("N",$K$25:$K$30,0))-1)*3+2)&lt;&gt;"",INDEX($U$6:$U$23,((MATCH("N",$K$25:$K$30,0))-1)*3+2)&lt;&gt;"Y"),INDEX($D$6:$D$23,((MATCH("N",$K$25:$K$30,0))-1)*3+2),""),IF(AND(INDEX($D$6:$D$23,((MATCH("N",$K$25:$K$30,0))-1)*3+3)&lt;&gt;"",INDEX($U$6:$U$23,((MATCH("N",$K$25:$K$30,0))-1)*3+3)&lt;&gt;"Y"),INDEX($D$6:$D$23,((MATCH("N",$K$25:$K$30,0))-1)*3+3),"")),"")</f>
        <v>Pain &amp; swelling controlled; full weight-bearing   ·   Knee-to-wall ≥ 50% of other side</v>
      </c>
      <c r="U31" s="60"/>
      <c r="V31" s="60"/>
      <c r="W31" s="60"/>
      <c r="X31" s="60"/>
      <c r="Y31" s="60"/>
      <c r="Z31" s="60"/>
      <c r="AA31" s="60"/>
    </row>
    <row r="33" customFormat="false" ht="19.5" hidden="false" customHeight="true" outlineLevel="0" collapsed="false">
      <c r="A33" s="62" t="s">
        <v>144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</row>
    <row r="34" customFormat="false" ht="31.5" hidden="false" customHeight="true" outlineLevel="0" collapsed="false">
      <c r="A34" s="55" t="s">
        <v>52</v>
      </c>
      <c r="B34" s="55" t="s">
        <v>75</v>
      </c>
      <c r="C34" s="77" t="s">
        <v>231</v>
      </c>
      <c r="D34" s="77"/>
      <c r="E34" s="77"/>
      <c r="F34" s="77" t="s">
        <v>248</v>
      </c>
      <c r="G34" s="77"/>
      <c r="H34" s="77"/>
      <c r="I34" s="77" t="s">
        <v>249</v>
      </c>
      <c r="J34" s="77"/>
      <c r="K34" s="77"/>
      <c r="L34" s="77" t="s">
        <v>250</v>
      </c>
      <c r="M34" s="77"/>
      <c r="N34" s="77"/>
      <c r="O34" s="78" t="s">
        <v>150</v>
      </c>
      <c r="P34" s="78"/>
      <c r="Q34" s="78"/>
      <c r="R34" s="78" t="s">
        <v>150</v>
      </c>
      <c r="S34" s="78"/>
      <c r="T34" s="78"/>
      <c r="U34" s="78" t="s">
        <v>150</v>
      </c>
      <c r="V34" s="78"/>
      <c r="W34" s="78"/>
      <c r="X34" s="78" t="s">
        <v>150</v>
      </c>
      <c r="Y34" s="78"/>
      <c r="Z34" s="78"/>
      <c r="AA34" s="55" t="s">
        <v>84</v>
      </c>
    </row>
    <row r="35" customFormat="false" ht="15.75" hidden="false" customHeight="true" outlineLevel="0" collapsed="false">
      <c r="A35" s="55"/>
      <c r="B35" s="55"/>
      <c r="C35" s="55" t="s">
        <v>12</v>
      </c>
      <c r="D35" s="55" t="s">
        <v>49</v>
      </c>
      <c r="E35" s="55" t="s">
        <v>50</v>
      </c>
      <c r="F35" s="55" t="s">
        <v>12</v>
      </c>
      <c r="G35" s="55" t="s">
        <v>49</v>
      </c>
      <c r="H35" s="55" t="s">
        <v>50</v>
      </c>
      <c r="I35" s="55" t="s">
        <v>12</v>
      </c>
      <c r="J35" s="55" t="s">
        <v>49</v>
      </c>
      <c r="K35" s="55" t="s">
        <v>50</v>
      </c>
      <c r="L35" s="55" t="s">
        <v>12</v>
      </c>
      <c r="M35" s="55" t="s">
        <v>49</v>
      </c>
      <c r="N35" s="55" t="s">
        <v>50</v>
      </c>
      <c r="O35" s="55" t="s">
        <v>12</v>
      </c>
      <c r="P35" s="55" t="s">
        <v>49</v>
      </c>
      <c r="Q35" s="55" t="s">
        <v>50</v>
      </c>
      <c r="R35" s="55" t="s">
        <v>12</v>
      </c>
      <c r="S35" s="55" t="s">
        <v>49</v>
      </c>
      <c r="T35" s="55" t="s">
        <v>50</v>
      </c>
      <c r="U35" s="55" t="s">
        <v>12</v>
      </c>
      <c r="V35" s="55" t="s">
        <v>49</v>
      </c>
      <c r="W35" s="55" t="s">
        <v>50</v>
      </c>
      <c r="X35" s="55" t="s">
        <v>12</v>
      </c>
      <c r="Y35" s="55" t="s">
        <v>49</v>
      </c>
      <c r="Z35" s="55" t="s">
        <v>50</v>
      </c>
      <c r="AA35" s="55"/>
    </row>
    <row r="36" customFormat="false" ht="15" hidden="false" customHeight="false" outlineLevel="0" collapsed="false">
      <c r="A36" s="56"/>
      <c r="B36" s="57" t="str">
        <f aca="false">IF(A36="","",IF(Dashboard!$L$5="","",INT((A36-Dashboard!$L$5)/7)+1))</f>
        <v/>
      </c>
      <c r="C36" s="67"/>
      <c r="D36" s="67"/>
      <c r="E36" s="79" t="str">
        <f aca="false">IFERROR(IF(OR(C36="",D36=""),"",IF(Dashboard!$K$5="L",IF(D36=0,"",C36/D36),IF(Dashboard!$K$5="R",IF(C36=0,"",D36/C36),IF(MAX(C36,D36)=0,"",MIN(C36,D36)/MAX(C36,D36))))),"")</f>
        <v/>
      </c>
      <c r="F36" s="67"/>
      <c r="G36" s="67"/>
      <c r="H36" s="79" t="str">
        <f aca="false">IFERROR(IF(OR(F36="",G36=""),"",IF(Dashboard!$K$5="L",IF(G36=0,"",F36/G36),IF(Dashboard!$K$5="R",IF(F36=0,"",G36/F36),IF(MAX(F36,G36)=0,"",MIN(F36,G36)/MAX(F36,G36))))),"")</f>
        <v/>
      </c>
      <c r="I36" s="67"/>
      <c r="J36" s="67"/>
      <c r="K36" s="79" t="str">
        <f aca="false">IFERROR(IF(OR(I36="",J36=""),"",IF(Dashboard!$K$5="L",IF(J36=0,"",I36/J36),IF(Dashboard!$K$5="R",IF(I36=0,"",J36/I36),IF(MAX(I36,J36)=0,"",MIN(I36,J36)/MAX(I36,J36))))),"")</f>
        <v/>
      </c>
      <c r="L36" s="67"/>
      <c r="M36" s="67"/>
      <c r="N36" s="79" t="str">
        <f aca="false">IFERROR(IF(OR(L36="",M36=""),"",IF(Dashboard!$K$5="L",IF(M36=0,"",L36/M36),IF(Dashboard!$K$5="R",IF(L36=0,"",M36/L36),IF(MAX(L36,M36)=0,"",MIN(L36,M36)/MAX(L36,M36))))),"")</f>
        <v/>
      </c>
      <c r="O36" s="67"/>
      <c r="P36" s="67"/>
      <c r="Q36" s="79" t="str">
        <f aca="false">IFERROR(IF(OR(O36="",P36=""),"",IF(Dashboard!$K$5="L",IF(P36=0,"",O36/P36),IF(Dashboard!$K$5="R",IF(O36=0,"",P36/O36),IF(MAX(O36,P36)=0,"",MIN(O36,P36)/MAX(O36,P36))))),"")</f>
        <v/>
      </c>
      <c r="R36" s="67"/>
      <c r="S36" s="67"/>
      <c r="T36" s="79" t="str">
        <f aca="false">IFERROR(IF(OR(R36="",S36=""),"",IF(Dashboard!$K$5="L",IF(S36=0,"",R36/S36),IF(Dashboard!$K$5="R",IF(R36=0,"",S36/R36),IF(MAX(R36,S36)=0,"",MIN(R36,S36)/MAX(R36,S36))))),"")</f>
        <v/>
      </c>
      <c r="U36" s="67"/>
      <c r="V36" s="67"/>
      <c r="W36" s="79" t="str">
        <f aca="false">IFERROR(IF(OR(U36="",V36=""),"",IF(Dashboard!$K$5="L",IF(V36=0,"",U36/V36),IF(Dashboard!$K$5="R",IF(U36=0,"",V36/U36),IF(MAX(U36,V36)=0,"",MIN(U36,V36)/MAX(U36,V36))))),"")</f>
        <v/>
      </c>
      <c r="X36" s="67"/>
      <c r="Y36" s="67"/>
      <c r="Z36" s="79" t="str">
        <f aca="false">IFERROR(IF(OR(X36="",Y36=""),"",IF(Dashboard!$K$5="L",IF(Y36=0,"",X36/Y36),IF(Dashboard!$K$5="R",IF(X36=0,"",Y36/X36),IF(MAX(X36,Y36)=0,"",MIN(X36,Y36)/MAX(X36,Y36))))),"")</f>
        <v/>
      </c>
      <c r="AA36" s="58"/>
    </row>
    <row r="37" customFormat="false" ht="15" hidden="false" customHeight="false" outlineLevel="0" collapsed="false">
      <c r="A37" s="56"/>
      <c r="B37" s="57" t="str">
        <f aca="false">IF(A37="","",IF(Dashboard!$L$5="","",INT((A37-Dashboard!$L$5)/7)+1))</f>
        <v/>
      </c>
      <c r="C37" s="67"/>
      <c r="D37" s="67"/>
      <c r="E37" s="79" t="str">
        <f aca="false">IFERROR(IF(OR(C37="",D37=""),"",IF(Dashboard!$K$5="L",IF(D37=0,"",C37/D37),IF(Dashboard!$K$5="R",IF(C37=0,"",D37/C37),IF(MAX(C37,D37)=0,"",MIN(C37,D37)/MAX(C37,D37))))),"")</f>
        <v/>
      </c>
      <c r="F37" s="67"/>
      <c r="G37" s="67"/>
      <c r="H37" s="79" t="str">
        <f aca="false">IFERROR(IF(OR(F37="",G37=""),"",IF(Dashboard!$K$5="L",IF(G37=0,"",F37/G37),IF(Dashboard!$K$5="R",IF(F37=0,"",G37/F37),IF(MAX(F37,G37)=0,"",MIN(F37,G37)/MAX(F37,G37))))),"")</f>
        <v/>
      </c>
      <c r="I37" s="67"/>
      <c r="J37" s="67"/>
      <c r="K37" s="79" t="str">
        <f aca="false">IFERROR(IF(OR(I37="",J37=""),"",IF(Dashboard!$K$5="L",IF(J37=0,"",I37/J37),IF(Dashboard!$K$5="R",IF(I37=0,"",J37/I37),IF(MAX(I37,J37)=0,"",MIN(I37,J37)/MAX(I37,J37))))),"")</f>
        <v/>
      </c>
      <c r="L37" s="67"/>
      <c r="M37" s="67"/>
      <c r="N37" s="79" t="str">
        <f aca="false">IFERROR(IF(OR(L37="",M37=""),"",IF(Dashboard!$K$5="L",IF(M37=0,"",L37/M37),IF(Dashboard!$K$5="R",IF(L37=0,"",M37/L37),IF(MAX(L37,M37)=0,"",MIN(L37,M37)/MAX(L37,M37))))),"")</f>
        <v/>
      </c>
      <c r="O37" s="67"/>
      <c r="P37" s="67"/>
      <c r="Q37" s="79" t="str">
        <f aca="false">IFERROR(IF(OR(O37="",P37=""),"",IF(Dashboard!$K$5="L",IF(P37=0,"",O37/P37),IF(Dashboard!$K$5="R",IF(O37=0,"",P37/O37),IF(MAX(O37,P37)=0,"",MIN(O37,P37)/MAX(O37,P37))))),"")</f>
        <v/>
      </c>
      <c r="R37" s="67"/>
      <c r="S37" s="67"/>
      <c r="T37" s="79" t="str">
        <f aca="false">IFERROR(IF(OR(R37="",S37=""),"",IF(Dashboard!$K$5="L",IF(S37=0,"",R37/S37),IF(Dashboard!$K$5="R",IF(R37=0,"",S37/R37),IF(MAX(R37,S37)=0,"",MIN(R37,S37)/MAX(R37,S37))))),"")</f>
        <v/>
      </c>
      <c r="U37" s="67"/>
      <c r="V37" s="67"/>
      <c r="W37" s="79" t="str">
        <f aca="false">IFERROR(IF(OR(U37="",V37=""),"",IF(Dashboard!$K$5="L",IF(V37=0,"",U37/V37),IF(Dashboard!$K$5="R",IF(U37=0,"",V37/U37),IF(MAX(U37,V37)=0,"",MIN(U37,V37)/MAX(U37,V37))))),"")</f>
        <v/>
      </c>
      <c r="X37" s="67"/>
      <c r="Y37" s="67"/>
      <c r="Z37" s="79" t="str">
        <f aca="false">IFERROR(IF(OR(X37="",Y37=""),"",IF(Dashboard!$K$5="L",IF(Y37=0,"",X37/Y37),IF(Dashboard!$K$5="R",IF(X37=0,"",Y37/X37),IF(MAX(X37,Y37)=0,"",MIN(X37,Y37)/MAX(X37,Y37))))),"")</f>
        <v/>
      </c>
      <c r="AA37" s="58"/>
    </row>
    <row r="38" customFormat="false" ht="15" hidden="false" customHeight="false" outlineLevel="0" collapsed="false">
      <c r="A38" s="56"/>
      <c r="B38" s="57" t="str">
        <f aca="false">IF(A38="","",IF(Dashboard!$L$5="","",INT((A38-Dashboard!$L$5)/7)+1))</f>
        <v/>
      </c>
      <c r="C38" s="67"/>
      <c r="D38" s="67"/>
      <c r="E38" s="79" t="str">
        <f aca="false">IFERROR(IF(OR(C38="",D38=""),"",IF(Dashboard!$K$5="L",IF(D38=0,"",C38/D38),IF(Dashboard!$K$5="R",IF(C38=0,"",D38/C38),IF(MAX(C38,D38)=0,"",MIN(C38,D38)/MAX(C38,D38))))),"")</f>
        <v/>
      </c>
      <c r="F38" s="67"/>
      <c r="G38" s="67"/>
      <c r="H38" s="79" t="str">
        <f aca="false">IFERROR(IF(OR(F38="",G38=""),"",IF(Dashboard!$K$5="L",IF(G38=0,"",F38/G38),IF(Dashboard!$K$5="R",IF(F38=0,"",G38/F38),IF(MAX(F38,G38)=0,"",MIN(F38,G38)/MAX(F38,G38))))),"")</f>
        <v/>
      </c>
      <c r="I38" s="67"/>
      <c r="J38" s="67"/>
      <c r="K38" s="79" t="str">
        <f aca="false">IFERROR(IF(OR(I38="",J38=""),"",IF(Dashboard!$K$5="L",IF(J38=0,"",I38/J38),IF(Dashboard!$K$5="R",IF(I38=0,"",J38/I38),IF(MAX(I38,J38)=0,"",MIN(I38,J38)/MAX(I38,J38))))),"")</f>
        <v/>
      </c>
      <c r="L38" s="67"/>
      <c r="M38" s="67"/>
      <c r="N38" s="79" t="str">
        <f aca="false">IFERROR(IF(OR(L38="",M38=""),"",IF(Dashboard!$K$5="L",IF(M38=0,"",L38/M38),IF(Dashboard!$K$5="R",IF(L38=0,"",M38/L38),IF(MAX(L38,M38)=0,"",MIN(L38,M38)/MAX(L38,M38))))),"")</f>
        <v/>
      </c>
      <c r="O38" s="67"/>
      <c r="P38" s="67"/>
      <c r="Q38" s="79" t="str">
        <f aca="false">IFERROR(IF(OR(O38="",P38=""),"",IF(Dashboard!$K$5="L",IF(P38=0,"",O38/P38),IF(Dashboard!$K$5="R",IF(O38=0,"",P38/O38),IF(MAX(O38,P38)=0,"",MIN(O38,P38)/MAX(O38,P38))))),"")</f>
        <v/>
      </c>
      <c r="R38" s="67"/>
      <c r="S38" s="67"/>
      <c r="T38" s="79" t="str">
        <f aca="false">IFERROR(IF(OR(R38="",S38=""),"",IF(Dashboard!$K$5="L",IF(S38=0,"",R38/S38),IF(Dashboard!$K$5="R",IF(R38=0,"",S38/R38),IF(MAX(R38,S38)=0,"",MIN(R38,S38)/MAX(R38,S38))))),"")</f>
        <v/>
      </c>
      <c r="U38" s="67"/>
      <c r="V38" s="67"/>
      <c r="W38" s="79" t="str">
        <f aca="false">IFERROR(IF(OR(U38="",V38=""),"",IF(Dashboard!$K$5="L",IF(V38=0,"",U38/V38),IF(Dashboard!$K$5="R",IF(U38=0,"",V38/U38),IF(MAX(U38,V38)=0,"",MIN(U38,V38)/MAX(U38,V38))))),"")</f>
        <v/>
      </c>
      <c r="X38" s="67"/>
      <c r="Y38" s="67"/>
      <c r="Z38" s="79" t="str">
        <f aca="false">IFERROR(IF(OR(X38="",Y38=""),"",IF(Dashboard!$K$5="L",IF(Y38=0,"",X38/Y38),IF(Dashboard!$K$5="R",IF(X38=0,"",Y38/X38),IF(MAX(X38,Y38)=0,"",MIN(X38,Y38)/MAX(X38,Y38))))),"")</f>
        <v/>
      </c>
      <c r="AA38" s="58"/>
    </row>
    <row r="39" customFormat="false" ht="15" hidden="false" customHeight="false" outlineLevel="0" collapsed="false">
      <c r="A39" s="56"/>
      <c r="B39" s="57" t="str">
        <f aca="false">IF(A39="","",IF(Dashboard!$L$5="","",INT((A39-Dashboard!$L$5)/7)+1))</f>
        <v/>
      </c>
      <c r="C39" s="67"/>
      <c r="D39" s="67"/>
      <c r="E39" s="79" t="str">
        <f aca="false">IFERROR(IF(OR(C39="",D39=""),"",IF(Dashboard!$K$5="L",IF(D39=0,"",C39/D39),IF(Dashboard!$K$5="R",IF(C39=0,"",D39/C39),IF(MAX(C39,D39)=0,"",MIN(C39,D39)/MAX(C39,D39))))),"")</f>
        <v/>
      </c>
      <c r="F39" s="67"/>
      <c r="G39" s="67"/>
      <c r="H39" s="79" t="str">
        <f aca="false">IFERROR(IF(OR(F39="",G39=""),"",IF(Dashboard!$K$5="L",IF(G39=0,"",F39/G39),IF(Dashboard!$K$5="R",IF(F39=0,"",G39/F39),IF(MAX(F39,G39)=0,"",MIN(F39,G39)/MAX(F39,G39))))),"")</f>
        <v/>
      </c>
      <c r="I39" s="67"/>
      <c r="J39" s="67"/>
      <c r="K39" s="79" t="str">
        <f aca="false">IFERROR(IF(OR(I39="",J39=""),"",IF(Dashboard!$K$5="L",IF(J39=0,"",I39/J39),IF(Dashboard!$K$5="R",IF(I39=0,"",J39/I39),IF(MAX(I39,J39)=0,"",MIN(I39,J39)/MAX(I39,J39))))),"")</f>
        <v/>
      </c>
      <c r="L39" s="67"/>
      <c r="M39" s="67"/>
      <c r="N39" s="79" t="str">
        <f aca="false">IFERROR(IF(OR(L39="",M39=""),"",IF(Dashboard!$K$5="L",IF(M39=0,"",L39/M39),IF(Dashboard!$K$5="R",IF(L39=0,"",M39/L39),IF(MAX(L39,M39)=0,"",MIN(L39,M39)/MAX(L39,M39))))),"")</f>
        <v/>
      </c>
      <c r="O39" s="67"/>
      <c r="P39" s="67"/>
      <c r="Q39" s="79" t="str">
        <f aca="false">IFERROR(IF(OR(O39="",P39=""),"",IF(Dashboard!$K$5="L",IF(P39=0,"",O39/P39),IF(Dashboard!$K$5="R",IF(O39=0,"",P39/O39),IF(MAX(O39,P39)=0,"",MIN(O39,P39)/MAX(O39,P39))))),"")</f>
        <v/>
      </c>
      <c r="R39" s="67"/>
      <c r="S39" s="67"/>
      <c r="T39" s="79" t="str">
        <f aca="false">IFERROR(IF(OR(R39="",S39=""),"",IF(Dashboard!$K$5="L",IF(S39=0,"",R39/S39),IF(Dashboard!$K$5="R",IF(R39=0,"",S39/R39),IF(MAX(R39,S39)=0,"",MIN(R39,S39)/MAX(R39,S39))))),"")</f>
        <v/>
      </c>
      <c r="U39" s="67"/>
      <c r="V39" s="67"/>
      <c r="W39" s="79" t="str">
        <f aca="false">IFERROR(IF(OR(U39="",V39=""),"",IF(Dashboard!$K$5="L",IF(V39=0,"",U39/V39),IF(Dashboard!$K$5="R",IF(U39=0,"",V39/U39),IF(MAX(U39,V39)=0,"",MIN(U39,V39)/MAX(U39,V39))))),"")</f>
        <v/>
      </c>
      <c r="X39" s="67"/>
      <c r="Y39" s="67"/>
      <c r="Z39" s="79" t="str">
        <f aca="false">IFERROR(IF(OR(X39="",Y39=""),"",IF(Dashboard!$K$5="L",IF(Y39=0,"",X39/Y39),IF(Dashboard!$K$5="R",IF(X39=0,"",Y39/X39),IF(MAX(X39,Y39)=0,"",MIN(X39,Y39)/MAX(X39,Y39))))),"")</f>
        <v/>
      </c>
      <c r="AA39" s="58"/>
    </row>
    <row r="40" customFormat="false" ht="15" hidden="false" customHeight="false" outlineLevel="0" collapsed="false">
      <c r="A40" s="56"/>
      <c r="B40" s="57" t="str">
        <f aca="false">IF(A40="","",IF(Dashboard!$L$5="","",INT((A40-Dashboard!$L$5)/7)+1))</f>
        <v/>
      </c>
      <c r="C40" s="67"/>
      <c r="D40" s="67"/>
      <c r="E40" s="79" t="str">
        <f aca="false">IFERROR(IF(OR(C40="",D40=""),"",IF(Dashboard!$K$5="L",IF(D40=0,"",C40/D40),IF(Dashboard!$K$5="R",IF(C40=0,"",D40/C40),IF(MAX(C40,D40)=0,"",MIN(C40,D40)/MAX(C40,D40))))),"")</f>
        <v/>
      </c>
      <c r="F40" s="67"/>
      <c r="G40" s="67"/>
      <c r="H40" s="79" t="str">
        <f aca="false">IFERROR(IF(OR(F40="",G40=""),"",IF(Dashboard!$K$5="L",IF(G40=0,"",F40/G40),IF(Dashboard!$K$5="R",IF(F40=0,"",G40/F40),IF(MAX(F40,G40)=0,"",MIN(F40,G40)/MAX(F40,G40))))),"")</f>
        <v/>
      </c>
      <c r="I40" s="67"/>
      <c r="J40" s="67"/>
      <c r="K40" s="79" t="str">
        <f aca="false">IFERROR(IF(OR(I40="",J40=""),"",IF(Dashboard!$K$5="L",IF(J40=0,"",I40/J40),IF(Dashboard!$K$5="R",IF(I40=0,"",J40/I40),IF(MAX(I40,J40)=0,"",MIN(I40,J40)/MAX(I40,J40))))),"")</f>
        <v/>
      </c>
      <c r="L40" s="67"/>
      <c r="M40" s="67"/>
      <c r="N40" s="79" t="str">
        <f aca="false">IFERROR(IF(OR(L40="",M40=""),"",IF(Dashboard!$K$5="L",IF(M40=0,"",L40/M40),IF(Dashboard!$K$5="R",IF(L40=0,"",M40/L40),IF(MAX(L40,M40)=0,"",MIN(L40,M40)/MAX(L40,M40))))),"")</f>
        <v/>
      </c>
      <c r="O40" s="67"/>
      <c r="P40" s="67"/>
      <c r="Q40" s="79" t="str">
        <f aca="false">IFERROR(IF(OR(O40="",P40=""),"",IF(Dashboard!$K$5="L",IF(P40=0,"",O40/P40),IF(Dashboard!$K$5="R",IF(O40=0,"",P40/O40),IF(MAX(O40,P40)=0,"",MIN(O40,P40)/MAX(O40,P40))))),"")</f>
        <v/>
      </c>
      <c r="R40" s="67"/>
      <c r="S40" s="67"/>
      <c r="T40" s="79" t="str">
        <f aca="false">IFERROR(IF(OR(R40="",S40=""),"",IF(Dashboard!$K$5="L",IF(S40=0,"",R40/S40),IF(Dashboard!$K$5="R",IF(R40=0,"",S40/R40),IF(MAX(R40,S40)=0,"",MIN(R40,S40)/MAX(R40,S40))))),"")</f>
        <v/>
      </c>
      <c r="U40" s="67"/>
      <c r="V40" s="67"/>
      <c r="W40" s="79" t="str">
        <f aca="false">IFERROR(IF(OR(U40="",V40=""),"",IF(Dashboard!$K$5="L",IF(V40=0,"",U40/V40),IF(Dashboard!$K$5="R",IF(U40=0,"",V40/U40),IF(MAX(U40,V40)=0,"",MIN(U40,V40)/MAX(U40,V40))))),"")</f>
        <v/>
      </c>
      <c r="X40" s="67"/>
      <c r="Y40" s="67"/>
      <c r="Z40" s="79" t="str">
        <f aca="false">IFERROR(IF(OR(X40="",Y40=""),"",IF(Dashboard!$K$5="L",IF(Y40=0,"",X40/Y40),IF(Dashboard!$K$5="R",IF(X40=0,"",Y40/X40),IF(MAX(X40,Y40)=0,"",MIN(X40,Y40)/MAX(X40,Y40))))),"")</f>
        <v/>
      </c>
      <c r="AA40" s="58"/>
    </row>
    <row r="41" customFormat="false" ht="15" hidden="false" customHeight="false" outlineLevel="0" collapsed="false">
      <c r="A41" s="56"/>
      <c r="B41" s="57" t="str">
        <f aca="false">IF(A41="","",IF(Dashboard!$L$5="","",INT((A41-Dashboard!$L$5)/7)+1))</f>
        <v/>
      </c>
      <c r="C41" s="67"/>
      <c r="D41" s="67"/>
      <c r="E41" s="79" t="str">
        <f aca="false">IFERROR(IF(OR(C41="",D41=""),"",IF(Dashboard!$K$5="L",IF(D41=0,"",C41/D41),IF(Dashboard!$K$5="R",IF(C41=0,"",D41/C41),IF(MAX(C41,D41)=0,"",MIN(C41,D41)/MAX(C41,D41))))),"")</f>
        <v/>
      </c>
      <c r="F41" s="67"/>
      <c r="G41" s="67"/>
      <c r="H41" s="79" t="str">
        <f aca="false">IFERROR(IF(OR(F41="",G41=""),"",IF(Dashboard!$K$5="L",IF(G41=0,"",F41/G41),IF(Dashboard!$K$5="R",IF(F41=0,"",G41/F41),IF(MAX(F41,G41)=0,"",MIN(F41,G41)/MAX(F41,G41))))),"")</f>
        <v/>
      </c>
      <c r="I41" s="67"/>
      <c r="J41" s="67"/>
      <c r="K41" s="79" t="str">
        <f aca="false">IFERROR(IF(OR(I41="",J41=""),"",IF(Dashboard!$K$5="L",IF(J41=0,"",I41/J41),IF(Dashboard!$K$5="R",IF(I41=0,"",J41/I41),IF(MAX(I41,J41)=0,"",MIN(I41,J41)/MAX(I41,J41))))),"")</f>
        <v/>
      </c>
      <c r="L41" s="67"/>
      <c r="M41" s="67"/>
      <c r="N41" s="79" t="str">
        <f aca="false">IFERROR(IF(OR(L41="",M41=""),"",IF(Dashboard!$K$5="L",IF(M41=0,"",L41/M41),IF(Dashboard!$K$5="R",IF(L41=0,"",M41/L41),IF(MAX(L41,M41)=0,"",MIN(L41,M41)/MAX(L41,M41))))),"")</f>
        <v/>
      </c>
      <c r="O41" s="67"/>
      <c r="P41" s="67"/>
      <c r="Q41" s="79" t="str">
        <f aca="false">IFERROR(IF(OR(O41="",P41=""),"",IF(Dashboard!$K$5="L",IF(P41=0,"",O41/P41),IF(Dashboard!$K$5="R",IF(O41=0,"",P41/O41),IF(MAX(O41,P41)=0,"",MIN(O41,P41)/MAX(O41,P41))))),"")</f>
        <v/>
      </c>
      <c r="R41" s="67"/>
      <c r="S41" s="67"/>
      <c r="T41" s="79" t="str">
        <f aca="false">IFERROR(IF(OR(R41="",S41=""),"",IF(Dashboard!$K$5="L",IF(S41=0,"",R41/S41),IF(Dashboard!$K$5="R",IF(R41=0,"",S41/R41),IF(MAX(R41,S41)=0,"",MIN(R41,S41)/MAX(R41,S41))))),"")</f>
        <v/>
      </c>
      <c r="U41" s="67"/>
      <c r="V41" s="67"/>
      <c r="W41" s="79" t="str">
        <f aca="false">IFERROR(IF(OR(U41="",V41=""),"",IF(Dashboard!$K$5="L",IF(V41=0,"",U41/V41),IF(Dashboard!$K$5="R",IF(U41=0,"",V41/U41),IF(MAX(U41,V41)=0,"",MIN(U41,V41)/MAX(U41,V41))))),"")</f>
        <v/>
      </c>
      <c r="X41" s="67"/>
      <c r="Y41" s="67"/>
      <c r="Z41" s="79" t="str">
        <f aca="false">IFERROR(IF(OR(X41="",Y41=""),"",IF(Dashboard!$K$5="L",IF(Y41=0,"",X41/Y41),IF(Dashboard!$K$5="R",IF(X41=0,"",Y41/X41),IF(MAX(X41,Y41)=0,"",MIN(X41,Y41)/MAX(X41,Y41))))),"")</f>
        <v/>
      </c>
      <c r="AA41" s="58"/>
    </row>
    <row r="42" customFormat="false" ht="15" hidden="false" customHeight="false" outlineLevel="0" collapsed="false">
      <c r="A42" s="56"/>
      <c r="B42" s="57" t="str">
        <f aca="false">IF(A42="","",IF(Dashboard!$L$5="","",INT((A42-Dashboard!$L$5)/7)+1))</f>
        <v/>
      </c>
      <c r="C42" s="67"/>
      <c r="D42" s="67"/>
      <c r="E42" s="79" t="str">
        <f aca="false">IFERROR(IF(OR(C42="",D42=""),"",IF(Dashboard!$K$5="L",IF(D42=0,"",C42/D42),IF(Dashboard!$K$5="R",IF(C42=0,"",D42/C42),IF(MAX(C42,D42)=0,"",MIN(C42,D42)/MAX(C42,D42))))),"")</f>
        <v/>
      </c>
      <c r="F42" s="67"/>
      <c r="G42" s="67"/>
      <c r="H42" s="79" t="str">
        <f aca="false">IFERROR(IF(OR(F42="",G42=""),"",IF(Dashboard!$K$5="L",IF(G42=0,"",F42/G42),IF(Dashboard!$K$5="R",IF(F42=0,"",G42/F42),IF(MAX(F42,G42)=0,"",MIN(F42,G42)/MAX(F42,G42))))),"")</f>
        <v/>
      </c>
      <c r="I42" s="67"/>
      <c r="J42" s="67"/>
      <c r="K42" s="79" t="str">
        <f aca="false">IFERROR(IF(OR(I42="",J42=""),"",IF(Dashboard!$K$5="L",IF(J42=0,"",I42/J42),IF(Dashboard!$K$5="R",IF(I42=0,"",J42/I42),IF(MAX(I42,J42)=0,"",MIN(I42,J42)/MAX(I42,J42))))),"")</f>
        <v/>
      </c>
      <c r="L42" s="67"/>
      <c r="M42" s="67"/>
      <c r="N42" s="79" t="str">
        <f aca="false">IFERROR(IF(OR(L42="",M42=""),"",IF(Dashboard!$K$5="L",IF(M42=0,"",L42/M42),IF(Dashboard!$K$5="R",IF(L42=0,"",M42/L42),IF(MAX(L42,M42)=0,"",MIN(L42,M42)/MAX(L42,M42))))),"")</f>
        <v/>
      </c>
      <c r="O42" s="67"/>
      <c r="P42" s="67"/>
      <c r="Q42" s="79" t="str">
        <f aca="false">IFERROR(IF(OR(O42="",P42=""),"",IF(Dashboard!$K$5="L",IF(P42=0,"",O42/P42),IF(Dashboard!$K$5="R",IF(O42=0,"",P42/O42),IF(MAX(O42,P42)=0,"",MIN(O42,P42)/MAX(O42,P42))))),"")</f>
        <v/>
      </c>
      <c r="R42" s="67"/>
      <c r="S42" s="67"/>
      <c r="T42" s="79" t="str">
        <f aca="false">IFERROR(IF(OR(R42="",S42=""),"",IF(Dashboard!$K$5="L",IF(S42=0,"",R42/S42),IF(Dashboard!$K$5="R",IF(R42=0,"",S42/R42),IF(MAX(R42,S42)=0,"",MIN(R42,S42)/MAX(R42,S42))))),"")</f>
        <v/>
      </c>
      <c r="U42" s="67"/>
      <c r="V42" s="67"/>
      <c r="W42" s="79" t="str">
        <f aca="false">IFERROR(IF(OR(U42="",V42=""),"",IF(Dashboard!$K$5="L",IF(V42=0,"",U42/V42),IF(Dashboard!$K$5="R",IF(U42=0,"",V42/U42),IF(MAX(U42,V42)=0,"",MIN(U42,V42)/MAX(U42,V42))))),"")</f>
        <v/>
      </c>
      <c r="X42" s="67"/>
      <c r="Y42" s="67"/>
      <c r="Z42" s="79" t="str">
        <f aca="false">IFERROR(IF(OR(X42="",Y42=""),"",IF(Dashboard!$K$5="L",IF(Y42=0,"",X42/Y42),IF(Dashboard!$K$5="R",IF(X42=0,"",Y42/X42),IF(MAX(X42,Y42)=0,"",MIN(X42,Y42)/MAX(X42,Y42))))),"")</f>
        <v/>
      </c>
      <c r="AA42" s="58"/>
    </row>
    <row r="43" customFormat="false" ht="15" hidden="false" customHeight="false" outlineLevel="0" collapsed="false">
      <c r="A43" s="56"/>
      <c r="B43" s="57" t="str">
        <f aca="false">IF(A43="","",IF(Dashboard!$L$5="","",INT((A43-Dashboard!$L$5)/7)+1))</f>
        <v/>
      </c>
      <c r="C43" s="67"/>
      <c r="D43" s="67"/>
      <c r="E43" s="79" t="str">
        <f aca="false">IFERROR(IF(OR(C43="",D43=""),"",IF(Dashboard!$K$5="L",IF(D43=0,"",C43/D43),IF(Dashboard!$K$5="R",IF(C43=0,"",D43/C43),IF(MAX(C43,D43)=0,"",MIN(C43,D43)/MAX(C43,D43))))),"")</f>
        <v/>
      </c>
      <c r="F43" s="67"/>
      <c r="G43" s="67"/>
      <c r="H43" s="79" t="str">
        <f aca="false">IFERROR(IF(OR(F43="",G43=""),"",IF(Dashboard!$K$5="L",IF(G43=0,"",F43/G43),IF(Dashboard!$K$5="R",IF(F43=0,"",G43/F43),IF(MAX(F43,G43)=0,"",MIN(F43,G43)/MAX(F43,G43))))),"")</f>
        <v/>
      </c>
      <c r="I43" s="67"/>
      <c r="J43" s="67"/>
      <c r="K43" s="79" t="str">
        <f aca="false">IFERROR(IF(OR(I43="",J43=""),"",IF(Dashboard!$K$5="L",IF(J43=0,"",I43/J43),IF(Dashboard!$K$5="R",IF(I43=0,"",J43/I43),IF(MAX(I43,J43)=0,"",MIN(I43,J43)/MAX(I43,J43))))),"")</f>
        <v/>
      </c>
      <c r="L43" s="67"/>
      <c r="M43" s="67"/>
      <c r="N43" s="79" t="str">
        <f aca="false">IFERROR(IF(OR(L43="",M43=""),"",IF(Dashboard!$K$5="L",IF(M43=0,"",L43/M43),IF(Dashboard!$K$5="R",IF(L43=0,"",M43/L43),IF(MAX(L43,M43)=0,"",MIN(L43,M43)/MAX(L43,M43))))),"")</f>
        <v/>
      </c>
      <c r="O43" s="67"/>
      <c r="P43" s="67"/>
      <c r="Q43" s="79" t="str">
        <f aca="false">IFERROR(IF(OR(O43="",P43=""),"",IF(Dashboard!$K$5="L",IF(P43=0,"",O43/P43),IF(Dashboard!$K$5="R",IF(O43=0,"",P43/O43),IF(MAX(O43,P43)=0,"",MIN(O43,P43)/MAX(O43,P43))))),"")</f>
        <v/>
      </c>
      <c r="R43" s="67"/>
      <c r="S43" s="67"/>
      <c r="T43" s="79" t="str">
        <f aca="false">IFERROR(IF(OR(R43="",S43=""),"",IF(Dashboard!$K$5="L",IF(S43=0,"",R43/S43),IF(Dashboard!$K$5="R",IF(R43=0,"",S43/R43),IF(MAX(R43,S43)=0,"",MIN(R43,S43)/MAX(R43,S43))))),"")</f>
        <v/>
      </c>
      <c r="U43" s="67"/>
      <c r="V43" s="67"/>
      <c r="W43" s="79" t="str">
        <f aca="false">IFERROR(IF(OR(U43="",V43=""),"",IF(Dashboard!$K$5="L",IF(V43=0,"",U43/V43),IF(Dashboard!$K$5="R",IF(U43=0,"",V43/U43),IF(MAX(U43,V43)=0,"",MIN(U43,V43)/MAX(U43,V43))))),"")</f>
        <v/>
      </c>
      <c r="X43" s="67"/>
      <c r="Y43" s="67"/>
      <c r="Z43" s="79" t="str">
        <f aca="false">IFERROR(IF(OR(X43="",Y43=""),"",IF(Dashboard!$K$5="L",IF(Y43=0,"",X43/Y43),IF(Dashboard!$K$5="R",IF(X43=0,"",Y43/X43),IF(MAX(X43,Y43)=0,"",MIN(X43,Y43)/MAX(X43,Y43))))),"")</f>
        <v/>
      </c>
      <c r="AA43" s="58"/>
    </row>
    <row r="44" customFormat="false" ht="15" hidden="false" customHeight="false" outlineLevel="0" collapsed="false">
      <c r="A44" s="56"/>
      <c r="B44" s="57" t="str">
        <f aca="false">IF(A44="","",IF(Dashboard!$L$5="","",INT((A44-Dashboard!$L$5)/7)+1))</f>
        <v/>
      </c>
      <c r="C44" s="67"/>
      <c r="D44" s="67"/>
      <c r="E44" s="79" t="str">
        <f aca="false">IFERROR(IF(OR(C44="",D44=""),"",IF(Dashboard!$K$5="L",IF(D44=0,"",C44/D44),IF(Dashboard!$K$5="R",IF(C44=0,"",D44/C44),IF(MAX(C44,D44)=0,"",MIN(C44,D44)/MAX(C44,D44))))),"")</f>
        <v/>
      </c>
      <c r="F44" s="67"/>
      <c r="G44" s="67"/>
      <c r="H44" s="79" t="str">
        <f aca="false">IFERROR(IF(OR(F44="",G44=""),"",IF(Dashboard!$K$5="L",IF(G44=0,"",F44/G44),IF(Dashboard!$K$5="R",IF(F44=0,"",G44/F44),IF(MAX(F44,G44)=0,"",MIN(F44,G44)/MAX(F44,G44))))),"")</f>
        <v/>
      </c>
      <c r="I44" s="67"/>
      <c r="J44" s="67"/>
      <c r="K44" s="79" t="str">
        <f aca="false">IFERROR(IF(OR(I44="",J44=""),"",IF(Dashboard!$K$5="L",IF(J44=0,"",I44/J44),IF(Dashboard!$K$5="R",IF(I44=0,"",J44/I44),IF(MAX(I44,J44)=0,"",MIN(I44,J44)/MAX(I44,J44))))),"")</f>
        <v/>
      </c>
      <c r="L44" s="67"/>
      <c r="M44" s="67"/>
      <c r="N44" s="79" t="str">
        <f aca="false">IFERROR(IF(OR(L44="",M44=""),"",IF(Dashboard!$K$5="L",IF(M44=0,"",L44/M44),IF(Dashboard!$K$5="R",IF(L44=0,"",M44/L44),IF(MAX(L44,M44)=0,"",MIN(L44,M44)/MAX(L44,M44))))),"")</f>
        <v/>
      </c>
      <c r="O44" s="67"/>
      <c r="P44" s="67"/>
      <c r="Q44" s="79" t="str">
        <f aca="false">IFERROR(IF(OR(O44="",P44=""),"",IF(Dashboard!$K$5="L",IF(P44=0,"",O44/P44),IF(Dashboard!$K$5="R",IF(O44=0,"",P44/O44),IF(MAX(O44,P44)=0,"",MIN(O44,P44)/MAX(O44,P44))))),"")</f>
        <v/>
      </c>
      <c r="R44" s="67"/>
      <c r="S44" s="67"/>
      <c r="T44" s="79" t="str">
        <f aca="false">IFERROR(IF(OR(R44="",S44=""),"",IF(Dashboard!$K$5="L",IF(S44=0,"",R44/S44),IF(Dashboard!$K$5="R",IF(R44=0,"",S44/R44),IF(MAX(R44,S44)=0,"",MIN(R44,S44)/MAX(R44,S44))))),"")</f>
        <v/>
      </c>
      <c r="U44" s="67"/>
      <c r="V44" s="67"/>
      <c r="W44" s="79" t="str">
        <f aca="false">IFERROR(IF(OR(U44="",V44=""),"",IF(Dashboard!$K$5="L",IF(V44=0,"",U44/V44),IF(Dashboard!$K$5="R",IF(U44=0,"",V44/U44),IF(MAX(U44,V44)=0,"",MIN(U44,V44)/MAX(U44,V44))))),"")</f>
        <v/>
      </c>
      <c r="X44" s="67"/>
      <c r="Y44" s="67"/>
      <c r="Z44" s="79" t="str">
        <f aca="false">IFERROR(IF(OR(X44="",Y44=""),"",IF(Dashboard!$K$5="L",IF(Y44=0,"",X44/Y44),IF(Dashboard!$K$5="R",IF(X44=0,"",Y44/X44),IF(MAX(X44,Y44)=0,"",MIN(X44,Y44)/MAX(X44,Y44))))),"")</f>
        <v/>
      </c>
      <c r="AA44" s="58"/>
    </row>
    <row r="45" customFormat="false" ht="15" hidden="false" customHeight="false" outlineLevel="0" collapsed="false">
      <c r="A45" s="56"/>
      <c r="B45" s="57" t="str">
        <f aca="false">IF(A45="","",IF(Dashboard!$L$5="","",INT((A45-Dashboard!$L$5)/7)+1))</f>
        <v/>
      </c>
      <c r="C45" s="67"/>
      <c r="D45" s="67"/>
      <c r="E45" s="79" t="str">
        <f aca="false">IFERROR(IF(OR(C45="",D45=""),"",IF(Dashboard!$K$5="L",IF(D45=0,"",C45/D45),IF(Dashboard!$K$5="R",IF(C45=0,"",D45/C45),IF(MAX(C45,D45)=0,"",MIN(C45,D45)/MAX(C45,D45))))),"")</f>
        <v/>
      </c>
      <c r="F45" s="67"/>
      <c r="G45" s="67"/>
      <c r="H45" s="79" t="str">
        <f aca="false">IFERROR(IF(OR(F45="",G45=""),"",IF(Dashboard!$K$5="L",IF(G45=0,"",F45/G45),IF(Dashboard!$K$5="R",IF(F45=0,"",G45/F45),IF(MAX(F45,G45)=0,"",MIN(F45,G45)/MAX(F45,G45))))),"")</f>
        <v/>
      </c>
      <c r="I45" s="67"/>
      <c r="J45" s="67"/>
      <c r="K45" s="79" t="str">
        <f aca="false">IFERROR(IF(OR(I45="",J45=""),"",IF(Dashboard!$K$5="L",IF(J45=0,"",I45/J45),IF(Dashboard!$K$5="R",IF(I45=0,"",J45/I45),IF(MAX(I45,J45)=0,"",MIN(I45,J45)/MAX(I45,J45))))),"")</f>
        <v/>
      </c>
      <c r="L45" s="67"/>
      <c r="M45" s="67"/>
      <c r="N45" s="79" t="str">
        <f aca="false">IFERROR(IF(OR(L45="",M45=""),"",IF(Dashboard!$K$5="L",IF(M45=0,"",L45/M45),IF(Dashboard!$K$5="R",IF(L45=0,"",M45/L45),IF(MAX(L45,M45)=0,"",MIN(L45,M45)/MAX(L45,M45))))),"")</f>
        <v/>
      </c>
      <c r="O45" s="67"/>
      <c r="P45" s="67"/>
      <c r="Q45" s="79" t="str">
        <f aca="false">IFERROR(IF(OR(O45="",P45=""),"",IF(Dashboard!$K$5="L",IF(P45=0,"",O45/P45),IF(Dashboard!$K$5="R",IF(O45=0,"",P45/O45),IF(MAX(O45,P45)=0,"",MIN(O45,P45)/MAX(O45,P45))))),"")</f>
        <v/>
      </c>
      <c r="R45" s="67"/>
      <c r="S45" s="67"/>
      <c r="T45" s="79" t="str">
        <f aca="false">IFERROR(IF(OR(R45="",S45=""),"",IF(Dashboard!$K$5="L",IF(S45=0,"",R45/S45),IF(Dashboard!$K$5="R",IF(R45=0,"",S45/R45),IF(MAX(R45,S45)=0,"",MIN(R45,S45)/MAX(R45,S45))))),"")</f>
        <v/>
      </c>
      <c r="U45" s="67"/>
      <c r="V45" s="67"/>
      <c r="W45" s="79" t="str">
        <f aca="false">IFERROR(IF(OR(U45="",V45=""),"",IF(Dashboard!$K$5="L",IF(V45=0,"",U45/V45),IF(Dashboard!$K$5="R",IF(U45=0,"",V45/U45),IF(MAX(U45,V45)=0,"",MIN(U45,V45)/MAX(U45,V45))))),"")</f>
        <v/>
      </c>
      <c r="X45" s="67"/>
      <c r="Y45" s="67"/>
      <c r="Z45" s="79" t="str">
        <f aca="false">IFERROR(IF(OR(X45="",Y45=""),"",IF(Dashboard!$K$5="L",IF(Y45=0,"",X45/Y45),IF(Dashboard!$K$5="R",IF(X45=0,"",Y45/X45),IF(MAX(X45,Y45)=0,"",MIN(X45,Y45)/MAX(X45,Y45))))),"")</f>
        <v/>
      </c>
      <c r="AA45" s="58"/>
    </row>
    <row r="46" customFormat="false" ht="15" hidden="false" customHeight="false" outlineLevel="0" collapsed="false">
      <c r="A46" s="56"/>
      <c r="B46" s="57" t="str">
        <f aca="false">IF(A46="","",IF(Dashboard!$L$5="","",INT((A46-Dashboard!$L$5)/7)+1))</f>
        <v/>
      </c>
      <c r="C46" s="67"/>
      <c r="D46" s="67"/>
      <c r="E46" s="79" t="str">
        <f aca="false">IFERROR(IF(OR(C46="",D46=""),"",IF(Dashboard!$K$5="L",IF(D46=0,"",C46/D46),IF(Dashboard!$K$5="R",IF(C46=0,"",D46/C46),IF(MAX(C46,D46)=0,"",MIN(C46,D46)/MAX(C46,D46))))),"")</f>
        <v/>
      </c>
      <c r="F46" s="67"/>
      <c r="G46" s="67"/>
      <c r="H46" s="79" t="str">
        <f aca="false">IFERROR(IF(OR(F46="",G46=""),"",IF(Dashboard!$K$5="L",IF(G46=0,"",F46/G46),IF(Dashboard!$K$5="R",IF(F46=0,"",G46/F46),IF(MAX(F46,G46)=0,"",MIN(F46,G46)/MAX(F46,G46))))),"")</f>
        <v/>
      </c>
      <c r="I46" s="67"/>
      <c r="J46" s="67"/>
      <c r="K46" s="79" t="str">
        <f aca="false">IFERROR(IF(OR(I46="",J46=""),"",IF(Dashboard!$K$5="L",IF(J46=0,"",I46/J46),IF(Dashboard!$K$5="R",IF(I46=0,"",J46/I46),IF(MAX(I46,J46)=0,"",MIN(I46,J46)/MAX(I46,J46))))),"")</f>
        <v/>
      </c>
      <c r="L46" s="67"/>
      <c r="M46" s="67"/>
      <c r="N46" s="79" t="str">
        <f aca="false">IFERROR(IF(OR(L46="",M46=""),"",IF(Dashboard!$K$5="L",IF(M46=0,"",L46/M46),IF(Dashboard!$K$5="R",IF(L46=0,"",M46/L46),IF(MAX(L46,M46)=0,"",MIN(L46,M46)/MAX(L46,M46))))),"")</f>
        <v/>
      </c>
      <c r="O46" s="67"/>
      <c r="P46" s="67"/>
      <c r="Q46" s="79" t="str">
        <f aca="false">IFERROR(IF(OR(O46="",P46=""),"",IF(Dashboard!$K$5="L",IF(P46=0,"",O46/P46),IF(Dashboard!$K$5="R",IF(O46=0,"",P46/O46),IF(MAX(O46,P46)=0,"",MIN(O46,P46)/MAX(O46,P46))))),"")</f>
        <v/>
      </c>
      <c r="R46" s="67"/>
      <c r="S46" s="67"/>
      <c r="T46" s="79" t="str">
        <f aca="false">IFERROR(IF(OR(R46="",S46=""),"",IF(Dashboard!$K$5="L",IF(S46=0,"",R46/S46),IF(Dashboard!$K$5="R",IF(R46=0,"",S46/R46),IF(MAX(R46,S46)=0,"",MIN(R46,S46)/MAX(R46,S46))))),"")</f>
        <v/>
      </c>
      <c r="U46" s="67"/>
      <c r="V46" s="67"/>
      <c r="W46" s="79" t="str">
        <f aca="false">IFERROR(IF(OR(U46="",V46=""),"",IF(Dashboard!$K$5="L",IF(V46=0,"",U46/V46),IF(Dashboard!$K$5="R",IF(U46=0,"",V46/U46),IF(MAX(U46,V46)=0,"",MIN(U46,V46)/MAX(U46,V46))))),"")</f>
        <v/>
      </c>
      <c r="X46" s="67"/>
      <c r="Y46" s="67"/>
      <c r="Z46" s="79" t="str">
        <f aca="false">IFERROR(IF(OR(X46="",Y46=""),"",IF(Dashboard!$K$5="L",IF(Y46=0,"",X46/Y46),IF(Dashboard!$K$5="R",IF(X46=0,"",Y46/X46),IF(MAX(X46,Y46)=0,"",MIN(X46,Y46)/MAX(X46,Y46))))),"")</f>
        <v/>
      </c>
      <c r="AA46" s="58"/>
    </row>
    <row r="47" customFormat="false" ht="15" hidden="false" customHeight="false" outlineLevel="0" collapsed="false">
      <c r="A47" s="56"/>
      <c r="B47" s="57" t="str">
        <f aca="false">IF(A47="","",IF(Dashboard!$L$5="","",INT((A47-Dashboard!$L$5)/7)+1))</f>
        <v/>
      </c>
      <c r="C47" s="67"/>
      <c r="D47" s="67"/>
      <c r="E47" s="79" t="str">
        <f aca="false">IFERROR(IF(OR(C47="",D47=""),"",IF(Dashboard!$K$5="L",IF(D47=0,"",C47/D47),IF(Dashboard!$K$5="R",IF(C47=0,"",D47/C47),IF(MAX(C47,D47)=0,"",MIN(C47,D47)/MAX(C47,D47))))),"")</f>
        <v/>
      </c>
      <c r="F47" s="67"/>
      <c r="G47" s="67"/>
      <c r="H47" s="79" t="str">
        <f aca="false">IFERROR(IF(OR(F47="",G47=""),"",IF(Dashboard!$K$5="L",IF(G47=0,"",F47/G47),IF(Dashboard!$K$5="R",IF(F47=0,"",G47/F47),IF(MAX(F47,G47)=0,"",MIN(F47,G47)/MAX(F47,G47))))),"")</f>
        <v/>
      </c>
      <c r="I47" s="67"/>
      <c r="J47" s="67"/>
      <c r="K47" s="79" t="str">
        <f aca="false">IFERROR(IF(OR(I47="",J47=""),"",IF(Dashboard!$K$5="L",IF(J47=0,"",I47/J47),IF(Dashboard!$K$5="R",IF(I47=0,"",J47/I47),IF(MAX(I47,J47)=0,"",MIN(I47,J47)/MAX(I47,J47))))),"")</f>
        <v/>
      </c>
      <c r="L47" s="67"/>
      <c r="M47" s="67"/>
      <c r="N47" s="79" t="str">
        <f aca="false">IFERROR(IF(OR(L47="",M47=""),"",IF(Dashboard!$K$5="L",IF(M47=0,"",L47/M47),IF(Dashboard!$K$5="R",IF(L47=0,"",M47/L47),IF(MAX(L47,M47)=0,"",MIN(L47,M47)/MAX(L47,M47))))),"")</f>
        <v/>
      </c>
      <c r="O47" s="67"/>
      <c r="P47" s="67"/>
      <c r="Q47" s="79" t="str">
        <f aca="false">IFERROR(IF(OR(O47="",P47=""),"",IF(Dashboard!$K$5="L",IF(P47=0,"",O47/P47),IF(Dashboard!$K$5="R",IF(O47=0,"",P47/O47),IF(MAX(O47,P47)=0,"",MIN(O47,P47)/MAX(O47,P47))))),"")</f>
        <v/>
      </c>
      <c r="R47" s="67"/>
      <c r="S47" s="67"/>
      <c r="T47" s="79" t="str">
        <f aca="false">IFERROR(IF(OR(R47="",S47=""),"",IF(Dashboard!$K$5="L",IF(S47=0,"",R47/S47),IF(Dashboard!$K$5="R",IF(R47=0,"",S47/R47),IF(MAX(R47,S47)=0,"",MIN(R47,S47)/MAX(R47,S47))))),"")</f>
        <v/>
      </c>
      <c r="U47" s="67"/>
      <c r="V47" s="67"/>
      <c r="W47" s="79" t="str">
        <f aca="false">IFERROR(IF(OR(U47="",V47=""),"",IF(Dashboard!$K$5="L",IF(V47=0,"",U47/V47),IF(Dashboard!$K$5="R",IF(U47=0,"",V47/U47),IF(MAX(U47,V47)=0,"",MIN(U47,V47)/MAX(U47,V47))))),"")</f>
        <v/>
      </c>
      <c r="X47" s="67"/>
      <c r="Y47" s="67"/>
      <c r="Z47" s="79" t="str">
        <f aca="false">IFERROR(IF(OR(X47="",Y47=""),"",IF(Dashboard!$K$5="L",IF(Y47=0,"",X47/Y47),IF(Dashboard!$K$5="R",IF(X47=0,"",Y47/X47),IF(MAX(X47,Y47)=0,"",MIN(X47,Y47)/MAX(X47,Y47))))),"")</f>
        <v/>
      </c>
      <c r="AA47" s="58"/>
    </row>
    <row r="48" customFormat="false" ht="18" hidden="false" customHeight="true" outlineLevel="0" collapsed="false">
      <c r="A48" s="77" t="s">
        <v>151</v>
      </c>
      <c r="B48" s="77"/>
      <c r="C48" s="77" t="str">
        <f aca="false">IF(COUNT(C36:C47)=0,"",INDEX(C36:C47,SUMPRODUCT(MAX(ISNUMBER(C36:C47)*(($A$36:$A$47)=SUMPRODUCT(MAX(ISNUMBER(C36:C47)*($A$36:$A$47))))*(ROW(C36:C47)-ROW(C$36)+1)))))</f>
        <v/>
      </c>
      <c r="D48" s="77" t="str">
        <f aca="false">IF(COUNT(D36:D47)=0,"",INDEX(D36:D47,SUMPRODUCT(MAX(ISNUMBER(D36:D47)*(($A$36:$A$47)=SUMPRODUCT(MAX(ISNUMBER(D36:D47)*($A$36:$A$47))))*(ROW(D36:D47)-ROW(D$36)+1)))))</f>
        <v/>
      </c>
      <c r="E48" s="80" t="str">
        <f aca="false">IF(COUNT(E36:E47)=0,"",INDEX(E36:E47,SUMPRODUCT(MAX(ISNUMBER(E36:E47)*(($A$36:$A$47)=SUMPRODUCT(MAX(ISNUMBER(E36:E47)*($A$36:$A$47))))*(ROW(E36:E47)-ROW(E$36)+1)))))</f>
        <v/>
      </c>
      <c r="F48" s="77" t="str">
        <f aca="false">IF(COUNT(F36:F47)=0,"",INDEX(F36:F47,SUMPRODUCT(MAX(ISNUMBER(F36:F47)*(($A$36:$A$47)=SUMPRODUCT(MAX(ISNUMBER(F36:F47)*($A$36:$A$47))))*(ROW(F36:F47)-ROW(F$36)+1)))))</f>
        <v/>
      </c>
      <c r="G48" s="77" t="str">
        <f aca="false">IF(COUNT(G36:G47)=0,"",INDEX(G36:G47,SUMPRODUCT(MAX(ISNUMBER(G36:G47)*(($A$36:$A$47)=SUMPRODUCT(MAX(ISNUMBER(G36:G47)*($A$36:$A$47))))*(ROW(G36:G47)-ROW(G$36)+1)))))</f>
        <v/>
      </c>
      <c r="H48" s="80" t="str">
        <f aca="false">IF(COUNT(H36:H47)=0,"",INDEX(H36:H47,SUMPRODUCT(MAX(ISNUMBER(H36:H47)*(($A$36:$A$47)=SUMPRODUCT(MAX(ISNUMBER(H36:H47)*($A$36:$A$47))))*(ROW(H36:H47)-ROW(H$36)+1)))))</f>
        <v/>
      </c>
      <c r="I48" s="77" t="str">
        <f aca="false">IF(COUNT(I36:I47)=0,"",INDEX(I36:I47,SUMPRODUCT(MAX(ISNUMBER(I36:I47)*(($A$36:$A$47)=SUMPRODUCT(MAX(ISNUMBER(I36:I47)*($A$36:$A$47))))*(ROW(I36:I47)-ROW(I$36)+1)))))</f>
        <v/>
      </c>
      <c r="J48" s="77" t="str">
        <f aca="false">IF(COUNT(J36:J47)=0,"",INDEX(J36:J47,SUMPRODUCT(MAX(ISNUMBER(J36:J47)*(($A$36:$A$47)=SUMPRODUCT(MAX(ISNUMBER(J36:J47)*($A$36:$A$47))))*(ROW(J36:J47)-ROW(J$36)+1)))))</f>
        <v/>
      </c>
      <c r="K48" s="80" t="str">
        <f aca="false">IF(COUNT(K36:K47)=0,"",INDEX(K36:K47,SUMPRODUCT(MAX(ISNUMBER(K36:K47)*(($A$36:$A$47)=SUMPRODUCT(MAX(ISNUMBER(K36:K47)*($A$36:$A$47))))*(ROW(K36:K47)-ROW(K$36)+1)))))</f>
        <v/>
      </c>
      <c r="L48" s="77" t="str">
        <f aca="false">IF(COUNT(L36:L47)=0,"",INDEX(L36:L47,SUMPRODUCT(MAX(ISNUMBER(L36:L47)*(($A$36:$A$47)=SUMPRODUCT(MAX(ISNUMBER(L36:L47)*($A$36:$A$47))))*(ROW(L36:L47)-ROW(L$36)+1)))))</f>
        <v/>
      </c>
      <c r="M48" s="77" t="str">
        <f aca="false">IF(COUNT(M36:M47)=0,"",INDEX(M36:M47,SUMPRODUCT(MAX(ISNUMBER(M36:M47)*(($A$36:$A$47)=SUMPRODUCT(MAX(ISNUMBER(M36:M47)*($A$36:$A$47))))*(ROW(M36:M47)-ROW(M$36)+1)))))</f>
        <v/>
      </c>
      <c r="N48" s="80" t="str">
        <f aca="false">IF(COUNT(N36:N47)=0,"",INDEX(N36:N47,SUMPRODUCT(MAX(ISNUMBER(N36:N47)*(($A$36:$A$47)=SUMPRODUCT(MAX(ISNUMBER(N36:N47)*($A$36:$A$47))))*(ROW(N36:N47)-ROW(N$36)+1)))))</f>
        <v/>
      </c>
      <c r="O48" s="77" t="str">
        <f aca="false">IF(COUNT(O36:O47)=0,"",INDEX(O36:O47,SUMPRODUCT(MAX(ISNUMBER(O36:O47)*(($A$36:$A$47)=SUMPRODUCT(MAX(ISNUMBER(O36:O47)*($A$36:$A$47))))*(ROW(O36:O47)-ROW(O$36)+1)))))</f>
        <v/>
      </c>
      <c r="P48" s="77" t="str">
        <f aca="false">IF(COUNT(P36:P47)=0,"",INDEX(P36:P47,SUMPRODUCT(MAX(ISNUMBER(P36:P47)*(($A$36:$A$47)=SUMPRODUCT(MAX(ISNUMBER(P36:P47)*($A$36:$A$47))))*(ROW(P36:P47)-ROW(P$36)+1)))))</f>
        <v/>
      </c>
      <c r="Q48" s="80" t="str">
        <f aca="false">IF(COUNT(Q36:Q47)=0,"",INDEX(Q36:Q47,SUMPRODUCT(MAX(ISNUMBER(Q36:Q47)*(($A$36:$A$47)=SUMPRODUCT(MAX(ISNUMBER(Q36:Q47)*($A$36:$A$47))))*(ROW(Q36:Q47)-ROW(Q$36)+1)))))</f>
        <v/>
      </c>
      <c r="R48" s="77" t="str">
        <f aca="false">IF(COUNT(R36:R47)=0,"",INDEX(R36:R47,SUMPRODUCT(MAX(ISNUMBER(R36:R47)*(($A$36:$A$47)=SUMPRODUCT(MAX(ISNUMBER(R36:R47)*($A$36:$A$47))))*(ROW(R36:R47)-ROW(R$36)+1)))))</f>
        <v/>
      </c>
      <c r="S48" s="77" t="str">
        <f aca="false">IF(COUNT(S36:S47)=0,"",INDEX(S36:S47,SUMPRODUCT(MAX(ISNUMBER(S36:S47)*(($A$36:$A$47)=SUMPRODUCT(MAX(ISNUMBER(S36:S47)*($A$36:$A$47))))*(ROW(S36:S47)-ROW(S$36)+1)))))</f>
        <v/>
      </c>
      <c r="T48" s="80" t="str">
        <f aca="false">IF(COUNT(T36:T47)=0,"",INDEX(T36:T47,SUMPRODUCT(MAX(ISNUMBER(T36:T47)*(($A$36:$A$47)=SUMPRODUCT(MAX(ISNUMBER(T36:T47)*($A$36:$A$47))))*(ROW(T36:T47)-ROW(T$36)+1)))))</f>
        <v/>
      </c>
      <c r="U48" s="77" t="str">
        <f aca="false">IF(COUNT(U36:U47)=0,"",INDEX(U36:U47,SUMPRODUCT(MAX(ISNUMBER(U36:U47)*(($A$36:$A$47)=SUMPRODUCT(MAX(ISNUMBER(U36:U47)*($A$36:$A$47))))*(ROW(U36:U47)-ROW(U$36)+1)))))</f>
        <v/>
      </c>
      <c r="V48" s="77" t="str">
        <f aca="false">IF(COUNT(V36:V47)=0,"",INDEX(V36:V47,SUMPRODUCT(MAX(ISNUMBER(V36:V47)*(($A$36:$A$47)=SUMPRODUCT(MAX(ISNUMBER(V36:V47)*($A$36:$A$47))))*(ROW(V36:V47)-ROW(V$36)+1)))))</f>
        <v/>
      </c>
      <c r="W48" s="80" t="str">
        <f aca="false">IF(COUNT(W36:W47)=0,"",INDEX(W36:W47,SUMPRODUCT(MAX(ISNUMBER(W36:W47)*(($A$36:$A$47)=SUMPRODUCT(MAX(ISNUMBER(W36:W47)*($A$36:$A$47))))*(ROW(W36:W47)-ROW(W$36)+1)))))</f>
        <v/>
      </c>
      <c r="X48" s="77" t="str">
        <f aca="false">IF(COUNT(X36:X47)=0,"",INDEX(X36:X47,SUMPRODUCT(MAX(ISNUMBER(X36:X47)*(($A$36:$A$47)=SUMPRODUCT(MAX(ISNUMBER(X36:X47)*($A$36:$A$47))))*(ROW(X36:X47)-ROW(X$36)+1)))))</f>
        <v/>
      </c>
      <c r="Y48" s="77" t="str">
        <f aca="false">IF(COUNT(Y36:Y47)=0,"",INDEX(Y36:Y47,SUMPRODUCT(MAX(ISNUMBER(Y36:Y47)*(($A$36:$A$47)=SUMPRODUCT(MAX(ISNUMBER(Y36:Y47)*($A$36:$A$47))))*(ROW(Y36:Y47)-ROW(Y$36)+1)))))</f>
        <v/>
      </c>
      <c r="Z48" s="80" t="str">
        <f aca="false">IF(COUNT(Z36:Z47)=0,"",INDEX(Z36:Z47,SUMPRODUCT(MAX(ISNUMBER(Z36:Z47)*(($A$36:$A$47)=SUMPRODUCT(MAX(ISNUMBER(Z36:Z47)*($A$36:$A$47))))*(ROW(Z36:Z47)-ROW(Z$36)+1)))))</f>
        <v/>
      </c>
      <c r="AA48" s="81" t="s">
        <v>152</v>
      </c>
    </row>
    <row r="49" customFormat="false" ht="15" hidden="false" customHeight="true" outlineLevel="0" collapsed="false">
      <c r="A49" s="65" t="s">
        <v>153</v>
      </c>
      <c r="B49" s="65"/>
      <c r="C49" s="70" t="str">
        <f aca="false">IF(OR(COUNT(C36:C47)=0,SUMPRODUCT(MAX(ISNUMBER(C36:C47)*($A$36:$A$47)))=0),"",SUMPRODUCT(MAX(ISNUMBER(C36:C47)*($A$36:$A$47))))</f>
        <v/>
      </c>
      <c r="D49" s="70"/>
      <c r="E49" s="70"/>
      <c r="F49" s="70" t="str">
        <f aca="false">IF(OR(COUNT(F36:F47)=0,SUMPRODUCT(MAX(ISNUMBER(F36:F47)*($A$36:$A$47)))=0),"",SUMPRODUCT(MAX(ISNUMBER(F36:F47)*($A$36:$A$47))))</f>
        <v/>
      </c>
      <c r="G49" s="70"/>
      <c r="H49" s="70"/>
      <c r="I49" s="70" t="str">
        <f aca="false">IF(OR(COUNT(I36:I47)=0,SUMPRODUCT(MAX(ISNUMBER(I36:I47)*($A$36:$A$47)))=0),"",SUMPRODUCT(MAX(ISNUMBER(I36:I47)*($A$36:$A$47))))</f>
        <v/>
      </c>
      <c r="J49" s="70"/>
      <c r="K49" s="70"/>
      <c r="L49" s="70" t="str">
        <f aca="false">IF(OR(COUNT(L36:L47)=0,SUMPRODUCT(MAX(ISNUMBER(L36:L47)*($A$36:$A$47)))=0),"",SUMPRODUCT(MAX(ISNUMBER(L36:L47)*($A$36:$A$47))))</f>
        <v/>
      </c>
      <c r="M49" s="70"/>
      <c r="N49" s="70"/>
      <c r="O49" s="70" t="str">
        <f aca="false">IF(OR(COUNT(O36:O47)=0,SUMPRODUCT(MAX(ISNUMBER(O36:O47)*($A$36:$A$47)))=0),"",SUMPRODUCT(MAX(ISNUMBER(O36:O47)*($A$36:$A$47))))</f>
        <v/>
      </c>
      <c r="P49" s="70"/>
      <c r="Q49" s="70"/>
      <c r="R49" s="70" t="str">
        <f aca="false">IF(OR(COUNT(R36:R47)=0,SUMPRODUCT(MAX(ISNUMBER(R36:R47)*($A$36:$A$47)))=0),"",SUMPRODUCT(MAX(ISNUMBER(R36:R47)*($A$36:$A$47))))</f>
        <v/>
      </c>
      <c r="S49" s="70"/>
      <c r="T49" s="70"/>
      <c r="U49" s="70" t="str">
        <f aca="false">IF(OR(COUNT(U36:U47)=0,SUMPRODUCT(MAX(ISNUMBER(U36:U47)*($A$36:$A$47)))=0),"",SUMPRODUCT(MAX(ISNUMBER(U36:U47)*($A$36:$A$47))))</f>
        <v/>
      </c>
      <c r="V49" s="70"/>
      <c r="W49" s="70"/>
      <c r="X49" s="70" t="str">
        <f aca="false">IF(OR(COUNT(X36:X47)=0,SUMPRODUCT(MAX(ISNUMBER(X36:X47)*($A$36:$A$47)))=0),"",SUMPRODUCT(MAX(ISNUMBER(X36:X47)*($A$36:$A$47))))</f>
        <v/>
      </c>
      <c r="Y49" s="70"/>
      <c r="Z49" s="70"/>
      <c r="AA49" s="82"/>
    </row>
    <row r="51" customFormat="false" ht="19.5" hidden="false" customHeight="true" outlineLevel="0" collapsed="false">
      <c r="A51" s="62" t="s">
        <v>251</v>
      </c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</row>
    <row r="52" customFormat="false" ht="31.5" hidden="false" customHeight="true" outlineLevel="0" collapsed="false">
      <c r="A52" s="55" t="s">
        <v>52</v>
      </c>
      <c r="B52" s="55" t="s">
        <v>75</v>
      </c>
      <c r="C52" s="77" t="s">
        <v>242</v>
      </c>
      <c r="D52" s="77"/>
      <c r="E52" s="77"/>
      <c r="F52" s="77" t="s">
        <v>244</v>
      </c>
      <c r="G52" s="77"/>
      <c r="H52" s="77"/>
      <c r="I52" s="77" t="s">
        <v>252</v>
      </c>
      <c r="J52" s="77"/>
      <c r="K52" s="77"/>
      <c r="L52" s="77" t="s">
        <v>253</v>
      </c>
      <c r="M52" s="77"/>
      <c r="N52" s="77"/>
      <c r="O52" s="78" t="s">
        <v>150</v>
      </c>
      <c r="P52" s="78"/>
      <c r="Q52" s="78"/>
      <c r="R52" s="78" t="s">
        <v>150</v>
      </c>
      <c r="S52" s="78"/>
      <c r="T52" s="78"/>
      <c r="U52" s="78" t="s">
        <v>150</v>
      </c>
      <c r="V52" s="78"/>
      <c r="W52" s="78"/>
      <c r="X52" s="78" t="s">
        <v>150</v>
      </c>
      <c r="Y52" s="78"/>
      <c r="Z52" s="78"/>
      <c r="AA52" s="55" t="s">
        <v>84</v>
      </c>
    </row>
    <row r="53" customFormat="false" ht="15.75" hidden="false" customHeight="true" outlineLevel="0" collapsed="false">
      <c r="A53" s="55"/>
      <c r="B53" s="55"/>
      <c r="C53" s="55" t="s">
        <v>12</v>
      </c>
      <c r="D53" s="55" t="s">
        <v>49</v>
      </c>
      <c r="E53" s="55" t="s">
        <v>50</v>
      </c>
      <c r="F53" s="55" t="s">
        <v>12</v>
      </c>
      <c r="G53" s="55" t="s">
        <v>49</v>
      </c>
      <c r="H53" s="55" t="s">
        <v>50</v>
      </c>
      <c r="I53" s="55" t="s">
        <v>12</v>
      </c>
      <c r="J53" s="55" t="s">
        <v>49</v>
      </c>
      <c r="K53" s="55" t="s">
        <v>50</v>
      </c>
      <c r="L53" s="55" t="s">
        <v>12</v>
      </c>
      <c r="M53" s="55" t="s">
        <v>49</v>
      </c>
      <c r="N53" s="55" t="s">
        <v>50</v>
      </c>
      <c r="O53" s="55" t="s">
        <v>12</v>
      </c>
      <c r="P53" s="55" t="s">
        <v>49</v>
      </c>
      <c r="Q53" s="55" t="s">
        <v>50</v>
      </c>
      <c r="R53" s="55" t="s">
        <v>12</v>
      </c>
      <c r="S53" s="55" t="s">
        <v>49</v>
      </c>
      <c r="T53" s="55" t="s">
        <v>50</v>
      </c>
      <c r="U53" s="55" t="s">
        <v>12</v>
      </c>
      <c r="V53" s="55" t="s">
        <v>49</v>
      </c>
      <c r="W53" s="55" t="s">
        <v>50</v>
      </c>
      <c r="X53" s="55" t="s">
        <v>12</v>
      </c>
      <c r="Y53" s="55" t="s">
        <v>49</v>
      </c>
      <c r="Z53" s="55" t="s">
        <v>50</v>
      </c>
      <c r="AA53" s="55"/>
    </row>
    <row r="54" customFormat="false" ht="15" hidden="false" customHeight="false" outlineLevel="0" collapsed="false">
      <c r="A54" s="56"/>
      <c r="B54" s="57" t="str">
        <f aca="false">IF(A54="","",IF(Dashboard!$L$5="","",INT((A54-Dashboard!$L$5)/7)+1))</f>
        <v/>
      </c>
      <c r="C54" s="67"/>
      <c r="D54" s="67"/>
      <c r="E54" s="79" t="str">
        <f aca="false">IFERROR(IF(OR(C54="",D54=""),"",IF(Dashboard!$K$5="L",IF(D54=0,"",C54/D54),IF(Dashboard!$K$5="R",IF(C54=0,"",D54/C54),IF(MAX(C54,D54)=0,"",MIN(C54,D54)/MAX(C54,D54))))),"")</f>
        <v/>
      </c>
      <c r="F54" s="67"/>
      <c r="G54" s="67"/>
      <c r="H54" s="79" t="str">
        <f aca="false">IFERROR(IF(OR(F54="",G54=""),"",IF(Dashboard!$K$5="L",IF(G54=0,"",F54/G54),IF(Dashboard!$K$5="R",IF(F54=0,"",G54/F54),IF(MAX(F54,G54)=0,"",MIN(F54,G54)/MAX(F54,G54))))),"")</f>
        <v/>
      </c>
      <c r="I54" s="67"/>
      <c r="J54" s="67"/>
      <c r="K54" s="79" t="str">
        <f aca="false">IFERROR(IF(OR(I54="",J54=""),"",IF(Dashboard!$K$5="L",IF(J54=0,"",I54/J54),IF(Dashboard!$K$5="R",IF(I54=0,"",J54/I54),IF(MAX(I54,J54)=0,"",MIN(I54,J54)/MAX(I54,J54))))),"")</f>
        <v/>
      </c>
      <c r="L54" s="67"/>
      <c r="M54" s="67"/>
      <c r="N54" s="79" t="str">
        <f aca="false">IFERROR(IF(OR(L54="",M54=""),"",IF(Dashboard!$K$5="L",IF(M54=0,"",L54/M54),IF(Dashboard!$K$5="R",IF(L54=0,"",M54/L54),IF(MAX(L54,M54)=0,"",MIN(L54,M54)/MAX(L54,M54))))),"")</f>
        <v/>
      </c>
      <c r="O54" s="67"/>
      <c r="P54" s="67"/>
      <c r="Q54" s="79" t="str">
        <f aca="false">IFERROR(IF(OR(O54="",P54=""),"",IF(Dashboard!$K$5="L",IF(P54=0,"",O54/P54),IF(Dashboard!$K$5="R",IF(O54=0,"",P54/O54),IF(MAX(O54,P54)=0,"",MIN(O54,P54)/MAX(O54,P54))))),"")</f>
        <v/>
      </c>
      <c r="R54" s="67"/>
      <c r="S54" s="67"/>
      <c r="T54" s="79" t="str">
        <f aca="false">IFERROR(IF(OR(R54="",S54=""),"",IF(Dashboard!$K$5="L",IF(S54=0,"",R54/S54),IF(Dashboard!$K$5="R",IF(R54=0,"",S54/R54),IF(MAX(R54,S54)=0,"",MIN(R54,S54)/MAX(R54,S54))))),"")</f>
        <v/>
      </c>
      <c r="U54" s="67"/>
      <c r="V54" s="67"/>
      <c r="W54" s="79" t="str">
        <f aca="false">IFERROR(IF(OR(U54="",V54=""),"",IF(Dashboard!$K$5="L",IF(V54=0,"",U54/V54),IF(Dashboard!$K$5="R",IF(U54=0,"",V54/U54),IF(MAX(U54,V54)=0,"",MIN(U54,V54)/MAX(U54,V54))))),"")</f>
        <v/>
      </c>
      <c r="X54" s="67"/>
      <c r="Y54" s="67"/>
      <c r="Z54" s="79" t="str">
        <f aca="false">IFERROR(IF(OR(X54="",Y54=""),"",IF(Dashboard!$K$5="L",IF(Y54=0,"",X54/Y54),IF(Dashboard!$K$5="R",IF(X54=0,"",Y54/X54),IF(MAX(X54,Y54)=0,"",MIN(X54,Y54)/MAX(X54,Y54))))),"")</f>
        <v/>
      </c>
      <c r="AA54" s="58"/>
    </row>
    <row r="55" customFormat="false" ht="15" hidden="false" customHeight="false" outlineLevel="0" collapsed="false">
      <c r="A55" s="56"/>
      <c r="B55" s="57" t="str">
        <f aca="false">IF(A55="","",IF(Dashboard!$L$5="","",INT((A55-Dashboard!$L$5)/7)+1))</f>
        <v/>
      </c>
      <c r="C55" s="67"/>
      <c r="D55" s="67"/>
      <c r="E55" s="79" t="str">
        <f aca="false">IFERROR(IF(OR(C55="",D55=""),"",IF(Dashboard!$K$5="L",IF(D55=0,"",C55/D55),IF(Dashboard!$K$5="R",IF(C55=0,"",D55/C55),IF(MAX(C55,D55)=0,"",MIN(C55,D55)/MAX(C55,D55))))),"")</f>
        <v/>
      </c>
      <c r="F55" s="67"/>
      <c r="G55" s="67"/>
      <c r="H55" s="79" t="str">
        <f aca="false">IFERROR(IF(OR(F55="",G55=""),"",IF(Dashboard!$K$5="L",IF(G55=0,"",F55/G55),IF(Dashboard!$K$5="R",IF(F55=0,"",G55/F55),IF(MAX(F55,G55)=0,"",MIN(F55,G55)/MAX(F55,G55))))),"")</f>
        <v/>
      </c>
      <c r="I55" s="67"/>
      <c r="J55" s="67"/>
      <c r="K55" s="79" t="str">
        <f aca="false">IFERROR(IF(OR(I55="",J55=""),"",IF(Dashboard!$K$5="L",IF(J55=0,"",I55/J55),IF(Dashboard!$K$5="R",IF(I55=0,"",J55/I55),IF(MAX(I55,J55)=0,"",MIN(I55,J55)/MAX(I55,J55))))),"")</f>
        <v/>
      </c>
      <c r="L55" s="67"/>
      <c r="M55" s="67"/>
      <c r="N55" s="79" t="str">
        <f aca="false">IFERROR(IF(OR(L55="",M55=""),"",IF(Dashboard!$K$5="L",IF(M55=0,"",L55/M55),IF(Dashboard!$K$5="R",IF(L55=0,"",M55/L55),IF(MAX(L55,M55)=0,"",MIN(L55,M55)/MAX(L55,M55))))),"")</f>
        <v/>
      </c>
      <c r="O55" s="67"/>
      <c r="P55" s="67"/>
      <c r="Q55" s="79" t="str">
        <f aca="false">IFERROR(IF(OR(O55="",P55=""),"",IF(Dashboard!$K$5="L",IF(P55=0,"",O55/P55),IF(Dashboard!$K$5="R",IF(O55=0,"",P55/O55),IF(MAX(O55,P55)=0,"",MIN(O55,P55)/MAX(O55,P55))))),"")</f>
        <v/>
      </c>
      <c r="R55" s="67"/>
      <c r="S55" s="67"/>
      <c r="T55" s="79" t="str">
        <f aca="false">IFERROR(IF(OR(R55="",S55=""),"",IF(Dashboard!$K$5="L",IF(S55=0,"",R55/S55),IF(Dashboard!$K$5="R",IF(R55=0,"",S55/R55),IF(MAX(R55,S55)=0,"",MIN(R55,S55)/MAX(R55,S55))))),"")</f>
        <v/>
      </c>
      <c r="U55" s="67"/>
      <c r="V55" s="67"/>
      <c r="W55" s="79" t="str">
        <f aca="false">IFERROR(IF(OR(U55="",V55=""),"",IF(Dashboard!$K$5="L",IF(V55=0,"",U55/V55),IF(Dashboard!$K$5="R",IF(U55=0,"",V55/U55),IF(MAX(U55,V55)=0,"",MIN(U55,V55)/MAX(U55,V55))))),"")</f>
        <v/>
      </c>
      <c r="X55" s="67"/>
      <c r="Y55" s="67"/>
      <c r="Z55" s="79" t="str">
        <f aca="false">IFERROR(IF(OR(X55="",Y55=""),"",IF(Dashboard!$K$5="L",IF(Y55=0,"",X55/Y55),IF(Dashboard!$K$5="R",IF(X55=0,"",Y55/X55),IF(MAX(X55,Y55)=0,"",MIN(X55,Y55)/MAX(X55,Y55))))),"")</f>
        <v/>
      </c>
      <c r="AA55" s="58"/>
    </row>
    <row r="56" customFormat="false" ht="15" hidden="false" customHeight="false" outlineLevel="0" collapsed="false">
      <c r="A56" s="56"/>
      <c r="B56" s="57" t="str">
        <f aca="false">IF(A56="","",IF(Dashboard!$L$5="","",INT((A56-Dashboard!$L$5)/7)+1))</f>
        <v/>
      </c>
      <c r="C56" s="67"/>
      <c r="D56" s="67"/>
      <c r="E56" s="79" t="str">
        <f aca="false">IFERROR(IF(OR(C56="",D56=""),"",IF(Dashboard!$K$5="L",IF(D56=0,"",C56/D56),IF(Dashboard!$K$5="R",IF(C56=0,"",D56/C56),IF(MAX(C56,D56)=0,"",MIN(C56,D56)/MAX(C56,D56))))),"")</f>
        <v/>
      </c>
      <c r="F56" s="67"/>
      <c r="G56" s="67"/>
      <c r="H56" s="79" t="str">
        <f aca="false">IFERROR(IF(OR(F56="",G56=""),"",IF(Dashboard!$K$5="L",IF(G56=0,"",F56/G56),IF(Dashboard!$K$5="R",IF(F56=0,"",G56/F56),IF(MAX(F56,G56)=0,"",MIN(F56,G56)/MAX(F56,G56))))),"")</f>
        <v/>
      </c>
      <c r="I56" s="67"/>
      <c r="J56" s="67"/>
      <c r="K56" s="79" t="str">
        <f aca="false">IFERROR(IF(OR(I56="",J56=""),"",IF(Dashboard!$K$5="L",IF(J56=0,"",I56/J56),IF(Dashboard!$K$5="R",IF(I56=0,"",J56/I56),IF(MAX(I56,J56)=0,"",MIN(I56,J56)/MAX(I56,J56))))),"")</f>
        <v/>
      </c>
      <c r="L56" s="67"/>
      <c r="M56" s="67"/>
      <c r="N56" s="79" t="str">
        <f aca="false">IFERROR(IF(OR(L56="",M56=""),"",IF(Dashboard!$K$5="L",IF(M56=0,"",L56/M56),IF(Dashboard!$K$5="R",IF(L56=0,"",M56/L56),IF(MAX(L56,M56)=0,"",MIN(L56,M56)/MAX(L56,M56))))),"")</f>
        <v/>
      </c>
      <c r="O56" s="67"/>
      <c r="P56" s="67"/>
      <c r="Q56" s="79" t="str">
        <f aca="false">IFERROR(IF(OR(O56="",P56=""),"",IF(Dashboard!$K$5="L",IF(P56=0,"",O56/P56),IF(Dashboard!$K$5="R",IF(O56=0,"",P56/O56),IF(MAX(O56,P56)=0,"",MIN(O56,P56)/MAX(O56,P56))))),"")</f>
        <v/>
      </c>
      <c r="R56" s="67"/>
      <c r="S56" s="67"/>
      <c r="T56" s="79" t="str">
        <f aca="false">IFERROR(IF(OR(R56="",S56=""),"",IF(Dashboard!$K$5="L",IF(S56=0,"",R56/S56),IF(Dashboard!$K$5="R",IF(R56=0,"",S56/R56),IF(MAX(R56,S56)=0,"",MIN(R56,S56)/MAX(R56,S56))))),"")</f>
        <v/>
      </c>
      <c r="U56" s="67"/>
      <c r="V56" s="67"/>
      <c r="W56" s="79" t="str">
        <f aca="false">IFERROR(IF(OR(U56="",V56=""),"",IF(Dashboard!$K$5="L",IF(V56=0,"",U56/V56),IF(Dashboard!$K$5="R",IF(U56=0,"",V56/U56),IF(MAX(U56,V56)=0,"",MIN(U56,V56)/MAX(U56,V56))))),"")</f>
        <v/>
      </c>
      <c r="X56" s="67"/>
      <c r="Y56" s="67"/>
      <c r="Z56" s="79" t="str">
        <f aca="false">IFERROR(IF(OR(X56="",Y56=""),"",IF(Dashboard!$K$5="L",IF(Y56=0,"",X56/Y56),IF(Dashboard!$K$5="R",IF(X56=0,"",Y56/X56),IF(MAX(X56,Y56)=0,"",MIN(X56,Y56)/MAX(X56,Y56))))),"")</f>
        <v/>
      </c>
      <c r="AA56" s="58"/>
    </row>
    <row r="57" customFormat="false" ht="15" hidden="false" customHeight="false" outlineLevel="0" collapsed="false">
      <c r="A57" s="56"/>
      <c r="B57" s="57" t="str">
        <f aca="false">IF(A57="","",IF(Dashboard!$L$5="","",INT((A57-Dashboard!$L$5)/7)+1))</f>
        <v/>
      </c>
      <c r="C57" s="67"/>
      <c r="D57" s="67"/>
      <c r="E57" s="79" t="str">
        <f aca="false">IFERROR(IF(OR(C57="",D57=""),"",IF(Dashboard!$K$5="L",IF(D57=0,"",C57/D57),IF(Dashboard!$K$5="R",IF(C57=0,"",D57/C57),IF(MAX(C57,D57)=0,"",MIN(C57,D57)/MAX(C57,D57))))),"")</f>
        <v/>
      </c>
      <c r="F57" s="67"/>
      <c r="G57" s="67"/>
      <c r="H57" s="79" t="str">
        <f aca="false">IFERROR(IF(OR(F57="",G57=""),"",IF(Dashboard!$K$5="L",IF(G57=0,"",F57/G57),IF(Dashboard!$K$5="R",IF(F57=0,"",G57/F57),IF(MAX(F57,G57)=0,"",MIN(F57,G57)/MAX(F57,G57))))),"")</f>
        <v/>
      </c>
      <c r="I57" s="67"/>
      <c r="J57" s="67"/>
      <c r="K57" s="79" t="str">
        <f aca="false">IFERROR(IF(OR(I57="",J57=""),"",IF(Dashboard!$K$5="L",IF(J57=0,"",I57/J57),IF(Dashboard!$K$5="R",IF(I57=0,"",J57/I57),IF(MAX(I57,J57)=0,"",MIN(I57,J57)/MAX(I57,J57))))),"")</f>
        <v/>
      </c>
      <c r="L57" s="67"/>
      <c r="M57" s="67"/>
      <c r="N57" s="79" t="str">
        <f aca="false">IFERROR(IF(OR(L57="",M57=""),"",IF(Dashboard!$K$5="L",IF(M57=0,"",L57/M57),IF(Dashboard!$K$5="R",IF(L57=0,"",M57/L57),IF(MAX(L57,M57)=0,"",MIN(L57,M57)/MAX(L57,M57))))),"")</f>
        <v/>
      </c>
      <c r="O57" s="67"/>
      <c r="P57" s="67"/>
      <c r="Q57" s="79" t="str">
        <f aca="false">IFERROR(IF(OR(O57="",P57=""),"",IF(Dashboard!$K$5="L",IF(P57=0,"",O57/P57),IF(Dashboard!$K$5="R",IF(O57=0,"",P57/O57),IF(MAX(O57,P57)=0,"",MIN(O57,P57)/MAX(O57,P57))))),"")</f>
        <v/>
      </c>
      <c r="R57" s="67"/>
      <c r="S57" s="67"/>
      <c r="T57" s="79" t="str">
        <f aca="false">IFERROR(IF(OR(R57="",S57=""),"",IF(Dashboard!$K$5="L",IF(S57=0,"",R57/S57),IF(Dashboard!$K$5="R",IF(R57=0,"",S57/R57),IF(MAX(R57,S57)=0,"",MIN(R57,S57)/MAX(R57,S57))))),"")</f>
        <v/>
      </c>
      <c r="U57" s="67"/>
      <c r="V57" s="67"/>
      <c r="W57" s="79" t="str">
        <f aca="false">IFERROR(IF(OR(U57="",V57=""),"",IF(Dashboard!$K$5="L",IF(V57=0,"",U57/V57),IF(Dashboard!$K$5="R",IF(U57=0,"",V57/U57),IF(MAX(U57,V57)=0,"",MIN(U57,V57)/MAX(U57,V57))))),"")</f>
        <v/>
      </c>
      <c r="X57" s="67"/>
      <c r="Y57" s="67"/>
      <c r="Z57" s="79" t="str">
        <f aca="false">IFERROR(IF(OR(X57="",Y57=""),"",IF(Dashboard!$K$5="L",IF(Y57=0,"",X57/Y57),IF(Dashboard!$K$5="R",IF(X57=0,"",Y57/X57),IF(MAX(X57,Y57)=0,"",MIN(X57,Y57)/MAX(X57,Y57))))),"")</f>
        <v/>
      </c>
      <c r="AA57" s="58"/>
    </row>
    <row r="58" customFormat="false" ht="15" hidden="false" customHeight="false" outlineLevel="0" collapsed="false">
      <c r="A58" s="56"/>
      <c r="B58" s="57" t="str">
        <f aca="false">IF(A58="","",IF(Dashboard!$L$5="","",INT((A58-Dashboard!$L$5)/7)+1))</f>
        <v/>
      </c>
      <c r="C58" s="67"/>
      <c r="D58" s="67"/>
      <c r="E58" s="79" t="str">
        <f aca="false">IFERROR(IF(OR(C58="",D58=""),"",IF(Dashboard!$K$5="L",IF(D58=0,"",C58/D58),IF(Dashboard!$K$5="R",IF(C58=0,"",D58/C58),IF(MAX(C58,D58)=0,"",MIN(C58,D58)/MAX(C58,D58))))),"")</f>
        <v/>
      </c>
      <c r="F58" s="67"/>
      <c r="G58" s="67"/>
      <c r="H58" s="79" t="str">
        <f aca="false">IFERROR(IF(OR(F58="",G58=""),"",IF(Dashboard!$K$5="L",IF(G58=0,"",F58/G58),IF(Dashboard!$K$5="R",IF(F58=0,"",G58/F58),IF(MAX(F58,G58)=0,"",MIN(F58,G58)/MAX(F58,G58))))),"")</f>
        <v/>
      </c>
      <c r="I58" s="67"/>
      <c r="J58" s="67"/>
      <c r="K58" s="79" t="str">
        <f aca="false">IFERROR(IF(OR(I58="",J58=""),"",IF(Dashboard!$K$5="L",IF(J58=0,"",I58/J58),IF(Dashboard!$K$5="R",IF(I58=0,"",J58/I58),IF(MAX(I58,J58)=0,"",MIN(I58,J58)/MAX(I58,J58))))),"")</f>
        <v/>
      </c>
      <c r="L58" s="67"/>
      <c r="M58" s="67"/>
      <c r="N58" s="79" t="str">
        <f aca="false">IFERROR(IF(OR(L58="",M58=""),"",IF(Dashboard!$K$5="L",IF(M58=0,"",L58/M58),IF(Dashboard!$K$5="R",IF(L58=0,"",M58/L58),IF(MAX(L58,M58)=0,"",MIN(L58,M58)/MAX(L58,M58))))),"")</f>
        <v/>
      </c>
      <c r="O58" s="67"/>
      <c r="P58" s="67"/>
      <c r="Q58" s="79" t="str">
        <f aca="false">IFERROR(IF(OR(O58="",P58=""),"",IF(Dashboard!$K$5="L",IF(P58=0,"",O58/P58),IF(Dashboard!$K$5="R",IF(O58=0,"",P58/O58),IF(MAX(O58,P58)=0,"",MIN(O58,P58)/MAX(O58,P58))))),"")</f>
        <v/>
      </c>
      <c r="R58" s="67"/>
      <c r="S58" s="67"/>
      <c r="T58" s="79" t="str">
        <f aca="false">IFERROR(IF(OR(R58="",S58=""),"",IF(Dashboard!$K$5="L",IF(S58=0,"",R58/S58),IF(Dashboard!$K$5="R",IF(R58=0,"",S58/R58),IF(MAX(R58,S58)=0,"",MIN(R58,S58)/MAX(R58,S58))))),"")</f>
        <v/>
      </c>
      <c r="U58" s="67"/>
      <c r="V58" s="67"/>
      <c r="W58" s="79" t="str">
        <f aca="false">IFERROR(IF(OR(U58="",V58=""),"",IF(Dashboard!$K$5="L",IF(V58=0,"",U58/V58),IF(Dashboard!$K$5="R",IF(U58=0,"",V58/U58),IF(MAX(U58,V58)=0,"",MIN(U58,V58)/MAX(U58,V58))))),"")</f>
        <v/>
      </c>
      <c r="X58" s="67"/>
      <c r="Y58" s="67"/>
      <c r="Z58" s="79" t="str">
        <f aca="false">IFERROR(IF(OR(X58="",Y58=""),"",IF(Dashboard!$K$5="L",IF(Y58=0,"",X58/Y58),IF(Dashboard!$K$5="R",IF(X58=0,"",Y58/X58),IF(MAX(X58,Y58)=0,"",MIN(X58,Y58)/MAX(X58,Y58))))),"")</f>
        <v/>
      </c>
      <c r="AA58" s="58"/>
    </row>
    <row r="59" customFormat="false" ht="15" hidden="false" customHeight="false" outlineLevel="0" collapsed="false">
      <c r="A59" s="56"/>
      <c r="B59" s="57" t="str">
        <f aca="false">IF(A59="","",IF(Dashboard!$L$5="","",INT((A59-Dashboard!$L$5)/7)+1))</f>
        <v/>
      </c>
      <c r="C59" s="67"/>
      <c r="D59" s="67"/>
      <c r="E59" s="79" t="str">
        <f aca="false">IFERROR(IF(OR(C59="",D59=""),"",IF(Dashboard!$K$5="L",IF(D59=0,"",C59/D59),IF(Dashboard!$K$5="R",IF(C59=0,"",D59/C59),IF(MAX(C59,D59)=0,"",MIN(C59,D59)/MAX(C59,D59))))),"")</f>
        <v/>
      </c>
      <c r="F59" s="67"/>
      <c r="G59" s="67"/>
      <c r="H59" s="79" t="str">
        <f aca="false">IFERROR(IF(OR(F59="",G59=""),"",IF(Dashboard!$K$5="L",IF(G59=0,"",F59/G59),IF(Dashboard!$K$5="R",IF(F59=0,"",G59/F59),IF(MAX(F59,G59)=0,"",MIN(F59,G59)/MAX(F59,G59))))),"")</f>
        <v/>
      </c>
      <c r="I59" s="67"/>
      <c r="J59" s="67"/>
      <c r="K59" s="79" t="str">
        <f aca="false">IFERROR(IF(OR(I59="",J59=""),"",IF(Dashboard!$K$5="L",IF(J59=0,"",I59/J59),IF(Dashboard!$K$5="R",IF(I59=0,"",J59/I59),IF(MAX(I59,J59)=0,"",MIN(I59,J59)/MAX(I59,J59))))),"")</f>
        <v/>
      </c>
      <c r="L59" s="67"/>
      <c r="M59" s="67"/>
      <c r="N59" s="79" t="str">
        <f aca="false">IFERROR(IF(OR(L59="",M59=""),"",IF(Dashboard!$K$5="L",IF(M59=0,"",L59/M59),IF(Dashboard!$K$5="R",IF(L59=0,"",M59/L59),IF(MAX(L59,M59)=0,"",MIN(L59,M59)/MAX(L59,M59))))),"")</f>
        <v/>
      </c>
      <c r="O59" s="67"/>
      <c r="P59" s="67"/>
      <c r="Q59" s="79" t="str">
        <f aca="false">IFERROR(IF(OR(O59="",P59=""),"",IF(Dashboard!$K$5="L",IF(P59=0,"",O59/P59),IF(Dashboard!$K$5="R",IF(O59=0,"",P59/O59),IF(MAX(O59,P59)=0,"",MIN(O59,P59)/MAX(O59,P59))))),"")</f>
        <v/>
      </c>
      <c r="R59" s="67"/>
      <c r="S59" s="67"/>
      <c r="T59" s="79" t="str">
        <f aca="false">IFERROR(IF(OR(R59="",S59=""),"",IF(Dashboard!$K$5="L",IF(S59=0,"",R59/S59),IF(Dashboard!$K$5="R",IF(R59=0,"",S59/R59),IF(MAX(R59,S59)=0,"",MIN(R59,S59)/MAX(R59,S59))))),"")</f>
        <v/>
      </c>
      <c r="U59" s="67"/>
      <c r="V59" s="67"/>
      <c r="W59" s="79" t="str">
        <f aca="false">IFERROR(IF(OR(U59="",V59=""),"",IF(Dashboard!$K$5="L",IF(V59=0,"",U59/V59),IF(Dashboard!$K$5="R",IF(U59=0,"",V59/U59),IF(MAX(U59,V59)=0,"",MIN(U59,V59)/MAX(U59,V59))))),"")</f>
        <v/>
      </c>
      <c r="X59" s="67"/>
      <c r="Y59" s="67"/>
      <c r="Z59" s="79" t="str">
        <f aca="false">IFERROR(IF(OR(X59="",Y59=""),"",IF(Dashboard!$K$5="L",IF(Y59=0,"",X59/Y59),IF(Dashboard!$K$5="R",IF(X59=0,"",Y59/X59),IF(MAX(X59,Y59)=0,"",MIN(X59,Y59)/MAX(X59,Y59))))),"")</f>
        <v/>
      </c>
      <c r="AA59" s="58"/>
    </row>
    <row r="60" customFormat="false" ht="15" hidden="false" customHeight="false" outlineLevel="0" collapsed="false">
      <c r="A60" s="56"/>
      <c r="B60" s="57" t="str">
        <f aca="false">IF(A60="","",IF(Dashboard!$L$5="","",INT((A60-Dashboard!$L$5)/7)+1))</f>
        <v/>
      </c>
      <c r="C60" s="67"/>
      <c r="D60" s="67"/>
      <c r="E60" s="79" t="str">
        <f aca="false">IFERROR(IF(OR(C60="",D60=""),"",IF(Dashboard!$K$5="L",IF(D60=0,"",C60/D60),IF(Dashboard!$K$5="R",IF(C60=0,"",D60/C60),IF(MAX(C60,D60)=0,"",MIN(C60,D60)/MAX(C60,D60))))),"")</f>
        <v/>
      </c>
      <c r="F60" s="67"/>
      <c r="G60" s="67"/>
      <c r="H60" s="79" t="str">
        <f aca="false">IFERROR(IF(OR(F60="",G60=""),"",IF(Dashboard!$K$5="L",IF(G60=0,"",F60/G60),IF(Dashboard!$K$5="R",IF(F60=0,"",G60/F60),IF(MAX(F60,G60)=0,"",MIN(F60,G60)/MAX(F60,G60))))),"")</f>
        <v/>
      </c>
      <c r="I60" s="67"/>
      <c r="J60" s="67"/>
      <c r="K60" s="79" t="str">
        <f aca="false">IFERROR(IF(OR(I60="",J60=""),"",IF(Dashboard!$K$5="L",IF(J60=0,"",I60/J60),IF(Dashboard!$K$5="R",IF(I60=0,"",J60/I60),IF(MAX(I60,J60)=0,"",MIN(I60,J60)/MAX(I60,J60))))),"")</f>
        <v/>
      </c>
      <c r="L60" s="67"/>
      <c r="M60" s="67"/>
      <c r="N60" s="79" t="str">
        <f aca="false">IFERROR(IF(OR(L60="",M60=""),"",IF(Dashboard!$K$5="L",IF(M60=0,"",L60/M60),IF(Dashboard!$K$5="R",IF(L60=0,"",M60/L60),IF(MAX(L60,M60)=0,"",MIN(L60,M60)/MAX(L60,M60))))),"")</f>
        <v/>
      </c>
      <c r="O60" s="67"/>
      <c r="P60" s="67"/>
      <c r="Q60" s="79" t="str">
        <f aca="false">IFERROR(IF(OR(O60="",P60=""),"",IF(Dashboard!$K$5="L",IF(P60=0,"",O60/P60),IF(Dashboard!$K$5="R",IF(O60=0,"",P60/O60),IF(MAX(O60,P60)=0,"",MIN(O60,P60)/MAX(O60,P60))))),"")</f>
        <v/>
      </c>
      <c r="R60" s="67"/>
      <c r="S60" s="67"/>
      <c r="T60" s="79" t="str">
        <f aca="false">IFERROR(IF(OR(R60="",S60=""),"",IF(Dashboard!$K$5="L",IF(S60=0,"",R60/S60),IF(Dashboard!$K$5="R",IF(R60=0,"",S60/R60),IF(MAX(R60,S60)=0,"",MIN(R60,S60)/MAX(R60,S60))))),"")</f>
        <v/>
      </c>
      <c r="U60" s="67"/>
      <c r="V60" s="67"/>
      <c r="W60" s="79" t="str">
        <f aca="false">IFERROR(IF(OR(U60="",V60=""),"",IF(Dashboard!$K$5="L",IF(V60=0,"",U60/V60),IF(Dashboard!$K$5="R",IF(U60=0,"",V60/U60),IF(MAX(U60,V60)=0,"",MIN(U60,V60)/MAX(U60,V60))))),"")</f>
        <v/>
      </c>
      <c r="X60" s="67"/>
      <c r="Y60" s="67"/>
      <c r="Z60" s="79" t="str">
        <f aca="false">IFERROR(IF(OR(X60="",Y60=""),"",IF(Dashboard!$K$5="L",IF(Y60=0,"",X60/Y60),IF(Dashboard!$K$5="R",IF(X60=0,"",Y60/X60),IF(MAX(X60,Y60)=0,"",MIN(X60,Y60)/MAX(X60,Y60))))),"")</f>
        <v/>
      </c>
      <c r="AA60" s="58"/>
    </row>
    <row r="61" customFormat="false" ht="15" hidden="false" customHeight="false" outlineLevel="0" collapsed="false">
      <c r="A61" s="56"/>
      <c r="B61" s="57" t="str">
        <f aca="false">IF(A61="","",IF(Dashboard!$L$5="","",INT((A61-Dashboard!$L$5)/7)+1))</f>
        <v/>
      </c>
      <c r="C61" s="67"/>
      <c r="D61" s="67"/>
      <c r="E61" s="79" t="str">
        <f aca="false">IFERROR(IF(OR(C61="",D61=""),"",IF(Dashboard!$K$5="L",IF(D61=0,"",C61/D61),IF(Dashboard!$K$5="R",IF(C61=0,"",D61/C61),IF(MAX(C61,D61)=0,"",MIN(C61,D61)/MAX(C61,D61))))),"")</f>
        <v/>
      </c>
      <c r="F61" s="67"/>
      <c r="G61" s="67"/>
      <c r="H61" s="79" t="str">
        <f aca="false">IFERROR(IF(OR(F61="",G61=""),"",IF(Dashboard!$K$5="L",IF(G61=0,"",F61/G61),IF(Dashboard!$K$5="R",IF(F61=0,"",G61/F61),IF(MAX(F61,G61)=0,"",MIN(F61,G61)/MAX(F61,G61))))),"")</f>
        <v/>
      </c>
      <c r="I61" s="67"/>
      <c r="J61" s="67"/>
      <c r="K61" s="79" t="str">
        <f aca="false">IFERROR(IF(OR(I61="",J61=""),"",IF(Dashboard!$K$5="L",IF(J61=0,"",I61/J61),IF(Dashboard!$K$5="R",IF(I61=0,"",J61/I61),IF(MAX(I61,J61)=0,"",MIN(I61,J61)/MAX(I61,J61))))),"")</f>
        <v/>
      </c>
      <c r="L61" s="67"/>
      <c r="M61" s="67"/>
      <c r="N61" s="79" t="str">
        <f aca="false">IFERROR(IF(OR(L61="",M61=""),"",IF(Dashboard!$K$5="L",IF(M61=0,"",L61/M61),IF(Dashboard!$K$5="R",IF(L61=0,"",M61/L61),IF(MAX(L61,M61)=0,"",MIN(L61,M61)/MAX(L61,M61))))),"")</f>
        <v/>
      </c>
      <c r="O61" s="67"/>
      <c r="P61" s="67"/>
      <c r="Q61" s="79" t="str">
        <f aca="false">IFERROR(IF(OR(O61="",P61=""),"",IF(Dashboard!$K$5="L",IF(P61=0,"",O61/P61),IF(Dashboard!$K$5="R",IF(O61=0,"",P61/O61),IF(MAX(O61,P61)=0,"",MIN(O61,P61)/MAX(O61,P61))))),"")</f>
        <v/>
      </c>
      <c r="R61" s="67"/>
      <c r="S61" s="67"/>
      <c r="T61" s="79" t="str">
        <f aca="false">IFERROR(IF(OR(R61="",S61=""),"",IF(Dashboard!$K$5="L",IF(S61=0,"",R61/S61),IF(Dashboard!$K$5="R",IF(R61=0,"",S61/R61),IF(MAX(R61,S61)=0,"",MIN(R61,S61)/MAX(R61,S61))))),"")</f>
        <v/>
      </c>
      <c r="U61" s="67"/>
      <c r="V61" s="67"/>
      <c r="W61" s="79" t="str">
        <f aca="false">IFERROR(IF(OR(U61="",V61=""),"",IF(Dashboard!$K$5="L",IF(V61=0,"",U61/V61),IF(Dashboard!$K$5="R",IF(U61=0,"",V61/U61),IF(MAX(U61,V61)=0,"",MIN(U61,V61)/MAX(U61,V61))))),"")</f>
        <v/>
      </c>
      <c r="X61" s="67"/>
      <c r="Y61" s="67"/>
      <c r="Z61" s="79" t="str">
        <f aca="false">IFERROR(IF(OR(X61="",Y61=""),"",IF(Dashboard!$K$5="L",IF(Y61=0,"",X61/Y61),IF(Dashboard!$K$5="R",IF(X61=0,"",Y61/X61),IF(MAX(X61,Y61)=0,"",MIN(X61,Y61)/MAX(X61,Y61))))),"")</f>
        <v/>
      </c>
      <c r="AA61" s="58"/>
    </row>
    <row r="62" customFormat="false" ht="15" hidden="false" customHeight="false" outlineLevel="0" collapsed="false">
      <c r="A62" s="56"/>
      <c r="B62" s="57" t="str">
        <f aca="false">IF(A62="","",IF(Dashboard!$L$5="","",INT((A62-Dashboard!$L$5)/7)+1))</f>
        <v/>
      </c>
      <c r="C62" s="67"/>
      <c r="D62" s="67"/>
      <c r="E62" s="79" t="str">
        <f aca="false">IFERROR(IF(OR(C62="",D62=""),"",IF(Dashboard!$K$5="L",IF(D62=0,"",C62/D62),IF(Dashboard!$K$5="R",IF(C62=0,"",D62/C62),IF(MAX(C62,D62)=0,"",MIN(C62,D62)/MAX(C62,D62))))),"")</f>
        <v/>
      </c>
      <c r="F62" s="67"/>
      <c r="G62" s="67"/>
      <c r="H62" s="79" t="str">
        <f aca="false">IFERROR(IF(OR(F62="",G62=""),"",IF(Dashboard!$K$5="L",IF(G62=0,"",F62/G62),IF(Dashboard!$K$5="R",IF(F62=0,"",G62/F62),IF(MAX(F62,G62)=0,"",MIN(F62,G62)/MAX(F62,G62))))),"")</f>
        <v/>
      </c>
      <c r="I62" s="67"/>
      <c r="J62" s="67"/>
      <c r="K62" s="79" t="str">
        <f aca="false">IFERROR(IF(OR(I62="",J62=""),"",IF(Dashboard!$K$5="L",IF(J62=0,"",I62/J62),IF(Dashboard!$K$5="R",IF(I62=0,"",J62/I62),IF(MAX(I62,J62)=0,"",MIN(I62,J62)/MAX(I62,J62))))),"")</f>
        <v/>
      </c>
      <c r="L62" s="67"/>
      <c r="M62" s="67"/>
      <c r="N62" s="79" t="str">
        <f aca="false">IFERROR(IF(OR(L62="",M62=""),"",IF(Dashboard!$K$5="L",IF(M62=0,"",L62/M62),IF(Dashboard!$K$5="R",IF(L62=0,"",M62/L62),IF(MAX(L62,M62)=0,"",MIN(L62,M62)/MAX(L62,M62))))),"")</f>
        <v/>
      </c>
      <c r="O62" s="67"/>
      <c r="P62" s="67"/>
      <c r="Q62" s="79" t="str">
        <f aca="false">IFERROR(IF(OR(O62="",P62=""),"",IF(Dashboard!$K$5="L",IF(P62=0,"",O62/P62),IF(Dashboard!$K$5="R",IF(O62=0,"",P62/O62),IF(MAX(O62,P62)=0,"",MIN(O62,P62)/MAX(O62,P62))))),"")</f>
        <v/>
      </c>
      <c r="R62" s="67"/>
      <c r="S62" s="67"/>
      <c r="T62" s="79" t="str">
        <f aca="false">IFERROR(IF(OR(R62="",S62=""),"",IF(Dashboard!$K$5="L",IF(S62=0,"",R62/S62),IF(Dashboard!$K$5="R",IF(R62=0,"",S62/R62),IF(MAX(R62,S62)=0,"",MIN(R62,S62)/MAX(R62,S62))))),"")</f>
        <v/>
      </c>
      <c r="U62" s="67"/>
      <c r="V62" s="67"/>
      <c r="W62" s="79" t="str">
        <f aca="false">IFERROR(IF(OR(U62="",V62=""),"",IF(Dashboard!$K$5="L",IF(V62=0,"",U62/V62),IF(Dashboard!$K$5="R",IF(U62=0,"",V62/U62),IF(MAX(U62,V62)=0,"",MIN(U62,V62)/MAX(U62,V62))))),"")</f>
        <v/>
      </c>
      <c r="X62" s="67"/>
      <c r="Y62" s="67"/>
      <c r="Z62" s="79" t="str">
        <f aca="false">IFERROR(IF(OR(X62="",Y62=""),"",IF(Dashboard!$K$5="L",IF(Y62=0,"",X62/Y62),IF(Dashboard!$K$5="R",IF(X62=0,"",Y62/X62),IF(MAX(X62,Y62)=0,"",MIN(X62,Y62)/MAX(X62,Y62))))),"")</f>
        <v/>
      </c>
      <c r="AA62" s="58"/>
    </row>
    <row r="63" customFormat="false" ht="15" hidden="false" customHeight="false" outlineLevel="0" collapsed="false">
      <c r="A63" s="56"/>
      <c r="B63" s="57" t="str">
        <f aca="false">IF(A63="","",IF(Dashboard!$L$5="","",INT((A63-Dashboard!$L$5)/7)+1))</f>
        <v/>
      </c>
      <c r="C63" s="67"/>
      <c r="D63" s="67"/>
      <c r="E63" s="79" t="str">
        <f aca="false">IFERROR(IF(OR(C63="",D63=""),"",IF(Dashboard!$K$5="L",IF(D63=0,"",C63/D63),IF(Dashboard!$K$5="R",IF(C63=0,"",D63/C63),IF(MAX(C63,D63)=0,"",MIN(C63,D63)/MAX(C63,D63))))),"")</f>
        <v/>
      </c>
      <c r="F63" s="67"/>
      <c r="G63" s="67"/>
      <c r="H63" s="79" t="str">
        <f aca="false">IFERROR(IF(OR(F63="",G63=""),"",IF(Dashboard!$K$5="L",IF(G63=0,"",F63/G63),IF(Dashboard!$K$5="R",IF(F63=0,"",G63/F63),IF(MAX(F63,G63)=0,"",MIN(F63,G63)/MAX(F63,G63))))),"")</f>
        <v/>
      </c>
      <c r="I63" s="67"/>
      <c r="J63" s="67"/>
      <c r="K63" s="79" t="str">
        <f aca="false">IFERROR(IF(OR(I63="",J63=""),"",IF(Dashboard!$K$5="L",IF(J63=0,"",I63/J63),IF(Dashboard!$K$5="R",IF(I63=0,"",J63/I63),IF(MAX(I63,J63)=0,"",MIN(I63,J63)/MAX(I63,J63))))),"")</f>
        <v/>
      </c>
      <c r="L63" s="67"/>
      <c r="M63" s="67"/>
      <c r="N63" s="79" t="str">
        <f aca="false">IFERROR(IF(OR(L63="",M63=""),"",IF(Dashboard!$K$5="L",IF(M63=0,"",L63/M63),IF(Dashboard!$K$5="R",IF(L63=0,"",M63/L63),IF(MAX(L63,M63)=0,"",MIN(L63,M63)/MAX(L63,M63))))),"")</f>
        <v/>
      </c>
      <c r="O63" s="67"/>
      <c r="P63" s="67"/>
      <c r="Q63" s="79" t="str">
        <f aca="false">IFERROR(IF(OR(O63="",P63=""),"",IF(Dashboard!$K$5="L",IF(P63=0,"",O63/P63),IF(Dashboard!$K$5="R",IF(O63=0,"",P63/O63),IF(MAX(O63,P63)=0,"",MIN(O63,P63)/MAX(O63,P63))))),"")</f>
        <v/>
      </c>
      <c r="R63" s="67"/>
      <c r="S63" s="67"/>
      <c r="T63" s="79" t="str">
        <f aca="false">IFERROR(IF(OR(R63="",S63=""),"",IF(Dashboard!$K$5="L",IF(S63=0,"",R63/S63),IF(Dashboard!$K$5="R",IF(R63=0,"",S63/R63),IF(MAX(R63,S63)=0,"",MIN(R63,S63)/MAX(R63,S63))))),"")</f>
        <v/>
      </c>
      <c r="U63" s="67"/>
      <c r="V63" s="67"/>
      <c r="W63" s="79" t="str">
        <f aca="false">IFERROR(IF(OR(U63="",V63=""),"",IF(Dashboard!$K$5="L",IF(V63=0,"",U63/V63),IF(Dashboard!$K$5="R",IF(U63=0,"",V63/U63),IF(MAX(U63,V63)=0,"",MIN(U63,V63)/MAX(U63,V63))))),"")</f>
        <v/>
      </c>
      <c r="X63" s="67"/>
      <c r="Y63" s="67"/>
      <c r="Z63" s="79" t="str">
        <f aca="false">IFERROR(IF(OR(X63="",Y63=""),"",IF(Dashboard!$K$5="L",IF(Y63=0,"",X63/Y63),IF(Dashboard!$K$5="R",IF(X63=0,"",Y63/X63),IF(MAX(X63,Y63)=0,"",MIN(X63,Y63)/MAX(X63,Y63))))),"")</f>
        <v/>
      </c>
      <c r="AA63" s="58"/>
    </row>
    <row r="64" customFormat="false" ht="15" hidden="false" customHeight="false" outlineLevel="0" collapsed="false">
      <c r="A64" s="56"/>
      <c r="B64" s="57" t="str">
        <f aca="false">IF(A64="","",IF(Dashboard!$L$5="","",INT((A64-Dashboard!$L$5)/7)+1))</f>
        <v/>
      </c>
      <c r="C64" s="67"/>
      <c r="D64" s="67"/>
      <c r="E64" s="79" t="str">
        <f aca="false">IFERROR(IF(OR(C64="",D64=""),"",IF(Dashboard!$K$5="L",IF(D64=0,"",C64/D64),IF(Dashboard!$K$5="R",IF(C64=0,"",D64/C64),IF(MAX(C64,D64)=0,"",MIN(C64,D64)/MAX(C64,D64))))),"")</f>
        <v/>
      </c>
      <c r="F64" s="67"/>
      <c r="G64" s="67"/>
      <c r="H64" s="79" t="str">
        <f aca="false">IFERROR(IF(OR(F64="",G64=""),"",IF(Dashboard!$K$5="L",IF(G64=0,"",F64/G64),IF(Dashboard!$K$5="R",IF(F64=0,"",G64/F64),IF(MAX(F64,G64)=0,"",MIN(F64,G64)/MAX(F64,G64))))),"")</f>
        <v/>
      </c>
      <c r="I64" s="67"/>
      <c r="J64" s="67"/>
      <c r="K64" s="79" t="str">
        <f aca="false">IFERROR(IF(OR(I64="",J64=""),"",IF(Dashboard!$K$5="L",IF(J64=0,"",I64/J64),IF(Dashboard!$K$5="R",IF(I64=0,"",J64/I64),IF(MAX(I64,J64)=0,"",MIN(I64,J64)/MAX(I64,J64))))),"")</f>
        <v/>
      </c>
      <c r="L64" s="67"/>
      <c r="M64" s="67"/>
      <c r="N64" s="79" t="str">
        <f aca="false">IFERROR(IF(OR(L64="",M64=""),"",IF(Dashboard!$K$5="L",IF(M64=0,"",L64/M64),IF(Dashboard!$K$5="R",IF(L64=0,"",M64/L64),IF(MAX(L64,M64)=0,"",MIN(L64,M64)/MAX(L64,M64))))),"")</f>
        <v/>
      </c>
      <c r="O64" s="67"/>
      <c r="P64" s="67"/>
      <c r="Q64" s="79" t="str">
        <f aca="false">IFERROR(IF(OR(O64="",P64=""),"",IF(Dashboard!$K$5="L",IF(P64=0,"",O64/P64),IF(Dashboard!$K$5="R",IF(O64=0,"",P64/O64),IF(MAX(O64,P64)=0,"",MIN(O64,P64)/MAX(O64,P64))))),"")</f>
        <v/>
      </c>
      <c r="R64" s="67"/>
      <c r="S64" s="67"/>
      <c r="T64" s="79" t="str">
        <f aca="false">IFERROR(IF(OR(R64="",S64=""),"",IF(Dashboard!$K$5="L",IF(S64=0,"",R64/S64),IF(Dashboard!$K$5="R",IF(R64=0,"",S64/R64),IF(MAX(R64,S64)=0,"",MIN(R64,S64)/MAX(R64,S64))))),"")</f>
        <v/>
      </c>
      <c r="U64" s="67"/>
      <c r="V64" s="67"/>
      <c r="W64" s="79" t="str">
        <f aca="false">IFERROR(IF(OR(U64="",V64=""),"",IF(Dashboard!$K$5="L",IF(V64=0,"",U64/V64),IF(Dashboard!$K$5="R",IF(U64=0,"",V64/U64),IF(MAX(U64,V64)=0,"",MIN(U64,V64)/MAX(U64,V64))))),"")</f>
        <v/>
      </c>
      <c r="X64" s="67"/>
      <c r="Y64" s="67"/>
      <c r="Z64" s="79" t="str">
        <f aca="false">IFERROR(IF(OR(X64="",Y64=""),"",IF(Dashboard!$K$5="L",IF(Y64=0,"",X64/Y64),IF(Dashboard!$K$5="R",IF(X64=0,"",Y64/X64),IF(MAX(X64,Y64)=0,"",MIN(X64,Y64)/MAX(X64,Y64))))),"")</f>
        <v/>
      </c>
      <c r="AA64" s="58"/>
    </row>
    <row r="65" customFormat="false" ht="15" hidden="false" customHeight="false" outlineLevel="0" collapsed="false">
      <c r="A65" s="56"/>
      <c r="B65" s="57" t="str">
        <f aca="false">IF(A65="","",IF(Dashboard!$L$5="","",INT((A65-Dashboard!$L$5)/7)+1))</f>
        <v/>
      </c>
      <c r="C65" s="67"/>
      <c r="D65" s="67"/>
      <c r="E65" s="79" t="str">
        <f aca="false">IFERROR(IF(OR(C65="",D65=""),"",IF(Dashboard!$K$5="L",IF(D65=0,"",C65/D65),IF(Dashboard!$K$5="R",IF(C65=0,"",D65/C65),IF(MAX(C65,D65)=0,"",MIN(C65,D65)/MAX(C65,D65))))),"")</f>
        <v/>
      </c>
      <c r="F65" s="67"/>
      <c r="G65" s="67"/>
      <c r="H65" s="79" t="str">
        <f aca="false">IFERROR(IF(OR(F65="",G65=""),"",IF(Dashboard!$K$5="L",IF(G65=0,"",F65/G65),IF(Dashboard!$K$5="R",IF(F65=0,"",G65/F65),IF(MAX(F65,G65)=0,"",MIN(F65,G65)/MAX(F65,G65))))),"")</f>
        <v/>
      </c>
      <c r="I65" s="67"/>
      <c r="J65" s="67"/>
      <c r="K65" s="79" t="str">
        <f aca="false">IFERROR(IF(OR(I65="",J65=""),"",IF(Dashboard!$K$5="L",IF(J65=0,"",I65/J65),IF(Dashboard!$K$5="R",IF(I65=0,"",J65/I65),IF(MAX(I65,J65)=0,"",MIN(I65,J65)/MAX(I65,J65))))),"")</f>
        <v/>
      </c>
      <c r="L65" s="67"/>
      <c r="M65" s="67"/>
      <c r="N65" s="79" t="str">
        <f aca="false">IFERROR(IF(OR(L65="",M65=""),"",IF(Dashboard!$K$5="L",IF(M65=0,"",L65/M65),IF(Dashboard!$K$5="R",IF(L65=0,"",M65/L65),IF(MAX(L65,M65)=0,"",MIN(L65,M65)/MAX(L65,M65))))),"")</f>
        <v/>
      </c>
      <c r="O65" s="67"/>
      <c r="P65" s="67"/>
      <c r="Q65" s="79" t="str">
        <f aca="false">IFERROR(IF(OR(O65="",P65=""),"",IF(Dashboard!$K$5="L",IF(P65=0,"",O65/P65),IF(Dashboard!$K$5="R",IF(O65=0,"",P65/O65),IF(MAX(O65,P65)=0,"",MIN(O65,P65)/MAX(O65,P65))))),"")</f>
        <v/>
      </c>
      <c r="R65" s="67"/>
      <c r="S65" s="67"/>
      <c r="T65" s="79" t="str">
        <f aca="false">IFERROR(IF(OR(R65="",S65=""),"",IF(Dashboard!$K$5="L",IF(S65=0,"",R65/S65),IF(Dashboard!$K$5="R",IF(R65=0,"",S65/R65),IF(MAX(R65,S65)=0,"",MIN(R65,S65)/MAX(R65,S65))))),"")</f>
        <v/>
      </c>
      <c r="U65" s="67"/>
      <c r="V65" s="67"/>
      <c r="W65" s="79" t="str">
        <f aca="false">IFERROR(IF(OR(U65="",V65=""),"",IF(Dashboard!$K$5="L",IF(V65=0,"",U65/V65),IF(Dashboard!$K$5="R",IF(U65=0,"",V65/U65),IF(MAX(U65,V65)=0,"",MIN(U65,V65)/MAX(U65,V65))))),"")</f>
        <v/>
      </c>
      <c r="X65" s="67"/>
      <c r="Y65" s="67"/>
      <c r="Z65" s="79" t="str">
        <f aca="false">IFERROR(IF(OR(X65="",Y65=""),"",IF(Dashboard!$K$5="L",IF(Y65=0,"",X65/Y65),IF(Dashboard!$K$5="R",IF(X65=0,"",Y65/X65),IF(MAX(X65,Y65)=0,"",MIN(X65,Y65)/MAX(X65,Y65))))),"")</f>
        <v/>
      </c>
      <c r="AA65" s="58"/>
    </row>
    <row r="66" customFormat="false" ht="18" hidden="false" customHeight="true" outlineLevel="0" collapsed="false">
      <c r="A66" s="77" t="s">
        <v>151</v>
      </c>
      <c r="B66" s="77"/>
      <c r="C66" s="77" t="str">
        <f aca="false">IF(COUNT(C54:C65)=0,"",INDEX(C54:C65,SUMPRODUCT(MAX(ISNUMBER(C54:C65)*(($A$54:$A$65)=SUMPRODUCT(MAX(ISNUMBER(C54:C65)*($A$54:$A$65))))*(ROW(C54:C65)-ROW(C$54)+1)))))</f>
        <v/>
      </c>
      <c r="D66" s="77" t="str">
        <f aca="false">IF(COUNT(D54:D65)=0,"",INDEX(D54:D65,SUMPRODUCT(MAX(ISNUMBER(D54:D65)*(($A$54:$A$65)=SUMPRODUCT(MAX(ISNUMBER(D54:D65)*($A$54:$A$65))))*(ROW(D54:D65)-ROW(D$54)+1)))))</f>
        <v/>
      </c>
      <c r="E66" s="80" t="str">
        <f aca="false">IF(COUNT(E54:E65)=0,"",INDEX(E54:E65,SUMPRODUCT(MAX(ISNUMBER(E54:E65)*(($A$54:$A$65)=SUMPRODUCT(MAX(ISNUMBER(E54:E65)*($A$54:$A$65))))*(ROW(E54:E65)-ROW(E$54)+1)))))</f>
        <v/>
      </c>
      <c r="F66" s="77" t="str">
        <f aca="false">IF(COUNT(F54:F65)=0,"",INDEX(F54:F65,SUMPRODUCT(MAX(ISNUMBER(F54:F65)*(($A$54:$A$65)=SUMPRODUCT(MAX(ISNUMBER(F54:F65)*($A$54:$A$65))))*(ROW(F54:F65)-ROW(F$54)+1)))))</f>
        <v/>
      </c>
      <c r="G66" s="77" t="str">
        <f aca="false">IF(COUNT(G54:G65)=0,"",INDEX(G54:G65,SUMPRODUCT(MAX(ISNUMBER(G54:G65)*(($A$54:$A$65)=SUMPRODUCT(MAX(ISNUMBER(G54:G65)*($A$54:$A$65))))*(ROW(G54:G65)-ROW(G$54)+1)))))</f>
        <v/>
      </c>
      <c r="H66" s="80" t="str">
        <f aca="false">IF(COUNT(H54:H65)=0,"",INDEX(H54:H65,SUMPRODUCT(MAX(ISNUMBER(H54:H65)*(($A$54:$A$65)=SUMPRODUCT(MAX(ISNUMBER(H54:H65)*($A$54:$A$65))))*(ROW(H54:H65)-ROW(H$54)+1)))))</f>
        <v/>
      </c>
      <c r="I66" s="77" t="str">
        <f aca="false">IF(COUNT(I54:I65)=0,"",INDEX(I54:I65,SUMPRODUCT(MAX(ISNUMBER(I54:I65)*(($A$54:$A$65)=SUMPRODUCT(MAX(ISNUMBER(I54:I65)*($A$54:$A$65))))*(ROW(I54:I65)-ROW(I$54)+1)))))</f>
        <v/>
      </c>
      <c r="J66" s="77" t="str">
        <f aca="false">IF(COUNT(J54:J65)=0,"",INDEX(J54:J65,SUMPRODUCT(MAX(ISNUMBER(J54:J65)*(($A$54:$A$65)=SUMPRODUCT(MAX(ISNUMBER(J54:J65)*($A$54:$A$65))))*(ROW(J54:J65)-ROW(J$54)+1)))))</f>
        <v/>
      </c>
      <c r="K66" s="80" t="str">
        <f aca="false">IF(COUNT(K54:K65)=0,"",INDEX(K54:K65,SUMPRODUCT(MAX(ISNUMBER(K54:K65)*(($A$54:$A$65)=SUMPRODUCT(MAX(ISNUMBER(K54:K65)*($A$54:$A$65))))*(ROW(K54:K65)-ROW(K$54)+1)))))</f>
        <v/>
      </c>
      <c r="L66" s="77" t="str">
        <f aca="false">IF(COUNT(L54:L65)=0,"",INDEX(L54:L65,SUMPRODUCT(MAX(ISNUMBER(L54:L65)*(($A$54:$A$65)=SUMPRODUCT(MAX(ISNUMBER(L54:L65)*($A$54:$A$65))))*(ROW(L54:L65)-ROW(L$54)+1)))))</f>
        <v/>
      </c>
      <c r="M66" s="77" t="str">
        <f aca="false">IF(COUNT(M54:M65)=0,"",INDEX(M54:M65,SUMPRODUCT(MAX(ISNUMBER(M54:M65)*(($A$54:$A$65)=SUMPRODUCT(MAX(ISNUMBER(M54:M65)*($A$54:$A$65))))*(ROW(M54:M65)-ROW(M$54)+1)))))</f>
        <v/>
      </c>
      <c r="N66" s="80" t="str">
        <f aca="false">IF(COUNT(N54:N65)=0,"",INDEX(N54:N65,SUMPRODUCT(MAX(ISNUMBER(N54:N65)*(($A$54:$A$65)=SUMPRODUCT(MAX(ISNUMBER(N54:N65)*($A$54:$A$65))))*(ROW(N54:N65)-ROW(N$54)+1)))))</f>
        <v/>
      </c>
      <c r="O66" s="77" t="str">
        <f aca="false">IF(COUNT(O54:O65)=0,"",INDEX(O54:O65,SUMPRODUCT(MAX(ISNUMBER(O54:O65)*(($A$54:$A$65)=SUMPRODUCT(MAX(ISNUMBER(O54:O65)*($A$54:$A$65))))*(ROW(O54:O65)-ROW(O$54)+1)))))</f>
        <v/>
      </c>
      <c r="P66" s="77" t="str">
        <f aca="false">IF(COUNT(P54:P65)=0,"",INDEX(P54:P65,SUMPRODUCT(MAX(ISNUMBER(P54:P65)*(($A$54:$A$65)=SUMPRODUCT(MAX(ISNUMBER(P54:P65)*($A$54:$A$65))))*(ROW(P54:P65)-ROW(P$54)+1)))))</f>
        <v/>
      </c>
      <c r="Q66" s="80" t="str">
        <f aca="false">IF(COUNT(Q54:Q65)=0,"",INDEX(Q54:Q65,SUMPRODUCT(MAX(ISNUMBER(Q54:Q65)*(($A$54:$A$65)=SUMPRODUCT(MAX(ISNUMBER(Q54:Q65)*($A$54:$A$65))))*(ROW(Q54:Q65)-ROW(Q$54)+1)))))</f>
        <v/>
      </c>
      <c r="R66" s="77" t="str">
        <f aca="false">IF(COUNT(R54:R65)=0,"",INDEX(R54:R65,SUMPRODUCT(MAX(ISNUMBER(R54:R65)*(($A$54:$A$65)=SUMPRODUCT(MAX(ISNUMBER(R54:R65)*($A$54:$A$65))))*(ROW(R54:R65)-ROW(R$54)+1)))))</f>
        <v/>
      </c>
      <c r="S66" s="77" t="str">
        <f aca="false">IF(COUNT(S54:S65)=0,"",INDEX(S54:S65,SUMPRODUCT(MAX(ISNUMBER(S54:S65)*(($A$54:$A$65)=SUMPRODUCT(MAX(ISNUMBER(S54:S65)*($A$54:$A$65))))*(ROW(S54:S65)-ROW(S$54)+1)))))</f>
        <v/>
      </c>
      <c r="T66" s="80" t="str">
        <f aca="false">IF(COUNT(T54:T65)=0,"",INDEX(T54:T65,SUMPRODUCT(MAX(ISNUMBER(T54:T65)*(($A$54:$A$65)=SUMPRODUCT(MAX(ISNUMBER(T54:T65)*($A$54:$A$65))))*(ROW(T54:T65)-ROW(T$54)+1)))))</f>
        <v/>
      </c>
      <c r="U66" s="77" t="str">
        <f aca="false">IF(COUNT(U54:U65)=0,"",INDEX(U54:U65,SUMPRODUCT(MAX(ISNUMBER(U54:U65)*(($A$54:$A$65)=SUMPRODUCT(MAX(ISNUMBER(U54:U65)*($A$54:$A$65))))*(ROW(U54:U65)-ROW(U$54)+1)))))</f>
        <v/>
      </c>
      <c r="V66" s="77" t="str">
        <f aca="false">IF(COUNT(V54:V65)=0,"",INDEX(V54:V65,SUMPRODUCT(MAX(ISNUMBER(V54:V65)*(($A$54:$A$65)=SUMPRODUCT(MAX(ISNUMBER(V54:V65)*($A$54:$A$65))))*(ROW(V54:V65)-ROW(V$54)+1)))))</f>
        <v/>
      </c>
      <c r="W66" s="80" t="str">
        <f aca="false">IF(COUNT(W54:W65)=0,"",INDEX(W54:W65,SUMPRODUCT(MAX(ISNUMBER(W54:W65)*(($A$54:$A$65)=SUMPRODUCT(MAX(ISNUMBER(W54:W65)*($A$54:$A$65))))*(ROW(W54:W65)-ROW(W$54)+1)))))</f>
        <v/>
      </c>
      <c r="X66" s="77" t="str">
        <f aca="false">IF(COUNT(X54:X65)=0,"",INDEX(X54:X65,SUMPRODUCT(MAX(ISNUMBER(X54:X65)*(($A$54:$A$65)=SUMPRODUCT(MAX(ISNUMBER(X54:X65)*($A$54:$A$65))))*(ROW(X54:X65)-ROW(X$54)+1)))))</f>
        <v/>
      </c>
      <c r="Y66" s="77" t="str">
        <f aca="false">IF(COUNT(Y54:Y65)=0,"",INDEX(Y54:Y65,SUMPRODUCT(MAX(ISNUMBER(Y54:Y65)*(($A$54:$A$65)=SUMPRODUCT(MAX(ISNUMBER(Y54:Y65)*($A$54:$A$65))))*(ROW(Y54:Y65)-ROW(Y$54)+1)))))</f>
        <v/>
      </c>
      <c r="Z66" s="80" t="str">
        <f aca="false">IF(COUNT(Z54:Z65)=0,"",INDEX(Z54:Z65,SUMPRODUCT(MAX(ISNUMBER(Z54:Z65)*(($A$54:$A$65)=SUMPRODUCT(MAX(ISNUMBER(Z54:Z65)*($A$54:$A$65))))*(ROW(Z54:Z65)-ROW(Z$54)+1)))))</f>
        <v/>
      </c>
      <c r="AA66" s="81" t="s">
        <v>152</v>
      </c>
    </row>
    <row r="67" customFormat="false" ht="15" hidden="false" customHeight="true" outlineLevel="0" collapsed="false">
      <c r="A67" s="65" t="s">
        <v>153</v>
      </c>
      <c r="B67" s="65"/>
      <c r="C67" s="70" t="str">
        <f aca="false">IF(OR(COUNT(C54:C65)=0,SUMPRODUCT(MAX(ISNUMBER(C54:C65)*($A$54:$A$65)))=0),"",SUMPRODUCT(MAX(ISNUMBER(C54:C65)*($A$54:$A$65))))</f>
        <v/>
      </c>
      <c r="D67" s="70"/>
      <c r="E67" s="70"/>
      <c r="F67" s="70" t="str">
        <f aca="false">IF(OR(COUNT(F54:F65)=0,SUMPRODUCT(MAX(ISNUMBER(F54:F65)*($A$54:$A$65)))=0),"",SUMPRODUCT(MAX(ISNUMBER(F54:F65)*($A$54:$A$65))))</f>
        <v/>
      </c>
      <c r="G67" s="70"/>
      <c r="H67" s="70"/>
      <c r="I67" s="70" t="str">
        <f aca="false">IF(OR(COUNT(I54:I65)=0,SUMPRODUCT(MAX(ISNUMBER(I54:I65)*($A$54:$A$65)))=0),"",SUMPRODUCT(MAX(ISNUMBER(I54:I65)*($A$54:$A$65))))</f>
        <v/>
      </c>
      <c r="J67" s="70"/>
      <c r="K67" s="70"/>
      <c r="L67" s="70" t="str">
        <f aca="false">IF(OR(COUNT(L54:L65)=0,SUMPRODUCT(MAX(ISNUMBER(L54:L65)*($A$54:$A$65)))=0),"",SUMPRODUCT(MAX(ISNUMBER(L54:L65)*($A$54:$A$65))))</f>
        <v/>
      </c>
      <c r="M67" s="70"/>
      <c r="N67" s="70"/>
      <c r="O67" s="70" t="str">
        <f aca="false">IF(OR(COUNT(O54:O65)=0,SUMPRODUCT(MAX(ISNUMBER(O54:O65)*($A$54:$A$65)))=0),"",SUMPRODUCT(MAX(ISNUMBER(O54:O65)*($A$54:$A$65))))</f>
        <v/>
      </c>
      <c r="P67" s="70"/>
      <c r="Q67" s="70"/>
      <c r="R67" s="70" t="str">
        <f aca="false">IF(OR(COUNT(R54:R65)=0,SUMPRODUCT(MAX(ISNUMBER(R54:R65)*($A$54:$A$65)))=0),"",SUMPRODUCT(MAX(ISNUMBER(R54:R65)*($A$54:$A$65))))</f>
        <v/>
      </c>
      <c r="S67" s="70"/>
      <c r="T67" s="70"/>
      <c r="U67" s="70" t="str">
        <f aca="false">IF(OR(COUNT(U54:U65)=0,SUMPRODUCT(MAX(ISNUMBER(U54:U65)*($A$54:$A$65)))=0),"",SUMPRODUCT(MAX(ISNUMBER(U54:U65)*($A$54:$A$65))))</f>
        <v/>
      </c>
      <c r="V67" s="70"/>
      <c r="W67" s="70"/>
      <c r="X67" s="70" t="str">
        <f aca="false">IF(OR(COUNT(X54:X65)=0,SUMPRODUCT(MAX(ISNUMBER(X54:X65)*($A$54:$A$65)))=0),"",SUMPRODUCT(MAX(ISNUMBER(X54:X65)*($A$54:$A$65))))</f>
        <v/>
      </c>
      <c r="Y67" s="70"/>
      <c r="Z67" s="70"/>
      <c r="AA67" s="82"/>
    </row>
    <row r="69" customFormat="false" ht="19.5" hidden="false" customHeight="true" outlineLevel="0" collapsed="false">
      <c r="A69" s="62" t="s">
        <v>159</v>
      </c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</row>
    <row r="70" customFormat="false" ht="31.5" hidden="false" customHeight="true" outlineLevel="0" collapsed="false">
      <c r="A70" s="55" t="s">
        <v>52</v>
      </c>
      <c r="B70" s="55" t="s">
        <v>75</v>
      </c>
      <c r="C70" s="77" t="s">
        <v>160</v>
      </c>
      <c r="D70" s="77"/>
      <c r="E70" s="77"/>
      <c r="F70" s="77" t="s">
        <v>125</v>
      </c>
      <c r="G70" s="77"/>
      <c r="H70" s="77"/>
      <c r="I70" s="77" t="s">
        <v>127</v>
      </c>
      <c r="J70" s="77"/>
      <c r="K70" s="77"/>
      <c r="L70" s="77" t="s">
        <v>161</v>
      </c>
      <c r="M70" s="77"/>
      <c r="N70" s="77"/>
      <c r="O70" s="77" t="s">
        <v>162</v>
      </c>
      <c r="P70" s="77"/>
      <c r="Q70" s="77"/>
      <c r="R70" s="77" t="s">
        <v>163</v>
      </c>
      <c r="S70" s="77"/>
      <c r="T70" s="77"/>
      <c r="U70" s="77" t="s">
        <v>164</v>
      </c>
      <c r="V70" s="77"/>
      <c r="W70" s="77"/>
      <c r="X70" s="77" t="s">
        <v>165</v>
      </c>
      <c r="Y70" s="77"/>
      <c r="Z70" s="77"/>
      <c r="AA70" s="55" t="s">
        <v>84</v>
      </c>
    </row>
    <row r="71" customFormat="false" ht="15.75" hidden="false" customHeight="true" outlineLevel="0" collapsed="false">
      <c r="A71" s="55"/>
      <c r="B71" s="55"/>
      <c r="C71" s="55" t="s">
        <v>166</v>
      </c>
      <c r="D71" s="55" t="s">
        <v>167</v>
      </c>
      <c r="E71" s="55" t="s">
        <v>167</v>
      </c>
      <c r="F71" s="55" t="s">
        <v>12</v>
      </c>
      <c r="G71" s="55" t="s">
        <v>49</v>
      </c>
      <c r="H71" s="55" t="s">
        <v>50</v>
      </c>
      <c r="I71" s="55" t="s">
        <v>12</v>
      </c>
      <c r="J71" s="55" t="s">
        <v>49</v>
      </c>
      <c r="K71" s="55" t="s">
        <v>50</v>
      </c>
      <c r="L71" s="55" t="s">
        <v>12</v>
      </c>
      <c r="M71" s="55" t="s">
        <v>49</v>
      </c>
      <c r="N71" s="55" t="s">
        <v>50</v>
      </c>
      <c r="O71" s="55" t="s">
        <v>12</v>
      </c>
      <c r="P71" s="55" t="s">
        <v>49</v>
      </c>
      <c r="Q71" s="55" t="s">
        <v>50</v>
      </c>
      <c r="R71" s="55" t="s">
        <v>166</v>
      </c>
      <c r="S71" s="55" t="s">
        <v>167</v>
      </c>
      <c r="T71" s="55" t="s">
        <v>167</v>
      </c>
      <c r="U71" s="55" t="s">
        <v>12</v>
      </c>
      <c r="V71" s="55" t="s">
        <v>49</v>
      </c>
      <c r="W71" s="55" t="s">
        <v>50</v>
      </c>
      <c r="X71" s="55" t="s">
        <v>166</v>
      </c>
      <c r="Y71" s="55" t="s">
        <v>167</v>
      </c>
      <c r="Z71" s="55" t="s">
        <v>167</v>
      </c>
      <c r="AA71" s="55"/>
    </row>
    <row r="72" customFormat="false" ht="15" hidden="false" customHeight="false" outlineLevel="0" collapsed="false">
      <c r="A72" s="56"/>
      <c r="B72" s="57" t="str">
        <f aca="false">IF(A72="","",IF(Dashboard!$L$5="","",INT((A72-Dashboard!$L$5)/7)+1))</f>
        <v/>
      </c>
      <c r="C72" s="67"/>
      <c r="D72" s="83"/>
      <c r="E72" s="84" t="str">
        <f aca="false">IFERROR(IF(OR(C72="",D72=""),"",IF(Dashboard!$K$5="L",IF(D72=0,"",C72/D72),IF(Dashboard!$K$5="R",IF(C72=0,"",D72/C72),IF(MAX(C72,D72)=0,"",MIN(C72,D72)/MAX(C72,D72))))),"")</f>
        <v/>
      </c>
      <c r="F72" s="67"/>
      <c r="G72" s="67"/>
      <c r="H72" s="79" t="str">
        <f aca="false">IFERROR(IF(OR(F72="",G72=""),"",IF(Dashboard!$K$5="L",IF(G72=0,"",F72/G72),IF(Dashboard!$K$5="R",IF(F72=0,"",G72/F72),IF(MAX(F72,G72)=0,"",MIN(F72,G72)/MAX(F72,G72))))),"")</f>
        <v/>
      </c>
      <c r="I72" s="67"/>
      <c r="J72" s="67"/>
      <c r="K72" s="79" t="str">
        <f aca="false">IFERROR(IF(OR(I72="",J72=""),"",IF(Dashboard!$K$5="L",IF(J72=0,"",I72/J72),IF(Dashboard!$K$5="R",IF(I72=0,"",J72/I72),IF(MAX(I72,J72)=0,"",MIN(I72,J72)/MAX(I72,J72))))),"")</f>
        <v/>
      </c>
      <c r="L72" s="67"/>
      <c r="M72" s="67"/>
      <c r="N72" s="79" t="str">
        <f aca="false">IFERROR(IF(OR(L72="",M72=""),"",IF(Dashboard!$K$5="L",IF(M72=0,"",L72/M72),IF(Dashboard!$K$5="R",IF(L72=0,"",M72/L72),IF(MAX(L72,M72)=0,"",MIN(L72,M72)/MAX(L72,M72))))),"")</f>
        <v/>
      </c>
      <c r="O72" s="67"/>
      <c r="P72" s="67"/>
      <c r="Q72" s="79" t="str">
        <f aca="false">IFERROR(IF(OR(O72="",P72=""),"",IF(Dashboard!$K$5="L",IF(P72=0,"",O72/P72),IF(Dashboard!$K$5="R",IF(O72=0,"",P72/O72),IF(MAX(O72,P72)=0,"",MIN(O72,P72)/MAX(O72,P72))))),"")</f>
        <v/>
      </c>
      <c r="R72" s="67"/>
      <c r="S72" s="83"/>
      <c r="T72" s="84" t="str">
        <f aca="false">IFERROR(IF(OR(R72="",S72=""),"",IF(Dashboard!$K$5="L",IF(S72=0,"",R72/S72),IF(Dashboard!$K$5="R",IF(R72=0,"",S72/R72),IF(MAX(R72,S72)=0,"",MIN(R72,S72)/MAX(R72,S72))))),"")</f>
        <v/>
      </c>
      <c r="U72" s="67"/>
      <c r="V72" s="67"/>
      <c r="W72" s="79" t="str">
        <f aca="false">IFERROR(IF(OR(U72="",V72=""),"",IF(Dashboard!$K$5="L",IF(V72=0,"",U72/V72),IF(Dashboard!$K$5="R",IF(U72=0,"",V72/U72),IF(MAX(U72,V72)=0,"",MIN(U72,V72)/MAX(U72,V72))))),"")</f>
        <v/>
      </c>
      <c r="X72" s="67"/>
      <c r="Y72" s="83"/>
      <c r="Z72" s="84" t="str">
        <f aca="false">IFERROR(IF(OR(X72="",Y72=""),"",IF(Dashboard!$K$5="L",IF(Y72=0,"",X72/Y72),IF(Dashboard!$K$5="R",IF(X72=0,"",Y72/X72),IF(MAX(X72,Y72)=0,"",MIN(X72,Y72)/MAX(X72,Y72))))),"")</f>
        <v/>
      </c>
      <c r="AA72" s="58"/>
    </row>
    <row r="73" customFormat="false" ht="15" hidden="false" customHeight="false" outlineLevel="0" collapsed="false">
      <c r="A73" s="56"/>
      <c r="B73" s="57" t="str">
        <f aca="false">IF(A73="","",IF(Dashboard!$L$5="","",INT((A73-Dashboard!$L$5)/7)+1))</f>
        <v/>
      </c>
      <c r="C73" s="67"/>
      <c r="D73" s="83"/>
      <c r="E73" s="84" t="str">
        <f aca="false">IFERROR(IF(OR(C73="",D73=""),"",IF(Dashboard!$K$5="L",IF(D73=0,"",C73/D73),IF(Dashboard!$K$5="R",IF(C73=0,"",D73/C73),IF(MAX(C73,D73)=0,"",MIN(C73,D73)/MAX(C73,D73))))),"")</f>
        <v/>
      </c>
      <c r="F73" s="67"/>
      <c r="G73" s="67"/>
      <c r="H73" s="79" t="str">
        <f aca="false">IFERROR(IF(OR(F73="",G73=""),"",IF(Dashboard!$K$5="L",IF(G73=0,"",F73/G73),IF(Dashboard!$K$5="R",IF(F73=0,"",G73/F73),IF(MAX(F73,G73)=0,"",MIN(F73,G73)/MAX(F73,G73))))),"")</f>
        <v/>
      </c>
      <c r="I73" s="67"/>
      <c r="J73" s="67"/>
      <c r="K73" s="79" t="str">
        <f aca="false">IFERROR(IF(OR(I73="",J73=""),"",IF(Dashboard!$K$5="L",IF(J73=0,"",I73/J73),IF(Dashboard!$K$5="R",IF(I73=0,"",J73/I73),IF(MAX(I73,J73)=0,"",MIN(I73,J73)/MAX(I73,J73))))),"")</f>
        <v/>
      </c>
      <c r="L73" s="67"/>
      <c r="M73" s="67"/>
      <c r="N73" s="79" t="str">
        <f aca="false">IFERROR(IF(OR(L73="",M73=""),"",IF(Dashboard!$K$5="L",IF(M73=0,"",L73/M73),IF(Dashboard!$K$5="R",IF(L73=0,"",M73/L73),IF(MAX(L73,M73)=0,"",MIN(L73,M73)/MAX(L73,M73))))),"")</f>
        <v/>
      </c>
      <c r="O73" s="67"/>
      <c r="P73" s="67"/>
      <c r="Q73" s="79" t="str">
        <f aca="false">IFERROR(IF(OR(O73="",P73=""),"",IF(Dashboard!$K$5="L",IF(P73=0,"",O73/P73),IF(Dashboard!$K$5="R",IF(O73=0,"",P73/O73),IF(MAX(O73,P73)=0,"",MIN(O73,P73)/MAX(O73,P73))))),"")</f>
        <v/>
      </c>
      <c r="R73" s="67"/>
      <c r="S73" s="83"/>
      <c r="T73" s="84" t="str">
        <f aca="false">IFERROR(IF(OR(R73="",S73=""),"",IF(Dashboard!$K$5="L",IF(S73=0,"",R73/S73),IF(Dashboard!$K$5="R",IF(R73=0,"",S73/R73),IF(MAX(R73,S73)=0,"",MIN(R73,S73)/MAX(R73,S73))))),"")</f>
        <v/>
      </c>
      <c r="U73" s="67"/>
      <c r="V73" s="67"/>
      <c r="W73" s="79" t="str">
        <f aca="false">IFERROR(IF(OR(U73="",V73=""),"",IF(Dashboard!$K$5="L",IF(V73=0,"",U73/V73),IF(Dashboard!$K$5="R",IF(U73=0,"",V73/U73),IF(MAX(U73,V73)=0,"",MIN(U73,V73)/MAX(U73,V73))))),"")</f>
        <v/>
      </c>
      <c r="X73" s="67"/>
      <c r="Y73" s="83"/>
      <c r="Z73" s="84" t="str">
        <f aca="false">IFERROR(IF(OR(X73="",Y73=""),"",IF(Dashboard!$K$5="L",IF(Y73=0,"",X73/Y73),IF(Dashboard!$K$5="R",IF(X73=0,"",Y73/X73),IF(MAX(X73,Y73)=0,"",MIN(X73,Y73)/MAX(X73,Y73))))),"")</f>
        <v/>
      </c>
      <c r="AA73" s="58"/>
    </row>
    <row r="74" customFormat="false" ht="15" hidden="false" customHeight="false" outlineLevel="0" collapsed="false">
      <c r="A74" s="56"/>
      <c r="B74" s="57" t="str">
        <f aca="false">IF(A74="","",IF(Dashboard!$L$5="","",INT((A74-Dashboard!$L$5)/7)+1))</f>
        <v/>
      </c>
      <c r="C74" s="67"/>
      <c r="D74" s="83"/>
      <c r="E74" s="84" t="str">
        <f aca="false">IFERROR(IF(OR(C74="",D74=""),"",IF(Dashboard!$K$5="L",IF(D74=0,"",C74/D74),IF(Dashboard!$K$5="R",IF(C74=0,"",D74/C74),IF(MAX(C74,D74)=0,"",MIN(C74,D74)/MAX(C74,D74))))),"")</f>
        <v/>
      </c>
      <c r="F74" s="67"/>
      <c r="G74" s="67"/>
      <c r="H74" s="79" t="str">
        <f aca="false">IFERROR(IF(OR(F74="",G74=""),"",IF(Dashboard!$K$5="L",IF(G74=0,"",F74/G74),IF(Dashboard!$K$5="R",IF(F74=0,"",G74/F74),IF(MAX(F74,G74)=0,"",MIN(F74,G74)/MAX(F74,G74))))),"")</f>
        <v/>
      </c>
      <c r="I74" s="67"/>
      <c r="J74" s="67"/>
      <c r="K74" s="79" t="str">
        <f aca="false">IFERROR(IF(OR(I74="",J74=""),"",IF(Dashboard!$K$5="L",IF(J74=0,"",I74/J74),IF(Dashboard!$K$5="R",IF(I74=0,"",J74/I74),IF(MAX(I74,J74)=0,"",MIN(I74,J74)/MAX(I74,J74))))),"")</f>
        <v/>
      </c>
      <c r="L74" s="67"/>
      <c r="M74" s="67"/>
      <c r="N74" s="79" t="str">
        <f aca="false">IFERROR(IF(OR(L74="",M74=""),"",IF(Dashboard!$K$5="L",IF(M74=0,"",L74/M74),IF(Dashboard!$K$5="R",IF(L74=0,"",M74/L74),IF(MAX(L74,M74)=0,"",MIN(L74,M74)/MAX(L74,M74))))),"")</f>
        <v/>
      </c>
      <c r="O74" s="67"/>
      <c r="P74" s="67"/>
      <c r="Q74" s="79" t="str">
        <f aca="false">IFERROR(IF(OR(O74="",P74=""),"",IF(Dashboard!$K$5="L",IF(P74=0,"",O74/P74),IF(Dashboard!$K$5="R",IF(O74=0,"",P74/O74),IF(MAX(O74,P74)=0,"",MIN(O74,P74)/MAX(O74,P74))))),"")</f>
        <v/>
      </c>
      <c r="R74" s="67"/>
      <c r="S74" s="83"/>
      <c r="T74" s="84" t="str">
        <f aca="false">IFERROR(IF(OR(R74="",S74=""),"",IF(Dashboard!$K$5="L",IF(S74=0,"",R74/S74),IF(Dashboard!$K$5="R",IF(R74=0,"",S74/R74),IF(MAX(R74,S74)=0,"",MIN(R74,S74)/MAX(R74,S74))))),"")</f>
        <v/>
      </c>
      <c r="U74" s="67"/>
      <c r="V74" s="67"/>
      <c r="W74" s="79" t="str">
        <f aca="false">IFERROR(IF(OR(U74="",V74=""),"",IF(Dashboard!$K$5="L",IF(V74=0,"",U74/V74),IF(Dashboard!$K$5="R",IF(U74=0,"",V74/U74),IF(MAX(U74,V74)=0,"",MIN(U74,V74)/MAX(U74,V74))))),"")</f>
        <v/>
      </c>
      <c r="X74" s="67"/>
      <c r="Y74" s="83"/>
      <c r="Z74" s="84" t="str">
        <f aca="false">IFERROR(IF(OR(X74="",Y74=""),"",IF(Dashboard!$K$5="L",IF(Y74=0,"",X74/Y74),IF(Dashboard!$K$5="R",IF(X74=0,"",Y74/X74),IF(MAX(X74,Y74)=0,"",MIN(X74,Y74)/MAX(X74,Y74))))),"")</f>
        <v/>
      </c>
      <c r="AA74" s="58"/>
    </row>
    <row r="75" customFormat="false" ht="15" hidden="false" customHeight="false" outlineLevel="0" collapsed="false">
      <c r="A75" s="56"/>
      <c r="B75" s="57" t="str">
        <f aca="false">IF(A75="","",IF(Dashboard!$L$5="","",INT((A75-Dashboard!$L$5)/7)+1))</f>
        <v/>
      </c>
      <c r="C75" s="67"/>
      <c r="D75" s="83"/>
      <c r="E75" s="84" t="str">
        <f aca="false">IFERROR(IF(OR(C75="",D75=""),"",IF(Dashboard!$K$5="L",IF(D75=0,"",C75/D75),IF(Dashboard!$K$5="R",IF(C75=0,"",D75/C75),IF(MAX(C75,D75)=0,"",MIN(C75,D75)/MAX(C75,D75))))),"")</f>
        <v/>
      </c>
      <c r="F75" s="67"/>
      <c r="G75" s="67"/>
      <c r="H75" s="79" t="str">
        <f aca="false">IFERROR(IF(OR(F75="",G75=""),"",IF(Dashboard!$K$5="L",IF(G75=0,"",F75/G75),IF(Dashboard!$K$5="R",IF(F75=0,"",G75/F75),IF(MAX(F75,G75)=0,"",MIN(F75,G75)/MAX(F75,G75))))),"")</f>
        <v/>
      </c>
      <c r="I75" s="67"/>
      <c r="J75" s="67"/>
      <c r="K75" s="79" t="str">
        <f aca="false">IFERROR(IF(OR(I75="",J75=""),"",IF(Dashboard!$K$5="L",IF(J75=0,"",I75/J75),IF(Dashboard!$K$5="R",IF(I75=0,"",J75/I75),IF(MAX(I75,J75)=0,"",MIN(I75,J75)/MAX(I75,J75))))),"")</f>
        <v/>
      </c>
      <c r="L75" s="67"/>
      <c r="M75" s="67"/>
      <c r="N75" s="79" t="str">
        <f aca="false">IFERROR(IF(OR(L75="",M75=""),"",IF(Dashboard!$K$5="L",IF(M75=0,"",L75/M75),IF(Dashboard!$K$5="R",IF(L75=0,"",M75/L75),IF(MAX(L75,M75)=0,"",MIN(L75,M75)/MAX(L75,M75))))),"")</f>
        <v/>
      </c>
      <c r="O75" s="67"/>
      <c r="P75" s="67"/>
      <c r="Q75" s="79" t="str">
        <f aca="false">IFERROR(IF(OR(O75="",P75=""),"",IF(Dashboard!$K$5="L",IF(P75=0,"",O75/P75),IF(Dashboard!$K$5="R",IF(O75=0,"",P75/O75),IF(MAX(O75,P75)=0,"",MIN(O75,P75)/MAX(O75,P75))))),"")</f>
        <v/>
      </c>
      <c r="R75" s="67"/>
      <c r="S75" s="83"/>
      <c r="T75" s="84" t="str">
        <f aca="false">IFERROR(IF(OR(R75="",S75=""),"",IF(Dashboard!$K$5="L",IF(S75=0,"",R75/S75),IF(Dashboard!$K$5="R",IF(R75=0,"",S75/R75),IF(MAX(R75,S75)=0,"",MIN(R75,S75)/MAX(R75,S75))))),"")</f>
        <v/>
      </c>
      <c r="U75" s="67"/>
      <c r="V75" s="67"/>
      <c r="W75" s="79" t="str">
        <f aca="false">IFERROR(IF(OR(U75="",V75=""),"",IF(Dashboard!$K$5="L",IF(V75=0,"",U75/V75),IF(Dashboard!$K$5="R",IF(U75=0,"",V75/U75),IF(MAX(U75,V75)=0,"",MIN(U75,V75)/MAX(U75,V75))))),"")</f>
        <v/>
      </c>
      <c r="X75" s="67"/>
      <c r="Y75" s="83"/>
      <c r="Z75" s="84" t="str">
        <f aca="false">IFERROR(IF(OR(X75="",Y75=""),"",IF(Dashboard!$K$5="L",IF(Y75=0,"",X75/Y75),IF(Dashboard!$K$5="R",IF(X75=0,"",Y75/X75),IF(MAX(X75,Y75)=0,"",MIN(X75,Y75)/MAX(X75,Y75))))),"")</f>
        <v/>
      </c>
      <c r="AA75" s="58"/>
    </row>
    <row r="76" customFormat="false" ht="15" hidden="false" customHeight="false" outlineLevel="0" collapsed="false">
      <c r="A76" s="56"/>
      <c r="B76" s="57" t="str">
        <f aca="false">IF(A76="","",IF(Dashboard!$L$5="","",INT((A76-Dashboard!$L$5)/7)+1))</f>
        <v/>
      </c>
      <c r="C76" s="67"/>
      <c r="D76" s="83"/>
      <c r="E76" s="84" t="str">
        <f aca="false">IFERROR(IF(OR(C76="",D76=""),"",IF(Dashboard!$K$5="L",IF(D76=0,"",C76/D76),IF(Dashboard!$K$5="R",IF(C76=0,"",D76/C76),IF(MAX(C76,D76)=0,"",MIN(C76,D76)/MAX(C76,D76))))),"")</f>
        <v/>
      </c>
      <c r="F76" s="67"/>
      <c r="G76" s="67"/>
      <c r="H76" s="79" t="str">
        <f aca="false">IFERROR(IF(OR(F76="",G76=""),"",IF(Dashboard!$K$5="L",IF(G76=0,"",F76/G76),IF(Dashboard!$K$5="R",IF(F76=0,"",G76/F76),IF(MAX(F76,G76)=0,"",MIN(F76,G76)/MAX(F76,G76))))),"")</f>
        <v/>
      </c>
      <c r="I76" s="67"/>
      <c r="J76" s="67"/>
      <c r="K76" s="79" t="str">
        <f aca="false">IFERROR(IF(OR(I76="",J76=""),"",IF(Dashboard!$K$5="L",IF(J76=0,"",I76/J76),IF(Dashboard!$K$5="R",IF(I76=0,"",J76/I76),IF(MAX(I76,J76)=0,"",MIN(I76,J76)/MAX(I76,J76))))),"")</f>
        <v/>
      </c>
      <c r="L76" s="67"/>
      <c r="M76" s="67"/>
      <c r="N76" s="79" t="str">
        <f aca="false">IFERROR(IF(OR(L76="",M76=""),"",IF(Dashboard!$K$5="L",IF(M76=0,"",L76/M76),IF(Dashboard!$K$5="R",IF(L76=0,"",M76/L76),IF(MAX(L76,M76)=0,"",MIN(L76,M76)/MAX(L76,M76))))),"")</f>
        <v/>
      </c>
      <c r="O76" s="67"/>
      <c r="P76" s="67"/>
      <c r="Q76" s="79" t="str">
        <f aca="false">IFERROR(IF(OR(O76="",P76=""),"",IF(Dashboard!$K$5="L",IF(P76=0,"",O76/P76),IF(Dashboard!$K$5="R",IF(O76=0,"",P76/O76),IF(MAX(O76,P76)=0,"",MIN(O76,P76)/MAX(O76,P76))))),"")</f>
        <v/>
      </c>
      <c r="R76" s="67"/>
      <c r="S76" s="83"/>
      <c r="T76" s="84" t="str">
        <f aca="false">IFERROR(IF(OR(R76="",S76=""),"",IF(Dashboard!$K$5="L",IF(S76=0,"",R76/S76),IF(Dashboard!$K$5="R",IF(R76=0,"",S76/R76),IF(MAX(R76,S76)=0,"",MIN(R76,S76)/MAX(R76,S76))))),"")</f>
        <v/>
      </c>
      <c r="U76" s="67"/>
      <c r="V76" s="67"/>
      <c r="W76" s="79" t="str">
        <f aca="false">IFERROR(IF(OR(U76="",V76=""),"",IF(Dashboard!$K$5="L",IF(V76=0,"",U76/V76),IF(Dashboard!$K$5="R",IF(U76=0,"",V76/U76),IF(MAX(U76,V76)=0,"",MIN(U76,V76)/MAX(U76,V76))))),"")</f>
        <v/>
      </c>
      <c r="X76" s="67"/>
      <c r="Y76" s="83"/>
      <c r="Z76" s="84" t="str">
        <f aca="false">IFERROR(IF(OR(X76="",Y76=""),"",IF(Dashboard!$K$5="L",IF(Y76=0,"",X76/Y76),IF(Dashboard!$K$5="R",IF(X76=0,"",Y76/X76),IF(MAX(X76,Y76)=0,"",MIN(X76,Y76)/MAX(X76,Y76))))),"")</f>
        <v/>
      </c>
      <c r="AA76" s="58"/>
    </row>
    <row r="77" customFormat="false" ht="15" hidden="false" customHeight="false" outlineLevel="0" collapsed="false">
      <c r="A77" s="56"/>
      <c r="B77" s="57" t="str">
        <f aca="false">IF(A77="","",IF(Dashboard!$L$5="","",INT((A77-Dashboard!$L$5)/7)+1))</f>
        <v/>
      </c>
      <c r="C77" s="67"/>
      <c r="D77" s="83"/>
      <c r="E77" s="84" t="str">
        <f aca="false">IFERROR(IF(OR(C77="",D77=""),"",IF(Dashboard!$K$5="L",IF(D77=0,"",C77/D77),IF(Dashboard!$K$5="R",IF(C77=0,"",D77/C77),IF(MAX(C77,D77)=0,"",MIN(C77,D77)/MAX(C77,D77))))),"")</f>
        <v/>
      </c>
      <c r="F77" s="67"/>
      <c r="G77" s="67"/>
      <c r="H77" s="79" t="str">
        <f aca="false">IFERROR(IF(OR(F77="",G77=""),"",IF(Dashboard!$K$5="L",IF(G77=0,"",F77/G77),IF(Dashboard!$K$5="R",IF(F77=0,"",G77/F77),IF(MAX(F77,G77)=0,"",MIN(F77,G77)/MAX(F77,G77))))),"")</f>
        <v/>
      </c>
      <c r="I77" s="67"/>
      <c r="J77" s="67"/>
      <c r="K77" s="79" t="str">
        <f aca="false">IFERROR(IF(OR(I77="",J77=""),"",IF(Dashboard!$K$5="L",IF(J77=0,"",I77/J77),IF(Dashboard!$K$5="R",IF(I77=0,"",J77/I77),IF(MAX(I77,J77)=0,"",MIN(I77,J77)/MAX(I77,J77))))),"")</f>
        <v/>
      </c>
      <c r="L77" s="67"/>
      <c r="M77" s="67"/>
      <c r="N77" s="79" t="str">
        <f aca="false">IFERROR(IF(OR(L77="",M77=""),"",IF(Dashboard!$K$5="L",IF(M77=0,"",L77/M77),IF(Dashboard!$K$5="R",IF(L77=0,"",M77/L77),IF(MAX(L77,M77)=0,"",MIN(L77,M77)/MAX(L77,M77))))),"")</f>
        <v/>
      </c>
      <c r="O77" s="67"/>
      <c r="P77" s="67"/>
      <c r="Q77" s="79" t="str">
        <f aca="false">IFERROR(IF(OR(O77="",P77=""),"",IF(Dashboard!$K$5="L",IF(P77=0,"",O77/P77),IF(Dashboard!$K$5="R",IF(O77=0,"",P77/O77),IF(MAX(O77,P77)=0,"",MIN(O77,P77)/MAX(O77,P77))))),"")</f>
        <v/>
      </c>
      <c r="R77" s="67"/>
      <c r="S77" s="83"/>
      <c r="T77" s="84" t="str">
        <f aca="false">IFERROR(IF(OR(R77="",S77=""),"",IF(Dashboard!$K$5="L",IF(S77=0,"",R77/S77),IF(Dashboard!$K$5="R",IF(R77=0,"",S77/R77),IF(MAX(R77,S77)=0,"",MIN(R77,S77)/MAX(R77,S77))))),"")</f>
        <v/>
      </c>
      <c r="U77" s="67"/>
      <c r="V77" s="67"/>
      <c r="W77" s="79" t="str">
        <f aca="false">IFERROR(IF(OR(U77="",V77=""),"",IF(Dashboard!$K$5="L",IF(V77=0,"",U77/V77),IF(Dashboard!$K$5="R",IF(U77=0,"",V77/U77),IF(MAX(U77,V77)=0,"",MIN(U77,V77)/MAX(U77,V77))))),"")</f>
        <v/>
      </c>
      <c r="X77" s="67"/>
      <c r="Y77" s="83"/>
      <c r="Z77" s="84" t="str">
        <f aca="false">IFERROR(IF(OR(X77="",Y77=""),"",IF(Dashboard!$K$5="L",IF(Y77=0,"",X77/Y77),IF(Dashboard!$K$5="R",IF(X77=0,"",Y77/X77),IF(MAX(X77,Y77)=0,"",MIN(X77,Y77)/MAX(X77,Y77))))),"")</f>
        <v/>
      </c>
      <c r="AA77" s="58"/>
    </row>
    <row r="78" customFormat="false" ht="15" hidden="false" customHeight="false" outlineLevel="0" collapsed="false">
      <c r="A78" s="56"/>
      <c r="B78" s="57" t="str">
        <f aca="false">IF(A78="","",IF(Dashboard!$L$5="","",INT((A78-Dashboard!$L$5)/7)+1))</f>
        <v/>
      </c>
      <c r="C78" s="67"/>
      <c r="D78" s="83"/>
      <c r="E78" s="84" t="str">
        <f aca="false">IFERROR(IF(OR(C78="",D78=""),"",IF(Dashboard!$K$5="L",IF(D78=0,"",C78/D78),IF(Dashboard!$K$5="R",IF(C78=0,"",D78/C78),IF(MAX(C78,D78)=0,"",MIN(C78,D78)/MAX(C78,D78))))),"")</f>
        <v/>
      </c>
      <c r="F78" s="67"/>
      <c r="G78" s="67"/>
      <c r="H78" s="79" t="str">
        <f aca="false">IFERROR(IF(OR(F78="",G78=""),"",IF(Dashboard!$K$5="L",IF(G78=0,"",F78/G78),IF(Dashboard!$K$5="R",IF(F78=0,"",G78/F78),IF(MAX(F78,G78)=0,"",MIN(F78,G78)/MAX(F78,G78))))),"")</f>
        <v/>
      </c>
      <c r="I78" s="67"/>
      <c r="J78" s="67"/>
      <c r="K78" s="79" t="str">
        <f aca="false">IFERROR(IF(OR(I78="",J78=""),"",IF(Dashboard!$K$5="L",IF(J78=0,"",I78/J78),IF(Dashboard!$K$5="R",IF(I78=0,"",J78/I78),IF(MAX(I78,J78)=0,"",MIN(I78,J78)/MAX(I78,J78))))),"")</f>
        <v/>
      </c>
      <c r="L78" s="67"/>
      <c r="M78" s="67"/>
      <c r="N78" s="79" t="str">
        <f aca="false">IFERROR(IF(OR(L78="",M78=""),"",IF(Dashboard!$K$5="L",IF(M78=0,"",L78/M78),IF(Dashboard!$K$5="R",IF(L78=0,"",M78/L78),IF(MAX(L78,M78)=0,"",MIN(L78,M78)/MAX(L78,M78))))),"")</f>
        <v/>
      </c>
      <c r="O78" s="67"/>
      <c r="P78" s="67"/>
      <c r="Q78" s="79" t="str">
        <f aca="false">IFERROR(IF(OR(O78="",P78=""),"",IF(Dashboard!$K$5="L",IF(P78=0,"",O78/P78),IF(Dashboard!$K$5="R",IF(O78=0,"",P78/O78),IF(MAX(O78,P78)=0,"",MIN(O78,P78)/MAX(O78,P78))))),"")</f>
        <v/>
      </c>
      <c r="R78" s="67"/>
      <c r="S78" s="83"/>
      <c r="T78" s="84" t="str">
        <f aca="false">IFERROR(IF(OR(R78="",S78=""),"",IF(Dashboard!$K$5="L",IF(S78=0,"",R78/S78),IF(Dashboard!$K$5="R",IF(R78=0,"",S78/R78),IF(MAX(R78,S78)=0,"",MIN(R78,S78)/MAX(R78,S78))))),"")</f>
        <v/>
      </c>
      <c r="U78" s="67"/>
      <c r="V78" s="67"/>
      <c r="W78" s="79" t="str">
        <f aca="false">IFERROR(IF(OR(U78="",V78=""),"",IF(Dashboard!$K$5="L",IF(V78=0,"",U78/V78),IF(Dashboard!$K$5="R",IF(U78=0,"",V78/U78),IF(MAX(U78,V78)=0,"",MIN(U78,V78)/MAX(U78,V78))))),"")</f>
        <v/>
      </c>
      <c r="X78" s="67"/>
      <c r="Y78" s="83"/>
      <c r="Z78" s="84" t="str">
        <f aca="false">IFERROR(IF(OR(X78="",Y78=""),"",IF(Dashboard!$K$5="L",IF(Y78=0,"",X78/Y78),IF(Dashboard!$K$5="R",IF(X78=0,"",Y78/X78),IF(MAX(X78,Y78)=0,"",MIN(X78,Y78)/MAX(X78,Y78))))),"")</f>
        <v/>
      </c>
      <c r="AA78" s="58"/>
    </row>
    <row r="79" customFormat="false" ht="15" hidden="false" customHeight="false" outlineLevel="0" collapsed="false">
      <c r="A79" s="56"/>
      <c r="B79" s="57" t="str">
        <f aca="false">IF(A79="","",IF(Dashboard!$L$5="","",INT((A79-Dashboard!$L$5)/7)+1))</f>
        <v/>
      </c>
      <c r="C79" s="67"/>
      <c r="D79" s="83"/>
      <c r="E79" s="84" t="str">
        <f aca="false">IFERROR(IF(OR(C79="",D79=""),"",IF(Dashboard!$K$5="L",IF(D79=0,"",C79/D79),IF(Dashboard!$K$5="R",IF(C79=0,"",D79/C79),IF(MAX(C79,D79)=0,"",MIN(C79,D79)/MAX(C79,D79))))),"")</f>
        <v/>
      </c>
      <c r="F79" s="67"/>
      <c r="G79" s="67"/>
      <c r="H79" s="79" t="str">
        <f aca="false">IFERROR(IF(OR(F79="",G79=""),"",IF(Dashboard!$K$5="L",IF(G79=0,"",F79/G79),IF(Dashboard!$K$5="R",IF(F79=0,"",G79/F79),IF(MAX(F79,G79)=0,"",MIN(F79,G79)/MAX(F79,G79))))),"")</f>
        <v/>
      </c>
      <c r="I79" s="67"/>
      <c r="J79" s="67"/>
      <c r="K79" s="79" t="str">
        <f aca="false">IFERROR(IF(OR(I79="",J79=""),"",IF(Dashboard!$K$5="L",IF(J79=0,"",I79/J79),IF(Dashboard!$K$5="R",IF(I79=0,"",J79/I79),IF(MAX(I79,J79)=0,"",MIN(I79,J79)/MAX(I79,J79))))),"")</f>
        <v/>
      </c>
      <c r="L79" s="67"/>
      <c r="M79" s="67"/>
      <c r="N79" s="79" t="str">
        <f aca="false">IFERROR(IF(OR(L79="",M79=""),"",IF(Dashboard!$K$5="L",IF(M79=0,"",L79/M79),IF(Dashboard!$K$5="R",IF(L79=0,"",M79/L79),IF(MAX(L79,M79)=0,"",MIN(L79,M79)/MAX(L79,M79))))),"")</f>
        <v/>
      </c>
      <c r="O79" s="67"/>
      <c r="P79" s="67"/>
      <c r="Q79" s="79" t="str">
        <f aca="false">IFERROR(IF(OR(O79="",P79=""),"",IF(Dashboard!$K$5="L",IF(P79=0,"",O79/P79),IF(Dashboard!$K$5="R",IF(O79=0,"",P79/O79),IF(MAX(O79,P79)=0,"",MIN(O79,P79)/MAX(O79,P79))))),"")</f>
        <v/>
      </c>
      <c r="R79" s="67"/>
      <c r="S79" s="83"/>
      <c r="T79" s="84" t="str">
        <f aca="false">IFERROR(IF(OR(R79="",S79=""),"",IF(Dashboard!$K$5="L",IF(S79=0,"",R79/S79),IF(Dashboard!$K$5="R",IF(R79=0,"",S79/R79),IF(MAX(R79,S79)=0,"",MIN(R79,S79)/MAX(R79,S79))))),"")</f>
        <v/>
      </c>
      <c r="U79" s="67"/>
      <c r="V79" s="67"/>
      <c r="W79" s="79" t="str">
        <f aca="false">IFERROR(IF(OR(U79="",V79=""),"",IF(Dashboard!$K$5="L",IF(V79=0,"",U79/V79),IF(Dashboard!$K$5="R",IF(U79=0,"",V79/U79),IF(MAX(U79,V79)=0,"",MIN(U79,V79)/MAX(U79,V79))))),"")</f>
        <v/>
      </c>
      <c r="X79" s="67"/>
      <c r="Y79" s="83"/>
      <c r="Z79" s="84" t="str">
        <f aca="false">IFERROR(IF(OR(X79="",Y79=""),"",IF(Dashboard!$K$5="L",IF(Y79=0,"",X79/Y79),IF(Dashboard!$K$5="R",IF(X79=0,"",Y79/X79),IF(MAX(X79,Y79)=0,"",MIN(X79,Y79)/MAX(X79,Y79))))),"")</f>
        <v/>
      </c>
      <c r="AA79" s="58"/>
    </row>
    <row r="80" customFormat="false" ht="15" hidden="false" customHeight="false" outlineLevel="0" collapsed="false">
      <c r="A80" s="56"/>
      <c r="B80" s="57" t="str">
        <f aca="false">IF(A80="","",IF(Dashboard!$L$5="","",INT((A80-Dashboard!$L$5)/7)+1))</f>
        <v/>
      </c>
      <c r="C80" s="67"/>
      <c r="D80" s="83"/>
      <c r="E80" s="84" t="str">
        <f aca="false">IFERROR(IF(OR(C80="",D80=""),"",IF(Dashboard!$K$5="L",IF(D80=0,"",C80/D80),IF(Dashboard!$K$5="R",IF(C80=0,"",D80/C80),IF(MAX(C80,D80)=0,"",MIN(C80,D80)/MAX(C80,D80))))),"")</f>
        <v/>
      </c>
      <c r="F80" s="67"/>
      <c r="G80" s="67"/>
      <c r="H80" s="79" t="str">
        <f aca="false">IFERROR(IF(OR(F80="",G80=""),"",IF(Dashboard!$K$5="L",IF(G80=0,"",F80/G80),IF(Dashboard!$K$5="R",IF(F80=0,"",G80/F80),IF(MAX(F80,G80)=0,"",MIN(F80,G80)/MAX(F80,G80))))),"")</f>
        <v/>
      </c>
      <c r="I80" s="67"/>
      <c r="J80" s="67"/>
      <c r="K80" s="79" t="str">
        <f aca="false">IFERROR(IF(OR(I80="",J80=""),"",IF(Dashboard!$K$5="L",IF(J80=0,"",I80/J80),IF(Dashboard!$K$5="R",IF(I80=0,"",J80/I80),IF(MAX(I80,J80)=0,"",MIN(I80,J80)/MAX(I80,J80))))),"")</f>
        <v/>
      </c>
      <c r="L80" s="67"/>
      <c r="M80" s="67"/>
      <c r="N80" s="79" t="str">
        <f aca="false">IFERROR(IF(OR(L80="",M80=""),"",IF(Dashboard!$K$5="L",IF(M80=0,"",L80/M80),IF(Dashboard!$K$5="R",IF(L80=0,"",M80/L80),IF(MAX(L80,M80)=0,"",MIN(L80,M80)/MAX(L80,M80))))),"")</f>
        <v/>
      </c>
      <c r="O80" s="67"/>
      <c r="P80" s="67"/>
      <c r="Q80" s="79" t="str">
        <f aca="false">IFERROR(IF(OR(O80="",P80=""),"",IF(Dashboard!$K$5="L",IF(P80=0,"",O80/P80),IF(Dashboard!$K$5="R",IF(O80=0,"",P80/O80),IF(MAX(O80,P80)=0,"",MIN(O80,P80)/MAX(O80,P80))))),"")</f>
        <v/>
      </c>
      <c r="R80" s="67"/>
      <c r="S80" s="83"/>
      <c r="T80" s="84" t="str">
        <f aca="false">IFERROR(IF(OR(R80="",S80=""),"",IF(Dashboard!$K$5="L",IF(S80=0,"",R80/S80),IF(Dashboard!$K$5="R",IF(R80=0,"",S80/R80),IF(MAX(R80,S80)=0,"",MIN(R80,S80)/MAX(R80,S80))))),"")</f>
        <v/>
      </c>
      <c r="U80" s="67"/>
      <c r="V80" s="67"/>
      <c r="W80" s="79" t="str">
        <f aca="false">IFERROR(IF(OR(U80="",V80=""),"",IF(Dashboard!$K$5="L",IF(V80=0,"",U80/V80),IF(Dashboard!$K$5="R",IF(U80=0,"",V80/U80),IF(MAX(U80,V80)=0,"",MIN(U80,V80)/MAX(U80,V80))))),"")</f>
        <v/>
      </c>
      <c r="X80" s="67"/>
      <c r="Y80" s="83"/>
      <c r="Z80" s="84" t="str">
        <f aca="false">IFERROR(IF(OR(X80="",Y80=""),"",IF(Dashboard!$K$5="L",IF(Y80=0,"",X80/Y80),IF(Dashboard!$K$5="R",IF(X80=0,"",Y80/X80),IF(MAX(X80,Y80)=0,"",MIN(X80,Y80)/MAX(X80,Y80))))),"")</f>
        <v/>
      </c>
      <c r="AA80" s="58"/>
    </row>
    <row r="81" customFormat="false" ht="15" hidden="false" customHeight="false" outlineLevel="0" collapsed="false">
      <c r="A81" s="56"/>
      <c r="B81" s="57" t="str">
        <f aca="false">IF(A81="","",IF(Dashboard!$L$5="","",INT((A81-Dashboard!$L$5)/7)+1))</f>
        <v/>
      </c>
      <c r="C81" s="67"/>
      <c r="D81" s="83"/>
      <c r="E81" s="84" t="str">
        <f aca="false">IFERROR(IF(OR(C81="",D81=""),"",IF(Dashboard!$K$5="L",IF(D81=0,"",C81/D81),IF(Dashboard!$K$5="R",IF(C81=0,"",D81/C81),IF(MAX(C81,D81)=0,"",MIN(C81,D81)/MAX(C81,D81))))),"")</f>
        <v/>
      </c>
      <c r="F81" s="67"/>
      <c r="G81" s="67"/>
      <c r="H81" s="79" t="str">
        <f aca="false">IFERROR(IF(OR(F81="",G81=""),"",IF(Dashboard!$K$5="L",IF(G81=0,"",F81/G81),IF(Dashboard!$K$5="R",IF(F81=0,"",G81/F81),IF(MAX(F81,G81)=0,"",MIN(F81,G81)/MAX(F81,G81))))),"")</f>
        <v/>
      </c>
      <c r="I81" s="67"/>
      <c r="J81" s="67"/>
      <c r="K81" s="79" t="str">
        <f aca="false">IFERROR(IF(OR(I81="",J81=""),"",IF(Dashboard!$K$5="L",IF(J81=0,"",I81/J81),IF(Dashboard!$K$5="R",IF(I81=0,"",J81/I81),IF(MAX(I81,J81)=0,"",MIN(I81,J81)/MAX(I81,J81))))),"")</f>
        <v/>
      </c>
      <c r="L81" s="67"/>
      <c r="M81" s="67"/>
      <c r="N81" s="79" t="str">
        <f aca="false">IFERROR(IF(OR(L81="",M81=""),"",IF(Dashboard!$K$5="L",IF(M81=0,"",L81/M81),IF(Dashboard!$K$5="R",IF(L81=0,"",M81/L81),IF(MAX(L81,M81)=0,"",MIN(L81,M81)/MAX(L81,M81))))),"")</f>
        <v/>
      </c>
      <c r="O81" s="67"/>
      <c r="P81" s="67"/>
      <c r="Q81" s="79" t="str">
        <f aca="false">IFERROR(IF(OR(O81="",P81=""),"",IF(Dashboard!$K$5="L",IF(P81=0,"",O81/P81),IF(Dashboard!$K$5="R",IF(O81=0,"",P81/O81),IF(MAX(O81,P81)=0,"",MIN(O81,P81)/MAX(O81,P81))))),"")</f>
        <v/>
      </c>
      <c r="R81" s="67"/>
      <c r="S81" s="83"/>
      <c r="T81" s="84" t="str">
        <f aca="false">IFERROR(IF(OR(R81="",S81=""),"",IF(Dashboard!$K$5="L",IF(S81=0,"",R81/S81),IF(Dashboard!$K$5="R",IF(R81=0,"",S81/R81),IF(MAX(R81,S81)=0,"",MIN(R81,S81)/MAX(R81,S81))))),"")</f>
        <v/>
      </c>
      <c r="U81" s="67"/>
      <c r="V81" s="67"/>
      <c r="W81" s="79" t="str">
        <f aca="false">IFERROR(IF(OR(U81="",V81=""),"",IF(Dashboard!$K$5="L",IF(V81=0,"",U81/V81),IF(Dashboard!$K$5="R",IF(U81=0,"",V81/U81),IF(MAX(U81,V81)=0,"",MIN(U81,V81)/MAX(U81,V81))))),"")</f>
        <v/>
      </c>
      <c r="X81" s="67"/>
      <c r="Y81" s="83"/>
      <c r="Z81" s="84" t="str">
        <f aca="false">IFERROR(IF(OR(X81="",Y81=""),"",IF(Dashboard!$K$5="L",IF(Y81=0,"",X81/Y81),IF(Dashboard!$K$5="R",IF(X81=0,"",Y81/X81),IF(MAX(X81,Y81)=0,"",MIN(X81,Y81)/MAX(X81,Y81))))),"")</f>
        <v/>
      </c>
      <c r="AA81" s="58"/>
    </row>
    <row r="82" customFormat="false" ht="15" hidden="false" customHeight="false" outlineLevel="0" collapsed="false">
      <c r="A82" s="56"/>
      <c r="B82" s="57" t="str">
        <f aca="false">IF(A82="","",IF(Dashboard!$L$5="","",INT((A82-Dashboard!$L$5)/7)+1))</f>
        <v/>
      </c>
      <c r="C82" s="67"/>
      <c r="D82" s="83"/>
      <c r="E82" s="84" t="str">
        <f aca="false">IFERROR(IF(OR(C82="",D82=""),"",IF(Dashboard!$K$5="L",IF(D82=0,"",C82/D82),IF(Dashboard!$K$5="R",IF(C82=0,"",D82/C82),IF(MAX(C82,D82)=0,"",MIN(C82,D82)/MAX(C82,D82))))),"")</f>
        <v/>
      </c>
      <c r="F82" s="67"/>
      <c r="G82" s="67"/>
      <c r="H82" s="79" t="str">
        <f aca="false">IFERROR(IF(OR(F82="",G82=""),"",IF(Dashboard!$K$5="L",IF(G82=0,"",F82/G82),IF(Dashboard!$K$5="R",IF(F82=0,"",G82/F82),IF(MAX(F82,G82)=0,"",MIN(F82,G82)/MAX(F82,G82))))),"")</f>
        <v/>
      </c>
      <c r="I82" s="67"/>
      <c r="J82" s="67"/>
      <c r="K82" s="79" t="str">
        <f aca="false">IFERROR(IF(OR(I82="",J82=""),"",IF(Dashboard!$K$5="L",IF(J82=0,"",I82/J82),IF(Dashboard!$K$5="R",IF(I82=0,"",J82/I82),IF(MAX(I82,J82)=0,"",MIN(I82,J82)/MAX(I82,J82))))),"")</f>
        <v/>
      </c>
      <c r="L82" s="67"/>
      <c r="M82" s="67"/>
      <c r="N82" s="79" t="str">
        <f aca="false">IFERROR(IF(OR(L82="",M82=""),"",IF(Dashboard!$K$5="L",IF(M82=0,"",L82/M82),IF(Dashboard!$K$5="R",IF(L82=0,"",M82/L82),IF(MAX(L82,M82)=0,"",MIN(L82,M82)/MAX(L82,M82))))),"")</f>
        <v/>
      </c>
      <c r="O82" s="67"/>
      <c r="P82" s="67"/>
      <c r="Q82" s="79" t="str">
        <f aca="false">IFERROR(IF(OR(O82="",P82=""),"",IF(Dashboard!$K$5="L",IF(P82=0,"",O82/P82),IF(Dashboard!$K$5="R",IF(O82=0,"",P82/O82),IF(MAX(O82,P82)=0,"",MIN(O82,P82)/MAX(O82,P82))))),"")</f>
        <v/>
      </c>
      <c r="R82" s="67"/>
      <c r="S82" s="83"/>
      <c r="T82" s="84" t="str">
        <f aca="false">IFERROR(IF(OR(R82="",S82=""),"",IF(Dashboard!$K$5="L",IF(S82=0,"",R82/S82),IF(Dashboard!$K$5="R",IF(R82=0,"",S82/R82),IF(MAX(R82,S82)=0,"",MIN(R82,S82)/MAX(R82,S82))))),"")</f>
        <v/>
      </c>
      <c r="U82" s="67"/>
      <c r="V82" s="67"/>
      <c r="W82" s="79" t="str">
        <f aca="false">IFERROR(IF(OR(U82="",V82=""),"",IF(Dashboard!$K$5="L",IF(V82=0,"",U82/V82),IF(Dashboard!$K$5="R",IF(U82=0,"",V82/U82),IF(MAX(U82,V82)=0,"",MIN(U82,V82)/MAX(U82,V82))))),"")</f>
        <v/>
      </c>
      <c r="X82" s="67"/>
      <c r="Y82" s="83"/>
      <c r="Z82" s="84" t="str">
        <f aca="false">IFERROR(IF(OR(X82="",Y82=""),"",IF(Dashboard!$K$5="L",IF(Y82=0,"",X82/Y82),IF(Dashboard!$K$5="R",IF(X82=0,"",Y82/X82),IF(MAX(X82,Y82)=0,"",MIN(X82,Y82)/MAX(X82,Y82))))),"")</f>
        <v/>
      </c>
      <c r="AA82" s="58"/>
    </row>
    <row r="83" customFormat="false" ht="15" hidden="false" customHeight="false" outlineLevel="0" collapsed="false">
      <c r="A83" s="56"/>
      <c r="B83" s="57" t="str">
        <f aca="false">IF(A83="","",IF(Dashboard!$L$5="","",INT((A83-Dashboard!$L$5)/7)+1))</f>
        <v/>
      </c>
      <c r="C83" s="67"/>
      <c r="D83" s="83"/>
      <c r="E83" s="84" t="str">
        <f aca="false">IFERROR(IF(OR(C83="",D83=""),"",IF(Dashboard!$K$5="L",IF(D83=0,"",C83/D83),IF(Dashboard!$K$5="R",IF(C83=0,"",D83/C83),IF(MAX(C83,D83)=0,"",MIN(C83,D83)/MAX(C83,D83))))),"")</f>
        <v/>
      </c>
      <c r="F83" s="67"/>
      <c r="G83" s="67"/>
      <c r="H83" s="79" t="str">
        <f aca="false">IFERROR(IF(OR(F83="",G83=""),"",IF(Dashboard!$K$5="L",IF(G83=0,"",F83/G83),IF(Dashboard!$K$5="R",IF(F83=0,"",G83/F83),IF(MAX(F83,G83)=0,"",MIN(F83,G83)/MAX(F83,G83))))),"")</f>
        <v/>
      </c>
      <c r="I83" s="67"/>
      <c r="J83" s="67"/>
      <c r="K83" s="79" t="str">
        <f aca="false">IFERROR(IF(OR(I83="",J83=""),"",IF(Dashboard!$K$5="L",IF(J83=0,"",I83/J83),IF(Dashboard!$K$5="R",IF(I83=0,"",J83/I83),IF(MAX(I83,J83)=0,"",MIN(I83,J83)/MAX(I83,J83))))),"")</f>
        <v/>
      </c>
      <c r="L83" s="67"/>
      <c r="M83" s="67"/>
      <c r="N83" s="79" t="str">
        <f aca="false">IFERROR(IF(OR(L83="",M83=""),"",IF(Dashboard!$K$5="L",IF(M83=0,"",L83/M83),IF(Dashboard!$K$5="R",IF(L83=0,"",M83/L83),IF(MAX(L83,M83)=0,"",MIN(L83,M83)/MAX(L83,M83))))),"")</f>
        <v/>
      </c>
      <c r="O83" s="67"/>
      <c r="P83" s="67"/>
      <c r="Q83" s="79" t="str">
        <f aca="false">IFERROR(IF(OR(O83="",P83=""),"",IF(Dashboard!$K$5="L",IF(P83=0,"",O83/P83),IF(Dashboard!$K$5="R",IF(O83=0,"",P83/O83),IF(MAX(O83,P83)=0,"",MIN(O83,P83)/MAX(O83,P83))))),"")</f>
        <v/>
      </c>
      <c r="R83" s="67"/>
      <c r="S83" s="83"/>
      <c r="T83" s="84" t="str">
        <f aca="false">IFERROR(IF(OR(R83="",S83=""),"",IF(Dashboard!$K$5="L",IF(S83=0,"",R83/S83),IF(Dashboard!$K$5="R",IF(R83=0,"",S83/R83),IF(MAX(R83,S83)=0,"",MIN(R83,S83)/MAX(R83,S83))))),"")</f>
        <v/>
      </c>
      <c r="U83" s="67"/>
      <c r="V83" s="67"/>
      <c r="W83" s="79" t="str">
        <f aca="false">IFERROR(IF(OR(U83="",V83=""),"",IF(Dashboard!$K$5="L",IF(V83=0,"",U83/V83),IF(Dashboard!$K$5="R",IF(U83=0,"",V83/U83),IF(MAX(U83,V83)=0,"",MIN(U83,V83)/MAX(U83,V83))))),"")</f>
        <v/>
      </c>
      <c r="X83" s="67"/>
      <c r="Y83" s="83"/>
      <c r="Z83" s="84" t="str">
        <f aca="false">IFERROR(IF(OR(X83="",Y83=""),"",IF(Dashboard!$K$5="L",IF(Y83=0,"",X83/Y83),IF(Dashboard!$K$5="R",IF(X83=0,"",Y83/X83),IF(MAX(X83,Y83)=0,"",MIN(X83,Y83)/MAX(X83,Y83))))),"")</f>
        <v/>
      </c>
      <c r="AA83" s="58"/>
    </row>
    <row r="84" customFormat="false" ht="18" hidden="false" customHeight="true" outlineLevel="0" collapsed="false">
      <c r="A84" s="77" t="s">
        <v>151</v>
      </c>
      <c r="B84" s="77"/>
      <c r="C84" s="77" t="str">
        <f aca="false">IF(COUNT(C72:C83)=0,"",INDEX(C72:C83,SUMPRODUCT(MAX(ISNUMBER(C72:C83)*(($A$72:$A$83)=SUMPRODUCT(MAX(ISNUMBER(C72:C83)*($A$72:$A$83))))*(ROW(C72:C83)-ROW(C$72)+1)))))</f>
        <v/>
      </c>
      <c r="D84" s="77" t="str">
        <f aca="false">IF(COUNT(D72:D83)=0,"",INDEX(D72:D83,SUMPRODUCT(MAX(ISNUMBER(D72:D83)*(($A$72:$A$83)=SUMPRODUCT(MAX(ISNUMBER(D72:D83)*($A$72:$A$83))))*(ROW(D72:D83)-ROW(D$72)+1)))))</f>
        <v/>
      </c>
      <c r="E84" s="80" t="str">
        <f aca="false">IF(COUNT(E72:E83)=0,"",INDEX(E72:E83,SUMPRODUCT(MAX(ISNUMBER(E72:E83)*(($A$72:$A$83)=SUMPRODUCT(MAX(ISNUMBER(E72:E83)*($A$72:$A$83))))*(ROW(E72:E83)-ROW(E$72)+1)))))</f>
        <v/>
      </c>
      <c r="F84" s="77" t="str">
        <f aca="false">IF(COUNT(F72:F83)=0,"",INDEX(F72:F83,SUMPRODUCT(MAX(ISNUMBER(F72:F83)*(($A$72:$A$83)=SUMPRODUCT(MAX(ISNUMBER(F72:F83)*($A$72:$A$83))))*(ROW(F72:F83)-ROW(F$72)+1)))))</f>
        <v/>
      </c>
      <c r="G84" s="77" t="str">
        <f aca="false">IF(COUNT(G72:G83)=0,"",INDEX(G72:G83,SUMPRODUCT(MAX(ISNUMBER(G72:G83)*(($A$72:$A$83)=SUMPRODUCT(MAX(ISNUMBER(G72:G83)*($A$72:$A$83))))*(ROW(G72:G83)-ROW(G$72)+1)))))</f>
        <v/>
      </c>
      <c r="H84" s="80" t="str">
        <f aca="false">IF(COUNT(H72:H83)=0,"",INDEX(H72:H83,SUMPRODUCT(MAX(ISNUMBER(H72:H83)*(($A$72:$A$83)=SUMPRODUCT(MAX(ISNUMBER(H72:H83)*($A$72:$A$83))))*(ROW(H72:H83)-ROW(H$72)+1)))))</f>
        <v/>
      </c>
      <c r="I84" s="77" t="str">
        <f aca="false">IF(COUNT(I72:I83)=0,"",INDEX(I72:I83,SUMPRODUCT(MAX(ISNUMBER(I72:I83)*(($A$72:$A$83)=SUMPRODUCT(MAX(ISNUMBER(I72:I83)*($A$72:$A$83))))*(ROW(I72:I83)-ROW(I$72)+1)))))</f>
        <v/>
      </c>
      <c r="J84" s="77" t="str">
        <f aca="false">IF(COUNT(J72:J83)=0,"",INDEX(J72:J83,SUMPRODUCT(MAX(ISNUMBER(J72:J83)*(($A$72:$A$83)=SUMPRODUCT(MAX(ISNUMBER(J72:J83)*($A$72:$A$83))))*(ROW(J72:J83)-ROW(J$72)+1)))))</f>
        <v/>
      </c>
      <c r="K84" s="80" t="str">
        <f aca="false">IF(COUNT(K72:K83)=0,"",INDEX(K72:K83,SUMPRODUCT(MAX(ISNUMBER(K72:K83)*(($A$72:$A$83)=SUMPRODUCT(MAX(ISNUMBER(K72:K83)*($A$72:$A$83))))*(ROW(K72:K83)-ROW(K$72)+1)))))</f>
        <v/>
      </c>
      <c r="L84" s="77" t="str">
        <f aca="false">IF(COUNT(L72:L83)=0,"",INDEX(L72:L83,SUMPRODUCT(MAX(ISNUMBER(L72:L83)*(($A$72:$A$83)=SUMPRODUCT(MAX(ISNUMBER(L72:L83)*($A$72:$A$83))))*(ROW(L72:L83)-ROW(L$72)+1)))))</f>
        <v/>
      </c>
      <c r="M84" s="77" t="str">
        <f aca="false">IF(COUNT(M72:M83)=0,"",INDEX(M72:M83,SUMPRODUCT(MAX(ISNUMBER(M72:M83)*(($A$72:$A$83)=SUMPRODUCT(MAX(ISNUMBER(M72:M83)*($A$72:$A$83))))*(ROW(M72:M83)-ROW(M$72)+1)))))</f>
        <v/>
      </c>
      <c r="N84" s="80" t="str">
        <f aca="false">IF(COUNT(N72:N83)=0,"",INDEX(N72:N83,SUMPRODUCT(MAX(ISNUMBER(N72:N83)*(($A$72:$A$83)=SUMPRODUCT(MAX(ISNUMBER(N72:N83)*($A$72:$A$83))))*(ROW(N72:N83)-ROW(N$72)+1)))))</f>
        <v/>
      </c>
      <c r="O84" s="77" t="str">
        <f aca="false">IF(COUNT(O72:O83)=0,"",INDEX(O72:O83,SUMPRODUCT(MAX(ISNUMBER(O72:O83)*(($A$72:$A$83)=SUMPRODUCT(MAX(ISNUMBER(O72:O83)*($A$72:$A$83))))*(ROW(O72:O83)-ROW(O$72)+1)))))</f>
        <v/>
      </c>
      <c r="P84" s="77" t="str">
        <f aca="false">IF(COUNT(P72:P83)=0,"",INDEX(P72:P83,SUMPRODUCT(MAX(ISNUMBER(P72:P83)*(($A$72:$A$83)=SUMPRODUCT(MAX(ISNUMBER(P72:P83)*($A$72:$A$83))))*(ROW(P72:P83)-ROW(P$72)+1)))))</f>
        <v/>
      </c>
      <c r="Q84" s="80" t="str">
        <f aca="false">IF(COUNT(Q72:Q83)=0,"",INDEX(Q72:Q83,SUMPRODUCT(MAX(ISNUMBER(Q72:Q83)*(($A$72:$A$83)=SUMPRODUCT(MAX(ISNUMBER(Q72:Q83)*($A$72:$A$83))))*(ROW(Q72:Q83)-ROW(Q$72)+1)))))</f>
        <v/>
      </c>
      <c r="R84" s="77" t="str">
        <f aca="false">IF(COUNT(R72:R83)=0,"",INDEX(R72:R83,SUMPRODUCT(MAX(ISNUMBER(R72:R83)*(($A$72:$A$83)=SUMPRODUCT(MAX(ISNUMBER(R72:R83)*($A$72:$A$83))))*(ROW(R72:R83)-ROW(R$72)+1)))))</f>
        <v/>
      </c>
      <c r="S84" s="77" t="str">
        <f aca="false">IF(COUNT(S72:S83)=0,"",INDEX(S72:S83,SUMPRODUCT(MAX(ISNUMBER(S72:S83)*(($A$72:$A$83)=SUMPRODUCT(MAX(ISNUMBER(S72:S83)*($A$72:$A$83))))*(ROW(S72:S83)-ROW(S$72)+1)))))</f>
        <v/>
      </c>
      <c r="T84" s="80" t="str">
        <f aca="false">IF(COUNT(T72:T83)=0,"",INDEX(T72:T83,SUMPRODUCT(MAX(ISNUMBER(T72:T83)*(($A$72:$A$83)=SUMPRODUCT(MAX(ISNUMBER(T72:T83)*($A$72:$A$83))))*(ROW(T72:T83)-ROW(T$72)+1)))))</f>
        <v/>
      </c>
      <c r="U84" s="77" t="str">
        <f aca="false">IF(COUNT(U72:U83)=0,"",INDEX(U72:U83,SUMPRODUCT(MAX(ISNUMBER(U72:U83)*(($A$72:$A$83)=SUMPRODUCT(MAX(ISNUMBER(U72:U83)*($A$72:$A$83))))*(ROW(U72:U83)-ROW(U$72)+1)))))</f>
        <v/>
      </c>
      <c r="V84" s="77" t="str">
        <f aca="false">IF(COUNT(V72:V83)=0,"",INDEX(V72:V83,SUMPRODUCT(MAX(ISNUMBER(V72:V83)*(($A$72:$A$83)=SUMPRODUCT(MAX(ISNUMBER(V72:V83)*($A$72:$A$83))))*(ROW(V72:V83)-ROW(V$72)+1)))))</f>
        <v/>
      </c>
      <c r="W84" s="80" t="str">
        <f aca="false">IF(COUNT(W72:W83)=0,"",INDEX(W72:W83,SUMPRODUCT(MAX(ISNUMBER(W72:W83)*(($A$72:$A$83)=SUMPRODUCT(MAX(ISNUMBER(W72:W83)*($A$72:$A$83))))*(ROW(W72:W83)-ROW(W$72)+1)))))</f>
        <v/>
      </c>
      <c r="X84" s="77" t="str">
        <f aca="false">IF(COUNT(X72:X83)=0,"",INDEX(X72:X83,SUMPRODUCT(MAX(ISNUMBER(X72:X83)*(($A$72:$A$83)=SUMPRODUCT(MAX(ISNUMBER(X72:X83)*($A$72:$A$83))))*(ROW(X72:X83)-ROW(X$72)+1)))))</f>
        <v/>
      </c>
      <c r="Y84" s="77" t="str">
        <f aca="false">IF(COUNT(Y72:Y83)=0,"",INDEX(Y72:Y83,SUMPRODUCT(MAX(ISNUMBER(Y72:Y83)*(($A$72:$A$83)=SUMPRODUCT(MAX(ISNUMBER(Y72:Y83)*($A$72:$A$83))))*(ROW(Y72:Y83)-ROW(Y$72)+1)))))</f>
        <v/>
      </c>
      <c r="Z84" s="80" t="str">
        <f aca="false">IF(COUNT(Z72:Z83)=0,"",INDEX(Z72:Z83,SUMPRODUCT(MAX(ISNUMBER(Z72:Z83)*(($A$72:$A$83)=SUMPRODUCT(MAX(ISNUMBER(Z72:Z83)*($A$72:$A$83))))*(ROW(Z72:Z83)-ROW(Z$72)+1)))))</f>
        <v/>
      </c>
      <c r="AA84" s="81" t="s">
        <v>152</v>
      </c>
    </row>
    <row r="85" customFormat="false" ht="15" hidden="false" customHeight="true" outlineLevel="0" collapsed="false">
      <c r="A85" s="65" t="s">
        <v>153</v>
      </c>
      <c r="B85" s="65"/>
      <c r="C85" s="70" t="str">
        <f aca="false">IF(OR(COUNT(C72:C83)=0,SUMPRODUCT(MAX(ISNUMBER(C72:C83)*($A$72:$A$83)))=0),"",SUMPRODUCT(MAX(ISNUMBER(C72:C83)*($A$72:$A$83))))</f>
        <v/>
      </c>
      <c r="D85" s="70"/>
      <c r="E85" s="70"/>
      <c r="F85" s="70" t="str">
        <f aca="false">IF(OR(COUNT(F72:F83)=0,SUMPRODUCT(MAX(ISNUMBER(F72:F83)*($A$72:$A$83)))=0),"",SUMPRODUCT(MAX(ISNUMBER(F72:F83)*($A$72:$A$83))))</f>
        <v/>
      </c>
      <c r="G85" s="70"/>
      <c r="H85" s="70"/>
      <c r="I85" s="70" t="str">
        <f aca="false">IF(OR(COUNT(I72:I83)=0,SUMPRODUCT(MAX(ISNUMBER(I72:I83)*($A$72:$A$83)))=0),"",SUMPRODUCT(MAX(ISNUMBER(I72:I83)*($A$72:$A$83))))</f>
        <v/>
      </c>
      <c r="J85" s="70"/>
      <c r="K85" s="70"/>
      <c r="L85" s="70" t="str">
        <f aca="false">IF(OR(COUNT(L72:L83)=0,SUMPRODUCT(MAX(ISNUMBER(L72:L83)*($A$72:$A$83)))=0),"",SUMPRODUCT(MAX(ISNUMBER(L72:L83)*($A$72:$A$83))))</f>
        <v/>
      </c>
      <c r="M85" s="70"/>
      <c r="N85" s="70"/>
      <c r="O85" s="70" t="str">
        <f aca="false">IF(OR(COUNT(O72:O83)=0,SUMPRODUCT(MAX(ISNUMBER(O72:O83)*($A$72:$A$83)))=0),"",SUMPRODUCT(MAX(ISNUMBER(O72:O83)*($A$72:$A$83))))</f>
        <v/>
      </c>
      <c r="P85" s="70"/>
      <c r="Q85" s="70"/>
      <c r="R85" s="70" t="str">
        <f aca="false">IF(OR(COUNT(R72:R83)=0,SUMPRODUCT(MAX(ISNUMBER(R72:R83)*($A$72:$A$83)))=0),"",SUMPRODUCT(MAX(ISNUMBER(R72:R83)*($A$72:$A$83))))</f>
        <v/>
      </c>
      <c r="S85" s="70"/>
      <c r="T85" s="70"/>
      <c r="U85" s="70" t="str">
        <f aca="false">IF(OR(COUNT(U72:U83)=0,SUMPRODUCT(MAX(ISNUMBER(U72:U83)*($A$72:$A$83)))=0),"",SUMPRODUCT(MAX(ISNUMBER(U72:U83)*($A$72:$A$83))))</f>
        <v/>
      </c>
      <c r="V85" s="70"/>
      <c r="W85" s="70"/>
      <c r="X85" s="70" t="str">
        <f aca="false">IF(OR(COUNT(X72:X83)=0,SUMPRODUCT(MAX(ISNUMBER(X72:X83)*($A$72:$A$83)))=0),"",SUMPRODUCT(MAX(ISNUMBER(X72:X83)*($A$72:$A$83))))</f>
        <v/>
      </c>
      <c r="Y85" s="70"/>
      <c r="Z85" s="70"/>
      <c r="AA85" s="82"/>
    </row>
    <row r="87" customFormat="false" ht="15" hidden="false" customHeight="true" outlineLevel="0" collapsed="false">
      <c r="A87" s="54" t="s">
        <v>168</v>
      </c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</row>
    <row r="107" customFormat="false" ht="19.5" hidden="false" customHeight="true" outlineLevel="0" collapsed="false">
      <c r="A107" s="62" t="s">
        <v>169</v>
      </c>
      <c r="B107" s="62"/>
      <c r="C107" s="62"/>
      <c r="D107" s="62"/>
      <c r="E107" s="62"/>
      <c r="F107" s="62"/>
      <c r="G107" s="62"/>
      <c r="H107" s="62"/>
      <c r="I107" s="62"/>
      <c r="J107" s="62"/>
    </row>
    <row r="108" customFormat="false" ht="18" hidden="false" customHeight="true" outlineLevel="0" collapsed="false">
      <c r="A108" s="33" t="s">
        <v>170</v>
      </c>
      <c r="B108" s="33" t="s">
        <v>46</v>
      </c>
      <c r="C108" s="33" t="s">
        <v>47</v>
      </c>
      <c r="D108" s="33"/>
      <c r="E108" s="33" t="s">
        <v>171</v>
      </c>
      <c r="F108" s="33" t="s">
        <v>172</v>
      </c>
      <c r="G108" s="33" t="s">
        <v>173</v>
      </c>
      <c r="H108" s="33" t="s">
        <v>174</v>
      </c>
      <c r="I108" s="33" t="s">
        <v>175</v>
      </c>
      <c r="J108" s="33" t="s">
        <v>52</v>
      </c>
      <c r="K108" s="33" t="s">
        <v>176</v>
      </c>
      <c r="L108" s="33" t="s">
        <v>177</v>
      </c>
    </row>
    <row r="109" customFormat="false" ht="13.5" hidden="false" customHeight="true" outlineLevel="0" collapsed="false">
      <c r="A109" s="57" t="n">
        <v>1</v>
      </c>
      <c r="B109" s="73" t="s">
        <v>178</v>
      </c>
      <c r="C109" s="73" t="str">
        <f aca="false">C34</f>
        <v>Ankle DF Knee-to-Wall (cm)</v>
      </c>
      <c r="D109" s="73"/>
      <c r="E109" s="85" t="b">
        <f aca="false">AND(C109&lt;&gt;"",LEFT(C109,1)&lt;&gt;"(")</f>
        <v>1</v>
      </c>
      <c r="F109" s="57" t="n">
        <f aca="false">IF(E109,COUNTIF($E$109:E109,TRUE()),"")</f>
        <v>1</v>
      </c>
      <c r="G109" s="57" t="str">
        <f aca="false">C48</f>
        <v/>
      </c>
      <c r="H109" s="57" t="str">
        <f aca="false">D48</f>
        <v/>
      </c>
      <c r="I109" s="86" t="str">
        <f aca="false">E48</f>
        <v/>
      </c>
      <c r="J109" s="87" t="str">
        <f aca="false">C49</f>
        <v/>
      </c>
      <c r="K109" s="57" t="str">
        <f aca="false">IFERROR(IF(COUNT($E$36:$E$47)&lt;2,"",TEXT((E48-INDEX($E$36:$E$47,SUMPRODUCT(MAX(ISNUMBER($E$36:$E$47)*(($A$36:$A$47)=SUMPRODUCT(LARGE(ISNUMBER($E$36:$E$47)*($A$36:$A$47),2)))*(ROW($E$36:$E$47)-ROW($E$36)+1)))))*100,"+0;-0;0")&amp;" pts"),"")</f>
        <v/>
      </c>
      <c r="L109" s="73" t="s">
        <v>107</v>
      </c>
    </row>
    <row r="110" customFormat="false" ht="13.5" hidden="false" customHeight="true" outlineLevel="0" collapsed="false">
      <c r="A110" s="57" t="n">
        <v>2</v>
      </c>
      <c r="B110" s="73" t="s">
        <v>178</v>
      </c>
      <c r="C110" s="73" t="str">
        <f aca="false">F34</f>
        <v>Ankle Plantarflexion (°)</v>
      </c>
      <c r="D110" s="73"/>
      <c r="E110" s="85" t="b">
        <f aca="false">AND(C110&lt;&gt;"",LEFT(C110,1)&lt;&gt;"(")</f>
        <v>1</v>
      </c>
      <c r="F110" s="57" t="n">
        <f aca="false">IF(E110,COUNTIF($E$109:E110,TRUE()),"")</f>
        <v>2</v>
      </c>
      <c r="G110" s="57" t="str">
        <f aca="false">F48</f>
        <v/>
      </c>
      <c r="H110" s="57" t="str">
        <f aca="false">G48</f>
        <v/>
      </c>
      <c r="I110" s="86" t="str">
        <f aca="false">H48</f>
        <v/>
      </c>
      <c r="J110" s="87" t="str">
        <f aca="false">F49</f>
        <v/>
      </c>
      <c r="K110" s="57" t="str">
        <f aca="false">IFERROR(IF(COUNT($H$36:$H$47)&lt;2,"",TEXT((H48-INDEX($H$36:$H$47,SUMPRODUCT(MAX(ISNUMBER($H$36:$H$47)*(($A$36:$A$47)=SUMPRODUCT(LARGE(ISNUMBER($H$36:$H$47)*($A$36:$A$47),2)))*(ROW($H$36:$H$47)-ROW($H$36)+1)))))*100,"+0;-0;0")&amp;" pts"),"")</f>
        <v/>
      </c>
      <c r="L110" s="73" t="s">
        <v>130</v>
      </c>
    </row>
    <row r="111" customFormat="false" ht="13.5" hidden="false" customHeight="true" outlineLevel="0" collapsed="false">
      <c r="A111" s="57" t="n">
        <v>3</v>
      </c>
      <c r="B111" s="73" t="s">
        <v>178</v>
      </c>
      <c r="C111" s="73" t="str">
        <f aca="false">I34</f>
        <v>Inversion (°)</v>
      </c>
      <c r="D111" s="73"/>
      <c r="E111" s="85" t="b">
        <f aca="false">AND(C111&lt;&gt;"",LEFT(C111,1)&lt;&gt;"(")</f>
        <v>1</v>
      </c>
      <c r="F111" s="57" t="n">
        <f aca="false">IF(E111,COUNTIF($E$109:E111,TRUE()),"")</f>
        <v>3</v>
      </c>
      <c r="G111" s="57" t="str">
        <f aca="false">I48</f>
        <v/>
      </c>
      <c r="H111" s="57" t="str">
        <f aca="false">J48</f>
        <v/>
      </c>
      <c r="I111" s="86" t="str">
        <f aca="false">K48</f>
        <v/>
      </c>
      <c r="J111" s="87" t="str">
        <f aca="false">I49</f>
        <v/>
      </c>
      <c r="K111" s="57" t="str">
        <f aca="false">IFERROR(IF(COUNT($K$36:$K$47)&lt;2,"",TEXT((K48-INDEX($K$36:$K$47,SUMPRODUCT(MAX(ISNUMBER($K$36:$K$47)*(($A$36:$A$47)=SUMPRODUCT(LARGE(ISNUMBER($K$36:$K$47)*($A$36:$A$47),2)))*(ROW($K$36:$K$47)-ROW($K$36)+1)))))*100,"+0;-0;0")&amp;" pts"),"")</f>
        <v/>
      </c>
      <c r="L111" s="73" t="s">
        <v>132</v>
      </c>
    </row>
    <row r="112" customFormat="false" ht="13.5" hidden="false" customHeight="true" outlineLevel="0" collapsed="false">
      <c r="A112" s="57" t="n">
        <v>4</v>
      </c>
      <c r="B112" s="73" t="s">
        <v>178</v>
      </c>
      <c r="C112" s="73" t="str">
        <f aca="false">L34</f>
        <v>Eversion (°)</v>
      </c>
      <c r="D112" s="73"/>
      <c r="E112" s="85" t="b">
        <f aca="false">AND(C112&lt;&gt;"",LEFT(C112,1)&lt;&gt;"(")</f>
        <v>1</v>
      </c>
      <c r="F112" s="57" t="n">
        <f aca="false">IF(E112,COUNTIF($E$109:E112,TRUE()),"")</f>
        <v>4</v>
      </c>
      <c r="G112" s="57" t="str">
        <f aca="false">L48</f>
        <v/>
      </c>
      <c r="H112" s="57" t="str">
        <f aca="false">M48</f>
        <v/>
      </c>
      <c r="I112" s="86" t="str">
        <f aca="false">N48</f>
        <v/>
      </c>
      <c r="J112" s="87" t="str">
        <f aca="false">L49</f>
        <v/>
      </c>
      <c r="K112" s="57" t="str">
        <f aca="false">IFERROR(IF(COUNT($N$36:$N$47)&lt;2,"",TEXT((N48-INDEX($N$36:$N$47,SUMPRODUCT(MAX(ISNUMBER($N$36:$N$47)*(($A$36:$A$47)=SUMPRODUCT(LARGE(ISNUMBER($N$36:$N$47)*($A$36:$A$47),2)))*(ROW($N$36:$N$47)-ROW($N$36)+1)))))*100,"+0;-0;0")&amp;" pts"),"")</f>
        <v/>
      </c>
      <c r="L112" s="73" t="s">
        <v>137</v>
      </c>
    </row>
    <row r="113" customFormat="false" ht="13.5" hidden="false" customHeight="true" outlineLevel="0" collapsed="false">
      <c r="A113" s="57" t="n">
        <v>5</v>
      </c>
      <c r="B113" s="73" t="s">
        <v>178</v>
      </c>
      <c r="C113" s="73" t="str">
        <f aca="false">O34</f>
        <v>(spare slot — rename)</v>
      </c>
      <c r="D113" s="73"/>
      <c r="E113" s="85" t="b">
        <f aca="false">AND(C113&lt;&gt;"",LEFT(C113,1)&lt;&gt;"(")</f>
        <v>0</v>
      </c>
      <c r="F113" s="57" t="str">
        <f aca="false">IF(E113,COUNTIF($E$109:E113,TRUE()),"")</f>
        <v/>
      </c>
      <c r="G113" s="57" t="str">
        <f aca="false">O48</f>
        <v/>
      </c>
      <c r="H113" s="57" t="str">
        <f aca="false">P48</f>
        <v/>
      </c>
      <c r="I113" s="86" t="str">
        <f aca="false">Q48</f>
        <v/>
      </c>
      <c r="J113" s="87" t="str">
        <f aca="false">O49</f>
        <v/>
      </c>
      <c r="K113" s="57" t="str">
        <f aca="false">IFERROR(IF(COUNT($Q$36:$Q$47)&lt;2,"",TEXT((Q48-INDEX($Q$36:$Q$47,SUMPRODUCT(MAX(ISNUMBER($Q$36:$Q$47)*(($A$36:$A$47)=SUMPRODUCT(LARGE(ISNUMBER($Q$36:$Q$47)*($A$36:$A$47),2)))*(ROW($Q$36:$Q$47)-ROW($Q$36)+1)))))*100,"+0;-0;0")&amp;" pts"),"")</f>
        <v/>
      </c>
      <c r="L113" s="73" t="s">
        <v>179</v>
      </c>
    </row>
    <row r="114" customFormat="false" ht="13.5" hidden="false" customHeight="true" outlineLevel="0" collapsed="false">
      <c r="A114" s="57" t="n">
        <v>6</v>
      </c>
      <c r="B114" s="73" t="s">
        <v>178</v>
      </c>
      <c r="C114" s="73" t="str">
        <f aca="false">R34</f>
        <v>(spare slot — rename)</v>
      </c>
      <c r="D114" s="73"/>
      <c r="E114" s="85" t="b">
        <f aca="false">AND(C114&lt;&gt;"",LEFT(C114,1)&lt;&gt;"(")</f>
        <v>0</v>
      </c>
      <c r="F114" s="57" t="str">
        <f aca="false">IF(E114,COUNTIF($E$109:E114,TRUE()),"")</f>
        <v/>
      </c>
      <c r="G114" s="57" t="str">
        <f aca="false">R48</f>
        <v/>
      </c>
      <c r="H114" s="57" t="str">
        <f aca="false">S48</f>
        <v/>
      </c>
      <c r="I114" s="86" t="str">
        <f aca="false">T48</f>
        <v/>
      </c>
      <c r="J114" s="87" t="str">
        <f aca="false">R49</f>
        <v/>
      </c>
      <c r="K114" s="57" t="str">
        <f aca="false">IFERROR(IF(COUNT($T$36:$T$47)&lt;2,"",TEXT((T48-INDEX($T$36:$T$47,SUMPRODUCT(MAX(ISNUMBER($T$36:$T$47)*(($A$36:$A$47)=SUMPRODUCT(LARGE(ISNUMBER($T$36:$T$47)*($A$36:$A$47),2)))*(ROW($T$36:$T$47)-ROW($T$36)+1)))))*100,"+0;-0;0")&amp;" pts"),"")</f>
        <v/>
      </c>
      <c r="L114" s="73" t="s">
        <v>180</v>
      </c>
    </row>
    <row r="115" customFormat="false" ht="13.5" hidden="false" customHeight="true" outlineLevel="0" collapsed="false">
      <c r="A115" s="57" t="n">
        <v>7</v>
      </c>
      <c r="B115" s="73" t="s">
        <v>178</v>
      </c>
      <c r="C115" s="73" t="str">
        <f aca="false">U34</f>
        <v>(spare slot — rename)</v>
      </c>
      <c r="D115" s="73"/>
      <c r="E115" s="85" t="b">
        <f aca="false">AND(C115&lt;&gt;"",LEFT(C115,1)&lt;&gt;"(")</f>
        <v>0</v>
      </c>
      <c r="F115" s="57" t="str">
        <f aca="false">IF(E115,COUNTIF($E$109:E115,TRUE()),"")</f>
        <v/>
      </c>
      <c r="G115" s="57" t="str">
        <f aca="false">U48</f>
        <v/>
      </c>
      <c r="H115" s="57" t="str">
        <f aca="false">V48</f>
        <v/>
      </c>
      <c r="I115" s="86" t="str">
        <f aca="false">W48</f>
        <v/>
      </c>
      <c r="J115" s="87" t="str">
        <f aca="false">U49</f>
        <v/>
      </c>
      <c r="K115" s="57" t="str">
        <f aca="false">IFERROR(IF(COUNT($W$36:$W$47)&lt;2,"",TEXT((W48-INDEX($W$36:$W$47,SUMPRODUCT(MAX(ISNUMBER($W$36:$W$47)*(($A$36:$A$47)=SUMPRODUCT(LARGE(ISNUMBER($W$36:$W$47)*($A$36:$A$47),2)))*(ROW($W$36:$W$47)-ROW($W$36)+1)))))*100,"+0;-0;0")&amp;" pts"),"")</f>
        <v/>
      </c>
      <c r="L115" s="73" t="s">
        <v>181</v>
      </c>
    </row>
    <row r="116" customFormat="false" ht="13.5" hidden="false" customHeight="true" outlineLevel="0" collapsed="false">
      <c r="A116" s="57" t="n">
        <v>8</v>
      </c>
      <c r="B116" s="73" t="s">
        <v>178</v>
      </c>
      <c r="C116" s="73" t="str">
        <f aca="false">X34</f>
        <v>(spare slot — rename)</v>
      </c>
      <c r="D116" s="73"/>
      <c r="E116" s="85" t="b">
        <f aca="false">AND(C116&lt;&gt;"",LEFT(C116,1)&lt;&gt;"(")</f>
        <v>0</v>
      </c>
      <c r="F116" s="57" t="str">
        <f aca="false">IF(E116,COUNTIF($E$109:E116,TRUE()),"")</f>
        <v/>
      </c>
      <c r="G116" s="57" t="str">
        <f aca="false">X48</f>
        <v/>
      </c>
      <c r="H116" s="57" t="str">
        <f aca="false">Y48</f>
        <v/>
      </c>
      <c r="I116" s="86" t="str">
        <f aca="false">Z48</f>
        <v/>
      </c>
      <c r="J116" s="87" t="str">
        <f aca="false">X49</f>
        <v/>
      </c>
      <c r="K116" s="57" t="str">
        <f aca="false">IFERROR(IF(COUNT($Z$36:$Z$47)&lt;2,"",TEXT((Z48-INDEX($Z$36:$Z$47,SUMPRODUCT(MAX(ISNUMBER($Z$36:$Z$47)*(($A$36:$A$47)=SUMPRODUCT(LARGE(ISNUMBER($Z$36:$Z$47)*($A$36:$A$47),2)))*(ROW($Z$36:$Z$47)-ROW($Z$36)+1)))))*100,"+0;-0;0")&amp;" pts"),"")</f>
        <v/>
      </c>
      <c r="L116" s="73" t="str">
        <f aca="false">C109</f>
        <v>Ankle DF Knee-to-Wall (cm)</v>
      </c>
    </row>
    <row r="117" customFormat="false" ht="13.5" hidden="false" customHeight="true" outlineLevel="0" collapsed="false">
      <c r="A117" s="57" t="n">
        <v>9</v>
      </c>
      <c r="B117" s="73" t="s">
        <v>182</v>
      </c>
      <c r="C117" s="73" t="str">
        <f aca="false">C52</f>
        <v>SL Heel Raise (reps)</v>
      </c>
      <c r="D117" s="73"/>
      <c r="E117" s="85" t="b">
        <f aca="false">AND(C117&lt;&gt;"",LEFT(C117,1)&lt;&gt;"(")</f>
        <v>1</v>
      </c>
      <c r="F117" s="57" t="n">
        <f aca="false">IF(E117,COUNTIF($E$109:E117,TRUE()),"")</f>
        <v>5</v>
      </c>
      <c r="G117" s="57" t="str">
        <f aca="false">C66</f>
        <v/>
      </c>
      <c r="H117" s="57" t="str">
        <f aca="false">D66</f>
        <v/>
      </c>
      <c r="I117" s="86" t="str">
        <f aca="false">E66</f>
        <v/>
      </c>
      <c r="J117" s="87" t="str">
        <f aca="false">C67</f>
        <v/>
      </c>
      <c r="K117" s="57" t="str">
        <f aca="false">IFERROR(IF(COUNT($E$54:$E$65)&lt;2,"",TEXT((E66-INDEX($E$54:$E$65,SUMPRODUCT(MAX(ISNUMBER($E$54:$E$65)*(($A$54:$A$65)=SUMPRODUCT(LARGE(ISNUMBER($E$54:$E$65)*($A$54:$A$65),2)))*(ROW($E$54:$E$65)-ROW($E$54)+1)))))*100,"+0;-0;0")&amp;" pts"),"")</f>
        <v/>
      </c>
      <c r="L117" s="73" t="str">
        <f aca="false">C110</f>
        <v>Ankle Plantarflexion (°)</v>
      </c>
    </row>
    <row r="118" customFormat="false" ht="13.5" hidden="false" customHeight="true" outlineLevel="0" collapsed="false">
      <c r="A118" s="57" t="n">
        <v>10</v>
      </c>
      <c r="B118" s="73" t="s">
        <v>182</v>
      </c>
      <c r="C118" s="73" t="str">
        <f aca="false">F52</f>
        <v>Iso Plantarflexion (N)</v>
      </c>
      <c r="D118" s="73"/>
      <c r="E118" s="85" t="b">
        <f aca="false">AND(C118&lt;&gt;"",LEFT(C118,1)&lt;&gt;"(")</f>
        <v>1</v>
      </c>
      <c r="F118" s="57" t="n">
        <f aca="false">IF(E118,COUNTIF($E$109:E118,TRUE()),"")</f>
        <v>6</v>
      </c>
      <c r="G118" s="57" t="str">
        <f aca="false">F66</f>
        <v/>
      </c>
      <c r="H118" s="57" t="str">
        <f aca="false">G66</f>
        <v/>
      </c>
      <c r="I118" s="86" t="str">
        <f aca="false">H66</f>
        <v/>
      </c>
      <c r="J118" s="87" t="str">
        <f aca="false">F67</f>
        <v/>
      </c>
      <c r="K118" s="57" t="str">
        <f aca="false">IFERROR(IF(COUNT($H$54:$H$65)&lt;2,"",TEXT((H66-INDEX($H$54:$H$65,SUMPRODUCT(MAX(ISNUMBER($H$54:$H$65)*(($A$54:$A$65)=SUMPRODUCT(LARGE(ISNUMBER($H$54:$H$65)*($A$54:$A$65),2)))*(ROW($H$54:$H$65)-ROW($H$54)+1)))))*100,"+0;-0;0")&amp;" pts"),"")</f>
        <v/>
      </c>
      <c r="L118" s="73" t="str">
        <f aca="false">C111</f>
        <v>Inversion (°)</v>
      </c>
    </row>
    <row r="119" customFormat="false" ht="13.5" hidden="false" customHeight="true" outlineLevel="0" collapsed="false">
      <c r="A119" s="57" t="n">
        <v>11</v>
      </c>
      <c r="B119" s="73" t="s">
        <v>182</v>
      </c>
      <c r="C119" s="73" t="str">
        <f aca="false">I52</f>
        <v>Iso Inversion (N)</v>
      </c>
      <c r="D119" s="73"/>
      <c r="E119" s="85" t="b">
        <f aca="false">AND(C119&lt;&gt;"",LEFT(C119,1)&lt;&gt;"(")</f>
        <v>1</v>
      </c>
      <c r="F119" s="57" t="n">
        <f aca="false">IF(E119,COUNTIF($E$109:E119,TRUE()),"")</f>
        <v>7</v>
      </c>
      <c r="G119" s="57" t="str">
        <f aca="false">I66</f>
        <v/>
      </c>
      <c r="H119" s="57" t="str">
        <f aca="false">J66</f>
        <v/>
      </c>
      <c r="I119" s="86" t="str">
        <f aca="false">K66</f>
        <v/>
      </c>
      <c r="J119" s="87" t="str">
        <f aca="false">I67</f>
        <v/>
      </c>
      <c r="K119" s="57" t="str">
        <f aca="false">IFERROR(IF(COUNT($K$54:$K$65)&lt;2,"",TEXT((K66-INDEX($K$54:$K$65,SUMPRODUCT(MAX(ISNUMBER($K$54:$K$65)*(($A$54:$A$65)=SUMPRODUCT(LARGE(ISNUMBER($K$54:$K$65)*($A$54:$A$65),2)))*(ROW($K$54:$K$65)-ROW($K$54)+1)))))*100,"+0;-0;0")&amp;" pts"),"")</f>
        <v/>
      </c>
      <c r="L119" s="73" t="str">
        <f aca="false">C112</f>
        <v>Eversion (°)</v>
      </c>
    </row>
    <row r="120" customFormat="false" ht="13.5" hidden="false" customHeight="true" outlineLevel="0" collapsed="false">
      <c r="A120" s="57" t="n">
        <v>12</v>
      </c>
      <c r="B120" s="73" t="s">
        <v>182</v>
      </c>
      <c r="C120" s="73" t="str">
        <f aca="false">L52</f>
        <v>Iso Eversion (N)</v>
      </c>
      <c r="D120" s="73"/>
      <c r="E120" s="85" t="b">
        <f aca="false">AND(C120&lt;&gt;"",LEFT(C120,1)&lt;&gt;"(")</f>
        <v>1</v>
      </c>
      <c r="F120" s="57" t="n">
        <f aca="false">IF(E120,COUNTIF($E$109:E120,TRUE()),"")</f>
        <v>8</v>
      </c>
      <c r="G120" s="57" t="str">
        <f aca="false">L66</f>
        <v/>
      </c>
      <c r="H120" s="57" t="str">
        <f aca="false">M66</f>
        <v/>
      </c>
      <c r="I120" s="86" t="str">
        <f aca="false">N66</f>
        <v/>
      </c>
      <c r="J120" s="87" t="str">
        <f aca="false">L67</f>
        <v/>
      </c>
      <c r="K120" s="57" t="str">
        <f aca="false">IFERROR(IF(COUNT($N$54:$N$65)&lt;2,"",TEXT((N66-INDEX($N$54:$N$65,SUMPRODUCT(MAX(ISNUMBER($N$54:$N$65)*(($A$54:$A$65)=SUMPRODUCT(LARGE(ISNUMBER($N$54:$N$65)*($A$54:$A$65),2)))*(ROW($N$54:$N$65)-ROW($N$54)+1)))))*100,"+0;-0;0")&amp;" pts"),"")</f>
        <v/>
      </c>
      <c r="L120" s="73" t="str">
        <f aca="false">C113</f>
        <v>(spare slot — rename)</v>
      </c>
    </row>
    <row r="121" customFormat="false" ht="13.5" hidden="false" customHeight="true" outlineLevel="0" collapsed="false">
      <c r="A121" s="57" t="n">
        <v>13</v>
      </c>
      <c r="B121" s="73" t="s">
        <v>182</v>
      </c>
      <c r="C121" s="73" t="str">
        <f aca="false">O52</f>
        <v>(spare slot — rename)</v>
      </c>
      <c r="D121" s="73"/>
      <c r="E121" s="85" t="b">
        <f aca="false">AND(C121&lt;&gt;"",LEFT(C121,1)&lt;&gt;"(")</f>
        <v>0</v>
      </c>
      <c r="F121" s="57" t="str">
        <f aca="false">IF(E121,COUNTIF($E$109:E121,TRUE()),"")</f>
        <v/>
      </c>
      <c r="G121" s="57" t="str">
        <f aca="false">O66</f>
        <v/>
      </c>
      <c r="H121" s="57" t="str">
        <f aca="false">P66</f>
        <v/>
      </c>
      <c r="I121" s="86" t="str">
        <f aca="false">Q66</f>
        <v/>
      </c>
      <c r="J121" s="87" t="str">
        <f aca="false">O67</f>
        <v/>
      </c>
      <c r="K121" s="57" t="str">
        <f aca="false">IFERROR(IF(COUNT($Q$54:$Q$65)&lt;2,"",TEXT((Q66-INDEX($Q$54:$Q$65,SUMPRODUCT(MAX(ISNUMBER($Q$54:$Q$65)*(($A$54:$A$65)=SUMPRODUCT(LARGE(ISNUMBER($Q$54:$Q$65)*($A$54:$A$65),2)))*(ROW($Q$54:$Q$65)-ROW($Q$54)+1)))))*100,"+0;-0;0")&amp;" pts"),"")</f>
        <v/>
      </c>
      <c r="L121" s="73" t="str">
        <f aca="false">C114</f>
        <v>(spare slot — rename)</v>
      </c>
    </row>
    <row r="122" customFormat="false" ht="13.5" hidden="false" customHeight="true" outlineLevel="0" collapsed="false">
      <c r="A122" s="57" t="n">
        <v>14</v>
      </c>
      <c r="B122" s="73" t="s">
        <v>182</v>
      </c>
      <c r="C122" s="73" t="str">
        <f aca="false">R52</f>
        <v>(spare slot — rename)</v>
      </c>
      <c r="D122" s="73"/>
      <c r="E122" s="85" t="b">
        <f aca="false">AND(C122&lt;&gt;"",LEFT(C122,1)&lt;&gt;"(")</f>
        <v>0</v>
      </c>
      <c r="F122" s="57" t="str">
        <f aca="false">IF(E122,COUNTIF($E$109:E122,TRUE()),"")</f>
        <v/>
      </c>
      <c r="G122" s="57" t="str">
        <f aca="false">R66</f>
        <v/>
      </c>
      <c r="H122" s="57" t="str">
        <f aca="false">S66</f>
        <v/>
      </c>
      <c r="I122" s="86" t="str">
        <f aca="false">T66</f>
        <v/>
      </c>
      <c r="J122" s="87" t="str">
        <f aca="false">R67</f>
        <v/>
      </c>
      <c r="K122" s="57" t="str">
        <f aca="false">IFERROR(IF(COUNT($T$54:$T$65)&lt;2,"",TEXT((T66-INDEX($T$54:$T$65,SUMPRODUCT(MAX(ISNUMBER($T$54:$T$65)*(($A$54:$A$65)=SUMPRODUCT(LARGE(ISNUMBER($T$54:$T$65)*($A$54:$A$65),2)))*(ROW($T$54:$T$65)-ROW($T$54)+1)))))*100,"+0;-0;0")&amp;" pts"),"")</f>
        <v/>
      </c>
      <c r="L122" s="73" t="str">
        <f aca="false">C115</f>
        <v>(spare slot — rename)</v>
      </c>
    </row>
    <row r="123" customFormat="false" ht="13.5" hidden="false" customHeight="true" outlineLevel="0" collapsed="false">
      <c r="A123" s="57" t="n">
        <v>15</v>
      </c>
      <c r="B123" s="73" t="s">
        <v>182</v>
      </c>
      <c r="C123" s="73" t="str">
        <f aca="false">U52</f>
        <v>(spare slot — rename)</v>
      </c>
      <c r="D123" s="73"/>
      <c r="E123" s="85" t="b">
        <f aca="false">AND(C123&lt;&gt;"",LEFT(C123,1)&lt;&gt;"(")</f>
        <v>0</v>
      </c>
      <c r="F123" s="57" t="str">
        <f aca="false">IF(E123,COUNTIF($E$109:E123,TRUE()),"")</f>
        <v/>
      </c>
      <c r="G123" s="57" t="str">
        <f aca="false">U66</f>
        <v/>
      </c>
      <c r="H123" s="57" t="str">
        <f aca="false">V66</f>
        <v/>
      </c>
      <c r="I123" s="86" t="str">
        <f aca="false">W66</f>
        <v/>
      </c>
      <c r="J123" s="87" t="str">
        <f aca="false">U67</f>
        <v/>
      </c>
      <c r="K123" s="57" t="str">
        <f aca="false">IFERROR(IF(COUNT($W$54:$W$65)&lt;2,"",TEXT((W66-INDEX($W$54:$W$65,SUMPRODUCT(MAX(ISNUMBER($W$54:$W$65)*(($A$54:$A$65)=SUMPRODUCT(LARGE(ISNUMBER($W$54:$W$65)*($A$54:$A$65),2)))*(ROW($W$54:$W$65)-ROW($W$54)+1)))))*100,"+0;-0;0")&amp;" pts"),"")</f>
        <v/>
      </c>
      <c r="L123" s="73" t="str">
        <f aca="false">C116</f>
        <v>(spare slot — rename)</v>
      </c>
    </row>
    <row r="124" customFormat="false" ht="13.5" hidden="false" customHeight="true" outlineLevel="0" collapsed="false">
      <c r="A124" s="57" t="n">
        <v>16</v>
      </c>
      <c r="B124" s="73" t="s">
        <v>182</v>
      </c>
      <c r="C124" s="73" t="str">
        <f aca="false">X52</f>
        <v>(spare slot — rename)</v>
      </c>
      <c r="D124" s="73"/>
      <c r="E124" s="85" t="b">
        <f aca="false">AND(C124&lt;&gt;"",LEFT(C124,1)&lt;&gt;"(")</f>
        <v>0</v>
      </c>
      <c r="F124" s="57" t="str">
        <f aca="false">IF(E124,COUNTIF($E$109:E124,TRUE()),"")</f>
        <v/>
      </c>
      <c r="G124" s="57" t="str">
        <f aca="false">X66</f>
        <v/>
      </c>
      <c r="H124" s="57" t="str">
        <f aca="false">Y66</f>
        <v/>
      </c>
      <c r="I124" s="86" t="str">
        <f aca="false">Z66</f>
        <v/>
      </c>
      <c r="J124" s="87" t="str">
        <f aca="false">X67</f>
        <v/>
      </c>
      <c r="K124" s="57" t="str">
        <f aca="false">IFERROR(IF(COUNT($Z$54:$Z$65)&lt;2,"",TEXT((Z66-INDEX($Z$54:$Z$65,SUMPRODUCT(MAX(ISNUMBER($Z$54:$Z$65)*(($A$54:$A$65)=SUMPRODUCT(LARGE(ISNUMBER($Z$54:$Z$65)*($A$54:$A$65),2)))*(ROW($Z$54:$Z$65)-ROW($Z$54)+1)))))*100,"+0;-0;0")&amp;" pts"),"")</f>
        <v/>
      </c>
      <c r="L124" s="73" t="str">
        <f aca="false">C117</f>
        <v>SL Heel Raise (reps)</v>
      </c>
    </row>
    <row r="125" customFormat="false" ht="13.5" hidden="false" customHeight="true" outlineLevel="0" collapsed="false">
      <c r="A125" s="57" t="n">
        <v>17</v>
      </c>
      <c r="B125" s="73" t="s">
        <v>183</v>
      </c>
      <c r="C125" s="73" t="str">
        <f aca="false">C70</f>
        <v>DL CMJ Height (cm)</v>
      </c>
      <c r="D125" s="73"/>
      <c r="E125" s="85" t="b">
        <f aca="false">AND(C125&lt;&gt;"",LEFT(C125,1)&lt;&gt;"(")</f>
        <v>1</v>
      </c>
      <c r="F125" s="57" t="n">
        <f aca="false">IF(E125,COUNTIF($E$109:E125,TRUE()),"")</f>
        <v>9</v>
      </c>
      <c r="G125" s="57" t="str">
        <f aca="false">C84</f>
        <v/>
      </c>
      <c r="H125" s="57" t="str">
        <f aca="false">D84</f>
        <v/>
      </c>
      <c r="I125" s="86" t="str">
        <f aca="false">E84</f>
        <v/>
      </c>
      <c r="J125" s="87" t="str">
        <f aca="false">C85</f>
        <v/>
      </c>
      <c r="K125" s="57" t="str">
        <f aca="false">IFERROR(IF(COUNT($C$72:$C$83)&lt;2,"",TEXT(C84-INDEX($C$72:$C$83,SUMPRODUCT(MAX(ISNUMBER($C$72:$C$83)*(($A$72:$A$83)=SUMPRODUCT(LARGE(ISNUMBER($C$72:$C$83)*($A$72:$A$83),2)))*(ROW($C$72:$C$83)-ROW($C$72)+1)))),"+0.0;-0.0;0.0")),"")</f>
        <v/>
      </c>
      <c r="L125" s="73" t="str">
        <f aca="false">C118</f>
        <v>Iso Plantarflexion (N)</v>
      </c>
    </row>
    <row r="126" customFormat="false" ht="13.5" hidden="false" customHeight="true" outlineLevel="0" collapsed="false">
      <c r="A126" s="57" t="n">
        <v>18</v>
      </c>
      <c r="B126" s="73" t="s">
        <v>183</v>
      </c>
      <c r="C126" s="73" t="str">
        <f aca="false">F70</f>
        <v>SL CMJ Height (cm)</v>
      </c>
      <c r="D126" s="73"/>
      <c r="E126" s="85" t="b">
        <f aca="false">AND(C126&lt;&gt;"",LEFT(C126,1)&lt;&gt;"(")</f>
        <v>1</v>
      </c>
      <c r="F126" s="57" t="n">
        <f aca="false">IF(E126,COUNTIF($E$109:E126,TRUE()),"")</f>
        <v>10</v>
      </c>
      <c r="G126" s="57" t="str">
        <f aca="false">F84</f>
        <v/>
      </c>
      <c r="H126" s="57" t="str">
        <f aca="false">G84</f>
        <v/>
      </c>
      <c r="I126" s="86" t="str">
        <f aca="false">H84</f>
        <v/>
      </c>
      <c r="J126" s="87" t="str">
        <f aca="false">F85</f>
        <v/>
      </c>
      <c r="K126" s="57" t="str">
        <f aca="false">IFERROR(IF(COUNT($H$72:$H$83)&lt;2,"",TEXT((H84-INDEX($H$72:$H$83,SUMPRODUCT(MAX(ISNUMBER($H$72:$H$83)*(($A$72:$A$83)=SUMPRODUCT(LARGE(ISNUMBER($H$72:$H$83)*($A$72:$A$83),2)))*(ROW($H$72:$H$83)-ROW($H$72)+1)))))*100,"+0;-0;0")&amp;" pts"),"")</f>
        <v/>
      </c>
      <c r="L126" s="73" t="str">
        <f aca="false">C119</f>
        <v>Iso Inversion (N)</v>
      </c>
    </row>
    <row r="127" customFormat="false" ht="13.5" hidden="false" customHeight="true" outlineLevel="0" collapsed="false">
      <c r="A127" s="57" t="n">
        <v>19</v>
      </c>
      <c r="B127" s="73" t="s">
        <v>183</v>
      </c>
      <c r="C127" s="73" t="str">
        <f aca="false">I70</f>
        <v>SL Hop Distance (cm)</v>
      </c>
      <c r="D127" s="73"/>
      <c r="E127" s="85" t="b">
        <f aca="false">AND(C127&lt;&gt;"",LEFT(C127,1)&lt;&gt;"(")</f>
        <v>1</v>
      </c>
      <c r="F127" s="57" t="n">
        <f aca="false">IF(E127,COUNTIF($E$109:E127,TRUE()),"")</f>
        <v>11</v>
      </c>
      <c r="G127" s="57" t="str">
        <f aca="false">I84</f>
        <v/>
      </c>
      <c r="H127" s="57" t="str">
        <f aca="false">J84</f>
        <v/>
      </c>
      <c r="I127" s="86" t="str">
        <f aca="false">K84</f>
        <v/>
      </c>
      <c r="J127" s="87" t="str">
        <f aca="false">I85</f>
        <v/>
      </c>
      <c r="K127" s="57" t="str">
        <f aca="false">IFERROR(IF(COUNT($K$72:$K$83)&lt;2,"",TEXT((K84-INDEX($K$72:$K$83,SUMPRODUCT(MAX(ISNUMBER($K$72:$K$83)*(($A$72:$A$83)=SUMPRODUCT(LARGE(ISNUMBER($K$72:$K$83)*($A$72:$A$83),2)))*(ROW($K$72:$K$83)-ROW($K$72)+1)))))*100,"+0;-0;0")&amp;" pts"),"")</f>
        <v/>
      </c>
      <c r="L127" s="73" t="str">
        <f aca="false">C120</f>
        <v>Iso Eversion (N)</v>
      </c>
    </row>
    <row r="128" customFormat="false" ht="13.5" hidden="false" customHeight="true" outlineLevel="0" collapsed="false">
      <c r="A128" s="57" t="n">
        <v>20</v>
      </c>
      <c r="B128" s="73" t="s">
        <v>183</v>
      </c>
      <c r="C128" s="73" t="str">
        <f aca="false">L70</f>
        <v>Triple Hop Distance (cm)</v>
      </c>
      <c r="D128" s="73"/>
      <c r="E128" s="85" t="b">
        <f aca="false">AND(C128&lt;&gt;"",LEFT(C128,1)&lt;&gt;"(")</f>
        <v>1</v>
      </c>
      <c r="F128" s="57" t="n">
        <f aca="false">IF(E128,COUNTIF($E$109:E128,TRUE()),"")</f>
        <v>12</v>
      </c>
      <c r="G128" s="57" t="str">
        <f aca="false">L84</f>
        <v/>
      </c>
      <c r="H128" s="57" t="str">
        <f aca="false">M84</f>
        <v/>
      </c>
      <c r="I128" s="86" t="str">
        <f aca="false">N84</f>
        <v/>
      </c>
      <c r="J128" s="87" t="str">
        <f aca="false">L85</f>
        <v/>
      </c>
      <c r="K128" s="57" t="str">
        <f aca="false">IFERROR(IF(COUNT($N$72:$N$83)&lt;2,"",TEXT((N84-INDEX($N$72:$N$83,SUMPRODUCT(MAX(ISNUMBER($N$72:$N$83)*(($A$72:$A$83)=SUMPRODUCT(LARGE(ISNUMBER($N$72:$N$83)*($A$72:$A$83),2)))*(ROW($N$72:$N$83)-ROW($N$72)+1)))))*100,"+0;-0;0")&amp;" pts"),"")</f>
        <v/>
      </c>
      <c r="L128" s="73" t="str">
        <f aca="false">C121</f>
        <v>(spare slot — rename)</v>
      </c>
    </row>
    <row r="129" customFormat="false" ht="13.5" hidden="false" customHeight="true" outlineLevel="0" collapsed="false">
      <c r="A129" s="57" t="n">
        <v>21</v>
      </c>
      <c r="B129" s="73" t="s">
        <v>183</v>
      </c>
      <c r="C129" s="73" t="str">
        <f aca="false">O70</f>
        <v>Lateral Capacity</v>
      </c>
      <c r="D129" s="73"/>
      <c r="E129" s="85" t="b">
        <f aca="false">AND(C129&lt;&gt;"",LEFT(C129,1)&lt;&gt;"(")</f>
        <v>1</v>
      </c>
      <c r="F129" s="57" t="n">
        <f aca="false">IF(E129,COUNTIF($E$109:E129,TRUE()),"")</f>
        <v>13</v>
      </c>
      <c r="G129" s="57" t="str">
        <f aca="false">O84</f>
        <v/>
      </c>
      <c r="H129" s="57" t="str">
        <f aca="false">P84</f>
        <v/>
      </c>
      <c r="I129" s="86" t="str">
        <f aca="false">Q84</f>
        <v/>
      </c>
      <c r="J129" s="87" t="str">
        <f aca="false">O85</f>
        <v/>
      </c>
      <c r="K129" s="57" t="str">
        <f aca="false">IFERROR(IF(COUNT($Q$72:$Q$83)&lt;2,"",TEXT((Q84-INDEX($Q$72:$Q$83,SUMPRODUCT(MAX(ISNUMBER($Q$72:$Q$83)*(($A$72:$A$83)=SUMPRODUCT(LARGE(ISNUMBER($Q$72:$Q$83)*($A$72:$A$83),2)))*(ROW($Q$72:$Q$83)-ROW($Q$72)+1)))))*100,"+0;-0;0")&amp;" pts"),"")</f>
        <v/>
      </c>
      <c r="L129" s="73" t="str">
        <f aca="false">C122</f>
        <v>(spare slot — rename)</v>
      </c>
    </row>
    <row r="130" customFormat="false" ht="13.5" hidden="false" customHeight="true" outlineLevel="0" collapsed="false">
      <c r="A130" s="57" t="n">
        <v>22</v>
      </c>
      <c r="B130" s="73" t="s">
        <v>183</v>
      </c>
      <c r="C130" s="73" t="str">
        <f aca="false">R70</f>
        <v>DL Drop Jump RSI</v>
      </c>
      <c r="D130" s="73"/>
      <c r="E130" s="85" t="b">
        <f aca="false">AND(C130&lt;&gt;"",LEFT(C130,1)&lt;&gt;"(")</f>
        <v>1</v>
      </c>
      <c r="F130" s="57" t="n">
        <f aca="false">IF(E130,COUNTIF($E$109:E130,TRUE()),"")</f>
        <v>14</v>
      </c>
      <c r="G130" s="57" t="str">
        <f aca="false">R84</f>
        <v/>
      </c>
      <c r="H130" s="57" t="str">
        <f aca="false">S84</f>
        <v/>
      </c>
      <c r="I130" s="86" t="str">
        <f aca="false">T84</f>
        <v/>
      </c>
      <c r="J130" s="87" t="str">
        <f aca="false">R85</f>
        <v/>
      </c>
      <c r="K130" s="57" t="str">
        <f aca="false">IFERROR(IF(COUNT($R$72:$R$83)&lt;2,"",TEXT(R84-INDEX($R$72:$R$83,SUMPRODUCT(MAX(ISNUMBER($R$72:$R$83)*(($A$72:$A$83)=SUMPRODUCT(LARGE(ISNUMBER($R$72:$R$83)*($A$72:$A$83),2)))*(ROW($R$72:$R$83)-ROW($R$72)+1)))),"+0.0;-0.0;0.0")),"")</f>
        <v/>
      </c>
      <c r="L130" s="73" t="str">
        <f aca="false">C123</f>
        <v>(spare slot — rename)</v>
      </c>
    </row>
    <row r="131" customFormat="false" ht="13.5" hidden="false" customHeight="true" outlineLevel="0" collapsed="false">
      <c r="A131" s="57" t="n">
        <v>23</v>
      </c>
      <c r="B131" s="73" t="s">
        <v>183</v>
      </c>
      <c r="C131" s="73" t="str">
        <f aca="false">U70</f>
        <v>SL Drop Jump RSI</v>
      </c>
      <c r="D131" s="73"/>
      <c r="E131" s="85" t="b">
        <f aca="false">AND(C131&lt;&gt;"",LEFT(C131,1)&lt;&gt;"(")</f>
        <v>1</v>
      </c>
      <c r="F131" s="57" t="n">
        <f aca="false">IF(E131,COUNTIF($E$109:E131,TRUE()),"")</f>
        <v>15</v>
      </c>
      <c r="G131" s="57" t="str">
        <f aca="false">U84</f>
        <v/>
      </c>
      <c r="H131" s="57" t="str">
        <f aca="false">V84</f>
        <v/>
      </c>
      <c r="I131" s="86" t="str">
        <f aca="false">W84</f>
        <v/>
      </c>
      <c r="J131" s="87" t="str">
        <f aca="false">U85</f>
        <v/>
      </c>
      <c r="K131" s="57" t="str">
        <f aca="false">IFERROR(IF(COUNT($W$72:$W$83)&lt;2,"",TEXT((W84-INDEX($W$72:$W$83,SUMPRODUCT(MAX(ISNUMBER($W$72:$W$83)*(($A$72:$A$83)=SUMPRODUCT(LARGE(ISNUMBER($W$72:$W$83)*($A$72:$A$83),2)))*(ROW($W$72:$W$83)-ROW($W$72)+1)))))*100,"+0;-0;0")&amp;" pts"),"")</f>
        <v/>
      </c>
      <c r="L131" s="73" t="str">
        <f aca="false">C124</f>
        <v>(spare slot — rename)</v>
      </c>
    </row>
    <row r="132" customFormat="false" ht="13.5" hidden="false" customHeight="true" outlineLevel="0" collapsed="false">
      <c r="A132" s="57" t="n">
        <v>24</v>
      </c>
      <c r="B132" s="73" t="s">
        <v>183</v>
      </c>
      <c r="C132" s="73" t="str">
        <f aca="false">X70</f>
        <v>10-5 Repeated Hops RSI</v>
      </c>
      <c r="D132" s="73"/>
      <c r="E132" s="85" t="b">
        <f aca="false">AND(C132&lt;&gt;"",LEFT(C132,1)&lt;&gt;"(")</f>
        <v>1</v>
      </c>
      <c r="F132" s="57" t="n">
        <f aca="false">IF(E132,COUNTIF($E$109:E132,TRUE()),"")</f>
        <v>16</v>
      </c>
      <c r="G132" s="57" t="str">
        <f aca="false">X84</f>
        <v/>
      </c>
      <c r="H132" s="57" t="str">
        <f aca="false">Y84</f>
        <v/>
      </c>
      <c r="I132" s="86" t="str">
        <f aca="false">Z84</f>
        <v/>
      </c>
      <c r="J132" s="87" t="str">
        <f aca="false">X85</f>
        <v/>
      </c>
      <c r="K132" s="57" t="str">
        <f aca="false">IFERROR(IF(COUNT($X$72:$X$83)&lt;2,"",TEXT(X84-INDEX($X$72:$X$83,SUMPRODUCT(MAX(ISNUMBER($X$72:$X$83)*(($A$72:$A$83)=SUMPRODUCT(LARGE(ISNUMBER($X$72:$X$83)*($A$72:$A$83),2)))*(ROW($X$72:$X$83)-ROW($X$72)+1)))),"+0.0;-0.0;0.0")),"")</f>
        <v/>
      </c>
      <c r="L132" s="73" t="str">
        <f aca="false">C125</f>
        <v>DL CMJ Height (cm)</v>
      </c>
    </row>
    <row r="133" customFormat="false" ht="22.35" hidden="false" customHeight="false" outlineLevel="0" collapsed="false">
      <c r="L133" s="73" t="str">
        <f aca="false">C126</f>
        <v>SL CMJ Height (cm)</v>
      </c>
    </row>
    <row r="134" customFormat="false" ht="32.8" hidden="false" customHeight="false" outlineLevel="0" collapsed="false">
      <c r="L134" s="73" t="str">
        <f aca="false">C127</f>
        <v>SL Hop Distance (cm)</v>
      </c>
    </row>
    <row r="135" customFormat="false" ht="19.5" hidden="false" customHeight="true" outlineLevel="0" collapsed="false">
      <c r="A135" s="62" t="s">
        <v>184</v>
      </c>
      <c r="B135" s="62"/>
      <c r="C135" s="62"/>
      <c r="D135" s="62"/>
      <c r="E135" s="62"/>
      <c r="F135" s="62"/>
      <c r="G135" s="62"/>
      <c r="H135" s="62"/>
      <c r="I135" s="62"/>
      <c r="J135" s="62"/>
      <c r="L135" s="73" t="str">
        <f aca="false">C128</f>
        <v>Triple Hop Distance (cm)</v>
      </c>
    </row>
    <row r="136" customFormat="false" ht="18" hidden="false" customHeight="true" outlineLevel="0" collapsed="false">
      <c r="A136" s="33" t="s">
        <v>93</v>
      </c>
      <c r="B136" s="33" t="s">
        <v>46</v>
      </c>
      <c r="C136" s="33" t="s">
        <v>47</v>
      </c>
      <c r="D136" s="33"/>
      <c r="E136" s="33" t="s">
        <v>12</v>
      </c>
      <c r="F136" s="33" t="s">
        <v>49</v>
      </c>
      <c r="G136" s="33" t="s">
        <v>50</v>
      </c>
      <c r="H136" s="33" t="s">
        <v>52</v>
      </c>
      <c r="I136" s="33" t="s">
        <v>185</v>
      </c>
      <c r="J136" s="33"/>
      <c r="K136" s="33" t="s">
        <v>186</v>
      </c>
      <c r="L136" s="73" t="str">
        <f aca="false">C129</f>
        <v>Lateral Capacity</v>
      </c>
    </row>
    <row r="137" customFormat="false" ht="13.5" hidden="false" customHeight="true" outlineLevel="0" collapsed="false">
      <c r="A137" s="57" t="n">
        <v>1</v>
      </c>
      <c r="B137" s="73" t="str">
        <f aca="false">IFERROR(INDEX($B$109:$B$132,MATCH(1,$F$109:$F$132,0)),"")</f>
        <v>ROM</v>
      </c>
      <c r="C137" s="73" t="str">
        <f aca="false">IFERROR(INDEX($C$109:$C$132,MATCH(1,$F$109:$F$132,0)),"")</f>
        <v>Ankle DF Knee-to-Wall (cm)</v>
      </c>
      <c r="D137" s="73"/>
      <c r="E137" s="57" t="str">
        <f aca="false">IFERROR(INDEX($G$109:$G$132,MATCH(1,$F$109:$F$132,0)),"")</f>
        <v/>
      </c>
      <c r="F137" s="57" t="str">
        <f aca="false">IFERROR(INDEX($H$109:$H$132,MATCH(1,$F$109:$F$132,0)),"")</f>
        <v/>
      </c>
      <c r="G137" s="86" t="str">
        <f aca="false">IFERROR(INDEX($I$109:$I$132,MATCH(1,$F$109:$F$132,0)),"")</f>
        <v/>
      </c>
      <c r="H137" s="87" t="str">
        <f aca="false">IFERROR(INDEX($J$109:$J$132,MATCH(1,$F$109:$F$132,0)),"")</f>
        <v/>
      </c>
      <c r="I137" s="73" t="str">
        <f aca="false">IF(B137="","",IF(B137="","",B137))</f>
        <v>ROM</v>
      </c>
      <c r="J137" s="73"/>
      <c r="K137" s="57" t="str">
        <f aca="false">IFERROR(INDEX($K$109:$K$132,MATCH(1,$F$109:$F$132,0)),"")</f>
        <v/>
      </c>
      <c r="L137" s="73" t="str">
        <f aca="false">C130</f>
        <v>DL Drop Jump RSI</v>
      </c>
    </row>
    <row r="138" customFormat="false" ht="13.5" hidden="false" customHeight="true" outlineLevel="0" collapsed="false">
      <c r="A138" s="57" t="n">
        <v>2</v>
      </c>
      <c r="B138" s="73" t="str">
        <f aca="false">IFERROR(INDEX($B$109:$B$132,MATCH(2,$F$109:$F$132,0)),"")</f>
        <v>ROM</v>
      </c>
      <c r="C138" s="73" t="str">
        <f aca="false">IFERROR(INDEX($C$109:$C$132,MATCH(2,$F$109:$F$132,0)),"")</f>
        <v>Ankle Plantarflexion (°)</v>
      </c>
      <c r="D138" s="73"/>
      <c r="E138" s="57" t="str">
        <f aca="false">IFERROR(INDEX($G$109:$G$132,MATCH(2,$F$109:$F$132,0)),"")</f>
        <v/>
      </c>
      <c r="F138" s="57" t="str">
        <f aca="false">IFERROR(INDEX($H$109:$H$132,MATCH(2,$F$109:$F$132,0)),"")</f>
        <v/>
      </c>
      <c r="G138" s="86" t="str">
        <f aca="false">IFERROR(INDEX($I$109:$I$132,MATCH(2,$F$109:$F$132,0)),"")</f>
        <v/>
      </c>
      <c r="H138" s="87" t="str">
        <f aca="false">IFERROR(INDEX($J$109:$J$132,MATCH(2,$F$109:$F$132,0)),"")</f>
        <v/>
      </c>
      <c r="I138" s="73" t="str">
        <f aca="false">IF(B138="","",IF(B138=B137,"",B138))</f>
        <v/>
      </c>
      <c r="J138" s="73"/>
      <c r="K138" s="57" t="str">
        <f aca="false">IFERROR(INDEX($K$109:$K$132,MATCH(2,$F$109:$F$132,0)),"")</f>
        <v/>
      </c>
      <c r="L138" s="73" t="str">
        <f aca="false">C131</f>
        <v>SL Drop Jump RSI</v>
      </c>
    </row>
    <row r="139" customFormat="false" ht="13.5" hidden="false" customHeight="true" outlineLevel="0" collapsed="false">
      <c r="A139" s="57" t="n">
        <v>3</v>
      </c>
      <c r="B139" s="73" t="str">
        <f aca="false">IFERROR(INDEX($B$109:$B$132,MATCH(3,$F$109:$F$132,0)),"")</f>
        <v>ROM</v>
      </c>
      <c r="C139" s="73" t="str">
        <f aca="false">IFERROR(INDEX($C$109:$C$132,MATCH(3,$F$109:$F$132,0)),"")</f>
        <v>Inversion (°)</v>
      </c>
      <c r="D139" s="73"/>
      <c r="E139" s="57" t="str">
        <f aca="false">IFERROR(INDEX($G$109:$G$132,MATCH(3,$F$109:$F$132,0)),"")</f>
        <v/>
      </c>
      <c r="F139" s="57" t="str">
        <f aca="false">IFERROR(INDEX($H$109:$H$132,MATCH(3,$F$109:$F$132,0)),"")</f>
        <v/>
      </c>
      <c r="G139" s="86" t="str">
        <f aca="false">IFERROR(INDEX($I$109:$I$132,MATCH(3,$F$109:$F$132,0)),"")</f>
        <v/>
      </c>
      <c r="H139" s="87" t="str">
        <f aca="false">IFERROR(INDEX($J$109:$J$132,MATCH(3,$F$109:$F$132,0)),"")</f>
        <v/>
      </c>
      <c r="I139" s="73" t="str">
        <f aca="false">IF(B139="","",IF(B139=B138,"",B139))</f>
        <v/>
      </c>
      <c r="J139" s="73"/>
      <c r="K139" s="57" t="str">
        <f aca="false">IFERROR(INDEX($K$109:$K$132,MATCH(3,$F$109:$F$132,0)),"")</f>
        <v/>
      </c>
      <c r="L139" s="73" t="str">
        <f aca="false">C132</f>
        <v>10-5 Repeated Hops RSI</v>
      </c>
    </row>
    <row r="140" customFormat="false" ht="13.5" hidden="false" customHeight="true" outlineLevel="0" collapsed="false">
      <c r="A140" s="57" t="n">
        <v>4</v>
      </c>
      <c r="B140" s="73" t="str">
        <f aca="false">IFERROR(INDEX($B$109:$B$132,MATCH(4,$F$109:$F$132,0)),"")</f>
        <v>ROM</v>
      </c>
      <c r="C140" s="73" t="str">
        <f aca="false">IFERROR(INDEX($C$109:$C$132,MATCH(4,$F$109:$F$132,0)),"")</f>
        <v>Eversion (°)</v>
      </c>
      <c r="D140" s="73"/>
      <c r="E140" s="57" t="str">
        <f aca="false">IFERROR(INDEX($G$109:$G$132,MATCH(4,$F$109:$F$132,0)),"")</f>
        <v/>
      </c>
      <c r="F140" s="57" t="str">
        <f aca="false">IFERROR(INDEX($H$109:$H$132,MATCH(4,$F$109:$F$132,0)),"")</f>
        <v/>
      </c>
      <c r="G140" s="86" t="str">
        <f aca="false">IFERROR(INDEX($I$109:$I$132,MATCH(4,$F$109:$F$132,0)),"")</f>
        <v/>
      </c>
      <c r="H140" s="87" t="str">
        <f aca="false">IFERROR(INDEX($J$109:$J$132,MATCH(4,$F$109:$F$132,0)),"")</f>
        <v/>
      </c>
      <c r="I140" s="73" t="str">
        <f aca="false">IF(B140="","",IF(B140=B139,"",B140))</f>
        <v/>
      </c>
      <c r="J140" s="73"/>
      <c r="K140" s="57" t="str">
        <f aca="false">IFERROR(INDEX($K$109:$K$132,MATCH(4,$F$109:$F$132,0)),"")</f>
        <v/>
      </c>
    </row>
    <row r="141" customFormat="false" ht="13.5" hidden="false" customHeight="true" outlineLevel="0" collapsed="false">
      <c r="A141" s="57" t="n">
        <v>5</v>
      </c>
      <c r="B141" s="73" t="str">
        <f aca="false">IFERROR(INDEX($B$109:$B$132,MATCH(5,$F$109:$F$132,0)),"")</f>
        <v>Strength</v>
      </c>
      <c r="C141" s="73" t="str">
        <f aca="false">IFERROR(INDEX($C$109:$C$132,MATCH(5,$F$109:$F$132,0)),"")</f>
        <v>SL Heel Raise (reps)</v>
      </c>
      <c r="D141" s="73"/>
      <c r="E141" s="57" t="str">
        <f aca="false">IFERROR(INDEX($G$109:$G$132,MATCH(5,$F$109:$F$132,0)),"")</f>
        <v/>
      </c>
      <c r="F141" s="57" t="str">
        <f aca="false">IFERROR(INDEX($H$109:$H$132,MATCH(5,$F$109:$F$132,0)),"")</f>
        <v/>
      </c>
      <c r="G141" s="86" t="str">
        <f aca="false">IFERROR(INDEX($I$109:$I$132,MATCH(5,$F$109:$F$132,0)),"")</f>
        <v/>
      </c>
      <c r="H141" s="87" t="str">
        <f aca="false">IFERROR(INDEX($J$109:$J$132,MATCH(5,$F$109:$F$132,0)),"")</f>
        <v/>
      </c>
      <c r="I141" s="73" t="str">
        <f aca="false">IF(B141="","",IF(B141=B140,"",B141))</f>
        <v>Strength</v>
      </c>
      <c r="J141" s="73"/>
      <c r="K141" s="57" t="str">
        <f aca="false">IFERROR(INDEX($K$109:$K$132,MATCH(5,$F$109:$F$132,0)),"")</f>
        <v/>
      </c>
    </row>
    <row r="142" customFormat="false" ht="13.5" hidden="false" customHeight="true" outlineLevel="0" collapsed="false">
      <c r="A142" s="57" t="n">
        <v>6</v>
      </c>
      <c r="B142" s="73" t="str">
        <f aca="false">IFERROR(INDEX($B$109:$B$132,MATCH(6,$F$109:$F$132,0)),"")</f>
        <v>Strength</v>
      </c>
      <c r="C142" s="73" t="str">
        <f aca="false">IFERROR(INDEX($C$109:$C$132,MATCH(6,$F$109:$F$132,0)),"")</f>
        <v>Iso Plantarflexion (N)</v>
      </c>
      <c r="D142" s="73"/>
      <c r="E142" s="57" t="str">
        <f aca="false">IFERROR(INDEX($G$109:$G$132,MATCH(6,$F$109:$F$132,0)),"")</f>
        <v/>
      </c>
      <c r="F142" s="57" t="str">
        <f aca="false">IFERROR(INDEX($H$109:$H$132,MATCH(6,$F$109:$F$132,0)),"")</f>
        <v/>
      </c>
      <c r="G142" s="86" t="str">
        <f aca="false">IFERROR(INDEX($I$109:$I$132,MATCH(6,$F$109:$F$132,0)),"")</f>
        <v/>
      </c>
      <c r="H142" s="87" t="str">
        <f aca="false">IFERROR(INDEX($J$109:$J$132,MATCH(6,$F$109:$F$132,0)),"")</f>
        <v/>
      </c>
      <c r="I142" s="73" t="str">
        <f aca="false">IF(B142="","",IF(B142=B141,"",B142))</f>
        <v/>
      </c>
      <c r="J142" s="73"/>
      <c r="K142" s="57" t="str">
        <f aca="false">IFERROR(INDEX($K$109:$K$132,MATCH(6,$F$109:$F$132,0)),"")</f>
        <v/>
      </c>
    </row>
    <row r="143" customFormat="false" ht="13.5" hidden="false" customHeight="true" outlineLevel="0" collapsed="false">
      <c r="A143" s="57" t="n">
        <v>7</v>
      </c>
      <c r="B143" s="73" t="str">
        <f aca="false">IFERROR(INDEX($B$109:$B$132,MATCH(7,$F$109:$F$132,0)),"")</f>
        <v>Strength</v>
      </c>
      <c r="C143" s="73" t="str">
        <f aca="false">IFERROR(INDEX($C$109:$C$132,MATCH(7,$F$109:$F$132,0)),"")</f>
        <v>Iso Inversion (N)</v>
      </c>
      <c r="D143" s="73"/>
      <c r="E143" s="57" t="str">
        <f aca="false">IFERROR(INDEX($G$109:$G$132,MATCH(7,$F$109:$F$132,0)),"")</f>
        <v/>
      </c>
      <c r="F143" s="57" t="str">
        <f aca="false">IFERROR(INDEX($H$109:$H$132,MATCH(7,$F$109:$F$132,0)),"")</f>
        <v/>
      </c>
      <c r="G143" s="86" t="str">
        <f aca="false">IFERROR(INDEX($I$109:$I$132,MATCH(7,$F$109:$F$132,0)),"")</f>
        <v/>
      </c>
      <c r="H143" s="87" t="str">
        <f aca="false">IFERROR(INDEX($J$109:$J$132,MATCH(7,$F$109:$F$132,0)),"")</f>
        <v/>
      </c>
      <c r="I143" s="73" t="str">
        <f aca="false">IF(B143="","",IF(B143=B142,"",B143))</f>
        <v/>
      </c>
      <c r="J143" s="73"/>
      <c r="K143" s="57" t="str">
        <f aca="false">IFERROR(INDEX($K$109:$K$132,MATCH(7,$F$109:$F$132,0)),"")</f>
        <v/>
      </c>
    </row>
    <row r="144" customFormat="false" ht="13.5" hidden="false" customHeight="true" outlineLevel="0" collapsed="false">
      <c r="A144" s="57" t="n">
        <v>8</v>
      </c>
      <c r="B144" s="73" t="str">
        <f aca="false">IFERROR(INDEX($B$109:$B$132,MATCH(8,$F$109:$F$132,0)),"")</f>
        <v>Strength</v>
      </c>
      <c r="C144" s="73" t="str">
        <f aca="false">IFERROR(INDEX($C$109:$C$132,MATCH(8,$F$109:$F$132,0)),"")</f>
        <v>Iso Eversion (N)</v>
      </c>
      <c r="D144" s="73"/>
      <c r="E144" s="57" t="str">
        <f aca="false">IFERROR(INDEX($G$109:$G$132,MATCH(8,$F$109:$F$132,0)),"")</f>
        <v/>
      </c>
      <c r="F144" s="57" t="str">
        <f aca="false">IFERROR(INDEX($H$109:$H$132,MATCH(8,$F$109:$F$132,0)),"")</f>
        <v/>
      </c>
      <c r="G144" s="86" t="str">
        <f aca="false">IFERROR(INDEX($I$109:$I$132,MATCH(8,$F$109:$F$132,0)),"")</f>
        <v/>
      </c>
      <c r="H144" s="87" t="str">
        <f aca="false">IFERROR(INDEX($J$109:$J$132,MATCH(8,$F$109:$F$132,0)),"")</f>
        <v/>
      </c>
      <c r="I144" s="73" t="str">
        <f aca="false">IF(B144="","",IF(B144=B143,"",B144))</f>
        <v/>
      </c>
      <c r="J144" s="73"/>
      <c r="K144" s="57" t="str">
        <f aca="false">IFERROR(INDEX($K$109:$K$132,MATCH(8,$F$109:$F$132,0)),"")</f>
        <v/>
      </c>
    </row>
    <row r="145" customFormat="false" ht="13.5" hidden="false" customHeight="true" outlineLevel="0" collapsed="false">
      <c r="A145" s="57" t="n">
        <v>9</v>
      </c>
      <c r="B145" s="73" t="str">
        <f aca="false">IFERROR(INDEX($B$109:$B$132,MATCH(9,$F$109:$F$132,0)),"")</f>
        <v>Jump / Power</v>
      </c>
      <c r="C145" s="73" t="str">
        <f aca="false">IFERROR(INDEX($C$109:$C$132,MATCH(9,$F$109:$F$132,0)),"")</f>
        <v>DL CMJ Height (cm)</v>
      </c>
      <c r="D145" s="73"/>
      <c r="E145" s="57" t="str">
        <f aca="false">IFERROR(INDEX($G$109:$G$132,MATCH(9,$F$109:$F$132,0)),"")</f>
        <v/>
      </c>
      <c r="F145" s="57" t="str">
        <f aca="false">IFERROR(INDEX($H$109:$H$132,MATCH(9,$F$109:$F$132,0)),"")</f>
        <v/>
      </c>
      <c r="G145" s="86" t="str">
        <f aca="false">IFERROR(INDEX($I$109:$I$132,MATCH(9,$F$109:$F$132,0)),"")</f>
        <v/>
      </c>
      <c r="H145" s="87" t="str">
        <f aca="false">IFERROR(INDEX($J$109:$J$132,MATCH(9,$F$109:$F$132,0)),"")</f>
        <v/>
      </c>
      <c r="I145" s="73" t="str">
        <f aca="false">IF(B145="","",IF(B145=B144,"",B145))</f>
        <v>Jump / Power</v>
      </c>
      <c r="J145" s="73"/>
      <c r="K145" s="57" t="str">
        <f aca="false">IFERROR(INDEX($K$109:$K$132,MATCH(9,$F$109:$F$132,0)),"")</f>
        <v/>
      </c>
    </row>
    <row r="146" customFormat="false" ht="13.5" hidden="false" customHeight="true" outlineLevel="0" collapsed="false">
      <c r="A146" s="57" t="n">
        <v>10</v>
      </c>
      <c r="B146" s="73" t="str">
        <f aca="false">IFERROR(INDEX($B$109:$B$132,MATCH(10,$F$109:$F$132,0)),"")</f>
        <v>Jump / Power</v>
      </c>
      <c r="C146" s="73" t="str">
        <f aca="false">IFERROR(INDEX($C$109:$C$132,MATCH(10,$F$109:$F$132,0)),"")</f>
        <v>SL CMJ Height (cm)</v>
      </c>
      <c r="D146" s="73"/>
      <c r="E146" s="57" t="str">
        <f aca="false">IFERROR(INDEX($G$109:$G$132,MATCH(10,$F$109:$F$132,0)),"")</f>
        <v/>
      </c>
      <c r="F146" s="57" t="str">
        <f aca="false">IFERROR(INDEX($H$109:$H$132,MATCH(10,$F$109:$F$132,0)),"")</f>
        <v/>
      </c>
      <c r="G146" s="86" t="str">
        <f aca="false">IFERROR(INDEX($I$109:$I$132,MATCH(10,$F$109:$F$132,0)),"")</f>
        <v/>
      </c>
      <c r="H146" s="87" t="str">
        <f aca="false">IFERROR(INDEX($J$109:$J$132,MATCH(10,$F$109:$F$132,0)),"")</f>
        <v/>
      </c>
      <c r="I146" s="73" t="str">
        <f aca="false">IF(B146="","",IF(B146=B145,"",B146))</f>
        <v/>
      </c>
      <c r="J146" s="73"/>
      <c r="K146" s="57" t="str">
        <f aca="false">IFERROR(INDEX($K$109:$K$132,MATCH(10,$F$109:$F$132,0)),"")</f>
        <v/>
      </c>
    </row>
    <row r="147" customFormat="false" ht="13.5" hidden="false" customHeight="true" outlineLevel="0" collapsed="false">
      <c r="A147" s="57" t="n">
        <v>11</v>
      </c>
      <c r="B147" s="73" t="str">
        <f aca="false">IFERROR(INDEX($B$109:$B$132,MATCH(11,$F$109:$F$132,0)),"")</f>
        <v>Jump / Power</v>
      </c>
      <c r="C147" s="73" t="str">
        <f aca="false">IFERROR(INDEX($C$109:$C$132,MATCH(11,$F$109:$F$132,0)),"")</f>
        <v>SL Hop Distance (cm)</v>
      </c>
      <c r="D147" s="73"/>
      <c r="E147" s="57" t="str">
        <f aca="false">IFERROR(INDEX($G$109:$G$132,MATCH(11,$F$109:$F$132,0)),"")</f>
        <v/>
      </c>
      <c r="F147" s="57" t="str">
        <f aca="false">IFERROR(INDEX($H$109:$H$132,MATCH(11,$F$109:$F$132,0)),"")</f>
        <v/>
      </c>
      <c r="G147" s="86" t="str">
        <f aca="false">IFERROR(INDEX($I$109:$I$132,MATCH(11,$F$109:$F$132,0)),"")</f>
        <v/>
      </c>
      <c r="H147" s="87" t="str">
        <f aca="false">IFERROR(INDEX($J$109:$J$132,MATCH(11,$F$109:$F$132,0)),"")</f>
        <v/>
      </c>
      <c r="I147" s="73" t="str">
        <f aca="false">IF(B147="","",IF(B147=B146,"",B147))</f>
        <v/>
      </c>
      <c r="J147" s="73"/>
      <c r="K147" s="57" t="str">
        <f aca="false">IFERROR(INDEX($K$109:$K$132,MATCH(11,$F$109:$F$132,0)),"")</f>
        <v/>
      </c>
    </row>
    <row r="148" customFormat="false" ht="13.5" hidden="false" customHeight="true" outlineLevel="0" collapsed="false">
      <c r="A148" s="57" t="n">
        <v>12</v>
      </c>
      <c r="B148" s="73" t="str">
        <f aca="false">IFERROR(INDEX($B$109:$B$132,MATCH(12,$F$109:$F$132,0)),"")</f>
        <v>Jump / Power</v>
      </c>
      <c r="C148" s="73" t="str">
        <f aca="false">IFERROR(INDEX($C$109:$C$132,MATCH(12,$F$109:$F$132,0)),"")</f>
        <v>Triple Hop Distance (cm)</v>
      </c>
      <c r="D148" s="73"/>
      <c r="E148" s="57" t="str">
        <f aca="false">IFERROR(INDEX($G$109:$G$132,MATCH(12,$F$109:$F$132,0)),"")</f>
        <v/>
      </c>
      <c r="F148" s="57" t="str">
        <f aca="false">IFERROR(INDEX($H$109:$H$132,MATCH(12,$F$109:$F$132,0)),"")</f>
        <v/>
      </c>
      <c r="G148" s="86" t="str">
        <f aca="false">IFERROR(INDEX($I$109:$I$132,MATCH(12,$F$109:$F$132,0)),"")</f>
        <v/>
      </c>
      <c r="H148" s="87" t="str">
        <f aca="false">IFERROR(INDEX($J$109:$J$132,MATCH(12,$F$109:$F$132,0)),"")</f>
        <v/>
      </c>
      <c r="I148" s="73" t="str">
        <f aca="false">IF(B148="","",IF(B148=B147,"",B148))</f>
        <v/>
      </c>
      <c r="J148" s="73"/>
      <c r="K148" s="57" t="str">
        <f aca="false">IFERROR(INDEX($K$109:$K$132,MATCH(12,$F$109:$F$132,0)),"")</f>
        <v/>
      </c>
    </row>
    <row r="149" customFormat="false" ht="13.5" hidden="false" customHeight="true" outlineLevel="0" collapsed="false">
      <c r="A149" s="57" t="n">
        <v>13</v>
      </c>
      <c r="B149" s="73" t="str">
        <f aca="false">IFERROR(INDEX($B$109:$B$132,MATCH(13,$F$109:$F$132,0)),"")</f>
        <v>Jump / Power</v>
      </c>
      <c r="C149" s="73" t="str">
        <f aca="false">IFERROR(INDEX($C$109:$C$132,MATCH(13,$F$109:$F$132,0)),"")</f>
        <v>Lateral Capacity</v>
      </c>
      <c r="D149" s="73"/>
      <c r="E149" s="57" t="str">
        <f aca="false">IFERROR(INDEX($G$109:$G$132,MATCH(13,$F$109:$F$132,0)),"")</f>
        <v/>
      </c>
      <c r="F149" s="57" t="str">
        <f aca="false">IFERROR(INDEX($H$109:$H$132,MATCH(13,$F$109:$F$132,0)),"")</f>
        <v/>
      </c>
      <c r="G149" s="86" t="str">
        <f aca="false">IFERROR(INDEX($I$109:$I$132,MATCH(13,$F$109:$F$132,0)),"")</f>
        <v/>
      </c>
      <c r="H149" s="87" t="str">
        <f aca="false">IFERROR(INDEX($J$109:$J$132,MATCH(13,$F$109:$F$132,0)),"")</f>
        <v/>
      </c>
      <c r="I149" s="73" t="str">
        <f aca="false">IF(B149="","",IF(B149=B148,"",B149))</f>
        <v/>
      </c>
      <c r="J149" s="73"/>
      <c r="K149" s="57" t="str">
        <f aca="false">IFERROR(INDEX($K$109:$K$132,MATCH(13,$F$109:$F$132,0)),"")</f>
        <v/>
      </c>
    </row>
    <row r="150" customFormat="false" ht="13.5" hidden="false" customHeight="true" outlineLevel="0" collapsed="false">
      <c r="A150" s="57" t="n">
        <v>14</v>
      </c>
      <c r="B150" s="73" t="str">
        <f aca="false">IFERROR(INDEX($B$109:$B$132,MATCH(14,$F$109:$F$132,0)),"")</f>
        <v>Jump / Power</v>
      </c>
      <c r="C150" s="73" t="str">
        <f aca="false">IFERROR(INDEX($C$109:$C$132,MATCH(14,$F$109:$F$132,0)),"")</f>
        <v>DL Drop Jump RSI</v>
      </c>
      <c r="D150" s="73"/>
      <c r="E150" s="57" t="str">
        <f aca="false">IFERROR(INDEX($G$109:$G$132,MATCH(14,$F$109:$F$132,0)),"")</f>
        <v/>
      </c>
      <c r="F150" s="57" t="str">
        <f aca="false">IFERROR(INDEX($H$109:$H$132,MATCH(14,$F$109:$F$132,0)),"")</f>
        <v/>
      </c>
      <c r="G150" s="86" t="str">
        <f aca="false">IFERROR(INDEX($I$109:$I$132,MATCH(14,$F$109:$F$132,0)),"")</f>
        <v/>
      </c>
      <c r="H150" s="87" t="str">
        <f aca="false">IFERROR(INDEX($J$109:$J$132,MATCH(14,$F$109:$F$132,0)),"")</f>
        <v/>
      </c>
      <c r="I150" s="73" t="str">
        <f aca="false">IF(B150="","",IF(B150=B149,"",B150))</f>
        <v/>
      </c>
      <c r="J150" s="73"/>
      <c r="K150" s="57" t="str">
        <f aca="false">IFERROR(INDEX($K$109:$K$132,MATCH(14,$F$109:$F$132,0)),"")</f>
        <v/>
      </c>
    </row>
    <row r="151" customFormat="false" ht="13.5" hidden="false" customHeight="true" outlineLevel="0" collapsed="false">
      <c r="A151" s="57" t="n">
        <v>15</v>
      </c>
      <c r="B151" s="73" t="str">
        <f aca="false">IFERROR(INDEX($B$109:$B$132,MATCH(15,$F$109:$F$132,0)),"")</f>
        <v>Jump / Power</v>
      </c>
      <c r="C151" s="73" t="str">
        <f aca="false">IFERROR(INDEX($C$109:$C$132,MATCH(15,$F$109:$F$132,0)),"")</f>
        <v>SL Drop Jump RSI</v>
      </c>
      <c r="D151" s="73"/>
      <c r="E151" s="57" t="str">
        <f aca="false">IFERROR(INDEX($G$109:$G$132,MATCH(15,$F$109:$F$132,0)),"")</f>
        <v/>
      </c>
      <c r="F151" s="57" t="str">
        <f aca="false">IFERROR(INDEX($H$109:$H$132,MATCH(15,$F$109:$F$132,0)),"")</f>
        <v/>
      </c>
      <c r="G151" s="86" t="str">
        <f aca="false">IFERROR(INDEX($I$109:$I$132,MATCH(15,$F$109:$F$132,0)),"")</f>
        <v/>
      </c>
      <c r="H151" s="87" t="str">
        <f aca="false">IFERROR(INDEX($J$109:$J$132,MATCH(15,$F$109:$F$132,0)),"")</f>
        <v/>
      </c>
      <c r="I151" s="73" t="str">
        <f aca="false">IF(B151="","",IF(B151=B150,"",B151))</f>
        <v/>
      </c>
      <c r="J151" s="73"/>
      <c r="K151" s="57" t="str">
        <f aca="false">IFERROR(INDEX($K$109:$K$132,MATCH(15,$F$109:$F$132,0)),"")</f>
        <v/>
      </c>
    </row>
    <row r="152" customFormat="false" ht="13.5" hidden="false" customHeight="true" outlineLevel="0" collapsed="false">
      <c r="A152" s="57" t="n">
        <v>16</v>
      </c>
      <c r="B152" s="73" t="str">
        <f aca="false">IFERROR(INDEX($B$109:$B$132,MATCH(16,$F$109:$F$132,0)),"")</f>
        <v>Jump / Power</v>
      </c>
      <c r="C152" s="73" t="str">
        <f aca="false">IFERROR(INDEX($C$109:$C$132,MATCH(16,$F$109:$F$132,0)),"")</f>
        <v>10-5 Repeated Hops RSI</v>
      </c>
      <c r="D152" s="73"/>
      <c r="E152" s="57" t="str">
        <f aca="false">IFERROR(INDEX($G$109:$G$132,MATCH(16,$F$109:$F$132,0)),"")</f>
        <v/>
      </c>
      <c r="F152" s="57" t="str">
        <f aca="false">IFERROR(INDEX($H$109:$H$132,MATCH(16,$F$109:$F$132,0)),"")</f>
        <v/>
      </c>
      <c r="G152" s="86" t="str">
        <f aca="false">IFERROR(INDEX($I$109:$I$132,MATCH(16,$F$109:$F$132,0)),"")</f>
        <v/>
      </c>
      <c r="H152" s="87" t="str">
        <f aca="false">IFERROR(INDEX($J$109:$J$132,MATCH(16,$F$109:$F$132,0)),"")</f>
        <v/>
      </c>
      <c r="I152" s="73" t="str">
        <f aca="false">IF(B152="","",IF(B152=B151,"",B152))</f>
        <v/>
      </c>
      <c r="J152" s="73"/>
      <c r="K152" s="57" t="str">
        <f aca="false">IFERROR(INDEX($K$109:$K$132,MATCH(16,$F$109:$F$132,0)),"")</f>
        <v/>
      </c>
    </row>
    <row r="153" customFormat="false" ht="13.5" hidden="false" customHeight="true" outlineLevel="0" collapsed="false">
      <c r="A153" s="57" t="n">
        <v>17</v>
      </c>
      <c r="B153" s="73" t="str">
        <f aca="false">IFERROR(INDEX($B$109:$B$132,MATCH(17,$F$109:$F$132,0)),"")</f>
        <v/>
      </c>
      <c r="C153" s="73" t="str">
        <f aca="false">IFERROR(INDEX($C$109:$C$132,MATCH(17,$F$109:$F$132,0)),"")</f>
        <v/>
      </c>
      <c r="D153" s="73"/>
      <c r="E153" s="57" t="str">
        <f aca="false">IFERROR(INDEX($G$109:$G$132,MATCH(17,$F$109:$F$132,0)),"")</f>
        <v/>
      </c>
      <c r="F153" s="57" t="str">
        <f aca="false">IFERROR(INDEX($H$109:$H$132,MATCH(17,$F$109:$F$132,0)),"")</f>
        <v/>
      </c>
      <c r="G153" s="86" t="str">
        <f aca="false">IFERROR(INDEX($I$109:$I$132,MATCH(17,$F$109:$F$132,0)),"")</f>
        <v/>
      </c>
      <c r="H153" s="87" t="str">
        <f aca="false">IFERROR(INDEX($J$109:$J$132,MATCH(17,$F$109:$F$132,0)),"")</f>
        <v/>
      </c>
      <c r="I153" s="73" t="str">
        <f aca="false">IF(B153="","",IF(B153=B152,"",B153))</f>
        <v/>
      </c>
      <c r="J153" s="73"/>
      <c r="K153" s="57" t="str">
        <f aca="false">IFERROR(INDEX($K$109:$K$132,MATCH(17,$F$109:$F$132,0)),"")</f>
        <v/>
      </c>
    </row>
    <row r="154" customFormat="false" ht="13.5" hidden="false" customHeight="true" outlineLevel="0" collapsed="false">
      <c r="A154" s="57" t="n">
        <v>18</v>
      </c>
      <c r="B154" s="73" t="str">
        <f aca="false">IFERROR(INDEX($B$109:$B$132,MATCH(18,$F$109:$F$132,0)),"")</f>
        <v/>
      </c>
      <c r="C154" s="73" t="str">
        <f aca="false">IFERROR(INDEX($C$109:$C$132,MATCH(18,$F$109:$F$132,0)),"")</f>
        <v/>
      </c>
      <c r="D154" s="73"/>
      <c r="E154" s="57" t="str">
        <f aca="false">IFERROR(INDEX($G$109:$G$132,MATCH(18,$F$109:$F$132,0)),"")</f>
        <v/>
      </c>
      <c r="F154" s="57" t="str">
        <f aca="false">IFERROR(INDEX($H$109:$H$132,MATCH(18,$F$109:$F$132,0)),"")</f>
        <v/>
      </c>
      <c r="G154" s="86" t="str">
        <f aca="false">IFERROR(INDEX($I$109:$I$132,MATCH(18,$F$109:$F$132,0)),"")</f>
        <v/>
      </c>
      <c r="H154" s="87" t="str">
        <f aca="false">IFERROR(INDEX($J$109:$J$132,MATCH(18,$F$109:$F$132,0)),"")</f>
        <v/>
      </c>
      <c r="I154" s="73" t="str">
        <f aca="false">IF(B154="","",IF(B154=B153,"",B154))</f>
        <v/>
      </c>
      <c r="J154" s="73"/>
      <c r="K154" s="57" t="str">
        <f aca="false">IFERROR(INDEX($K$109:$K$132,MATCH(18,$F$109:$F$132,0)),"")</f>
        <v/>
      </c>
    </row>
    <row r="155" customFormat="false" ht="13.5" hidden="false" customHeight="true" outlineLevel="0" collapsed="false">
      <c r="A155" s="57" t="n">
        <v>19</v>
      </c>
      <c r="B155" s="73" t="str">
        <f aca="false">IFERROR(INDEX($B$109:$B$132,MATCH(19,$F$109:$F$132,0)),"")</f>
        <v/>
      </c>
      <c r="C155" s="73" t="str">
        <f aca="false">IFERROR(INDEX($C$109:$C$132,MATCH(19,$F$109:$F$132,0)),"")</f>
        <v/>
      </c>
      <c r="D155" s="73"/>
      <c r="E155" s="57" t="str">
        <f aca="false">IFERROR(INDEX($G$109:$G$132,MATCH(19,$F$109:$F$132,0)),"")</f>
        <v/>
      </c>
      <c r="F155" s="57" t="str">
        <f aca="false">IFERROR(INDEX($H$109:$H$132,MATCH(19,$F$109:$F$132,0)),"")</f>
        <v/>
      </c>
      <c r="G155" s="86" t="str">
        <f aca="false">IFERROR(INDEX($I$109:$I$132,MATCH(19,$F$109:$F$132,0)),"")</f>
        <v/>
      </c>
      <c r="H155" s="87" t="str">
        <f aca="false">IFERROR(INDEX($J$109:$J$132,MATCH(19,$F$109:$F$132,0)),"")</f>
        <v/>
      </c>
      <c r="I155" s="73" t="str">
        <f aca="false">IF(B155="","",IF(B155=B154,"",B155))</f>
        <v/>
      </c>
      <c r="J155" s="73"/>
      <c r="K155" s="57" t="str">
        <f aca="false">IFERROR(INDEX($K$109:$K$132,MATCH(19,$F$109:$F$132,0)),"")</f>
        <v/>
      </c>
    </row>
    <row r="156" customFormat="false" ht="13.5" hidden="false" customHeight="true" outlineLevel="0" collapsed="false">
      <c r="A156" s="57" t="n">
        <v>20</v>
      </c>
      <c r="B156" s="73" t="str">
        <f aca="false">IFERROR(INDEX($B$109:$B$132,MATCH(20,$F$109:$F$132,0)),"")</f>
        <v/>
      </c>
      <c r="C156" s="73" t="str">
        <f aca="false">IFERROR(INDEX($C$109:$C$132,MATCH(20,$F$109:$F$132,0)),"")</f>
        <v/>
      </c>
      <c r="D156" s="73"/>
      <c r="E156" s="57" t="str">
        <f aca="false">IFERROR(INDEX($G$109:$G$132,MATCH(20,$F$109:$F$132,0)),"")</f>
        <v/>
      </c>
      <c r="F156" s="57" t="str">
        <f aca="false">IFERROR(INDEX($H$109:$H$132,MATCH(20,$F$109:$F$132,0)),"")</f>
        <v/>
      </c>
      <c r="G156" s="86" t="str">
        <f aca="false">IFERROR(INDEX($I$109:$I$132,MATCH(20,$F$109:$F$132,0)),"")</f>
        <v/>
      </c>
      <c r="H156" s="87" t="str">
        <f aca="false">IFERROR(INDEX($J$109:$J$132,MATCH(20,$F$109:$F$132,0)),"")</f>
        <v/>
      </c>
      <c r="I156" s="73" t="str">
        <f aca="false">IF(B156="","",IF(B156=B155,"",B156))</f>
        <v/>
      </c>
      <c r="J156" s="73"/>
      <c r="K156" s="57" t="str">
        <f aca="false">IFERROR(INDEX($K$109:$K$132,MATCH(20,$F$109:$F$132,0)),"")</f>
        <v/>
      </c>
    </row>
    <row r="157" customFormat="false" ht="13.5" hidden="false" customHeight="true" outlineLevel="0" collapsed="false">
      <c r="A157" s="57" t="n">
        <v>21</v>
      </c>
      <c r="B157" s="73" t="str">
        <f aca="false">IFERROR(INDEX($B$109:$B$132,MATCH(21,$F$109:$F$132,0)),"")</f>
        <v/>
      </c>
      <c r="C157" s="73" t="str">
        <f aca="false">IFERROR(INDEX($C$109:$C$132,MATCH(21,$F$109:$F$132,0)),"")</f>
        <v/>
      </c>
      <c r="D157" s="73"/>
      <c r="E157" s="57" t="str">
        <f aca="false">IFERROR(INDEX($G$109:$G$132,MATCH(21,$F$109:$F$132,0)),"")</f>
        <v/>
      </c>
      <c r="F157" s="57" t="str">
        <f aca="false">IFERROR(INDEX($H$109:$H$132,MATCH(21,$F$109:$F$132,0)),"")</f>
        <v/>
      </c>
      <c r="G157" s="86" t="str">
        <f aca="false">IFERROR(INDEX($I$109:$I$132,MATCH(21,$F$109:$F$132,0)),"")</f>
        <v/>
      </c>
      <c r="H157" s="87" t="str">
        <f aca="false">IFERROR(INDEX($J$109:$J$132,MATCH(21,$F$109:$F$132,0)),"")</f>
        <v/>
      </c>
      <c r="I157" s="73" t="str">
        <f aca="false">IF(B157="","",IF(B157=B156,"",B157))</f>
        <v/>
      </c>
      <c r="J157" s="73"/>
      <c r="K157" s="57" t="str">
        <f aca="false">IFERROR(INDEX($K$109:$K$132,MATCH(21,$F$109:$F$132,0)),"")</f>
        <v/>
      </c>
    </row>
    <row r="158" customFormat="false" ht="13.5" hidden="false" customHeight="true" outlineLevel="0" collapsed="false">
      <c r="A158" s="57" t="n">
        <v>22</v>
      </c>
      <c r="B158" s="73" t="str">
        <f aca="false">IFERROR(INDEX($B$109:$B$132,MATCH(22,$F$109:$F$132,0)),"")</f>
        <v/>
      </c>
      <c r="C158" s="73" t="str">
        <f aca="false">IFERROR(INDEX($C$109:$C$132,MATCH(22,$F$109:$F$132,0)),"")</f>
        <v/>
      </c>
      <c r="D158" s="73"/>
      <c r="E158" s="57" t="str">
        <f aca="false">IFERROR(INDEX($G$109:$G$132,MATCH(22,$F$109:$F$132,0)),"")</f>
        <v/>
      </c>
      <c r="F158" s="57" t="str">
        <f aca="false">IFERROR(INDEX($H$109:$H$132,MATCH(22,$F$109:$F$132,0)),"")</f>
        <v/>
      </c>
      <c r="G158" s="86" t="str">
        <f aca="false">IFERROR(INDEX($I$109:$I$132,MATCH(22,$F$109:$F$132,0)),"")</f>
        <v/>
      </c>
      <c r="H158" s="87" t="str">
        <f aca="false">IFERROR(INDEX($J$109:$J$132,MATCH(22,$F$109:$F$132,0)),"")</f>
        <v/>
      </c>
      <c r="I158" s="73" t="str">
        <f aca="false">IF(B158="","",IF(B158=B157,"",B158))</f>
        <v/>
      </c>
      <c r="J158" s="73"/>
      <c r="K158" s="57" t="str">
        <f aca="false">IFERROR(INDEX($K$109:$K$132,MATCH(22,$F$109:$F$132,0)),"")</f>
        <v/>
      </c>
    </row>
    <row r="159" customFormat="false" ht="13.5" hidden="false" customHeight="true" outlineLevel="0" collapsed="false">
      <c r="A159" s="57" t="n">
        <v>23</v>
      </c>
      <c r="B159" s="73" t="str">
        <f aca="false">IFERROR(INDEX($B$109:$B$132,MATCH(23,$F$109:$F$132,0)),"")</f>
        <v/>
      </c>
      <c r="C159" s="73" t="str">
        <f aca="false">IFERROR(INDEX($C$109:$C$132,MATCH(23,$F$109:$F$132,0)),"")</f>
        <v/>
      </c>
      <c r="D159" s="73"/>
      <c r="E159" s="57" t="str">
        <f aca="false">IFERROR(INDEX($G$109:$G$132,MATCH(23,$F$109:$F$132,0)),"")</f>
        <v/>
      </c>
      <c r="F159" s="57" t="str">
        <f aca="false">IFERROR(INDEX($H$109:$H$132,MATCH(23,$F$109:$F$132,0)),"")</f>
        <v/>
      </c>
      <c r="G159" s="86" t="str">
        <f aca="false">IFERROR(INDEX($I$109:$I$132,MATCH(23,$F$109:$F$132,0)),"")</f>
        <v/>
      </c>
      <c r="H159" s="87" t="str">
        <f aca="false">IFERROR(INDEX($J$109:$J$132,MATCH(23,$F$109:$F$132,0)),"")</f>
        <v/>
      </c>
      <c r="I159" s="73" t="str">
        <f aca="false">IF(B159="","",IF(B159=B158,"",B159))</f>
        <v/>
      </c>
      <c r="J159" s="73"/>
      <c r="K159" s="57" t="str">
        <f aca="false">IFERROR(INDEX($K$109:$K$132,MATCH(23,$F$109:$F$132,0)),"")</f>
        <v/>
      </c>
    </row>
    <row r="160" customFormat="false" ht="13.5" hidden="false" customHeight="true" outlineLevel="0" collapsed="false">
      <c r="A160" s="57" t="n">
        <v>24</v>
      </c>
      <c r="B160" s="73" t="str">
        <f aca="false">IFERROR(INDEX($B$109:$B$132,MATCH(24,$F$109:$F$132,0)),"")</f>
        <v/>
      </c>
      <c r="C160" s="73" t="str">
        <f aca="false">IFERROR(INDEX($C$109:$C$132,MATCH(24,$F$109:$F$132,0)),"")</f>
        <v/>
      </c>
      <c r="D160" s="73"/>
      <c r="E160" s="57" t="str">
        <f aca="false">IFERROR(INDEX($G$109:$G$132,MATCH(24,$F$109:$F$132,0)),"")</f>
        <v/>
      </c>
      <c r="F160" s="57" t="str">
        <f aca="false">IFERROR(INDEX($H$109:$H$132,MATCH(24,$F$109:$F$132,0)),"")</f>
        <v/>
      </c>
      <c r="G160" s="86" t="str">
        <f aca="false">IFERROR(INDEX($I$109:$I$132,MATCH(24,$F$109:$F$132,0)),"")</f>
        <v/>
      </c>
      <c r="H160" s="87" t="str">
        <f aca="false">IFERROR(INDEX($J$109:$J$132,MATCH(24,$F$109:$F$132,0)),"")</f>
        <v/>
      </c>
      <c r="I160" s="73" t="str">
        <f aca="false">IF(B160="","",IF(B160=B159,"",B160))</f>
        <v/>
      </c>
      <c r="J160" s="73"/>
      <c r="K160" s="57" t="str">
        <f aca="false">IFERROR(INDEX($K$109:$K$132,MATCH(24,$F$109:$F$132,0)),"")</f>
        <v/>
      </c>
    </row>
  </sheetData>
  <mergeCells count="282">
    <mergeCell ref="A1:AA1"/>
    <mergeCell ref="A2:AA2"/>
    <mergeCell ref="A4:AA4"/>
    <mergeCell ref="B5:C5"/>
    <mergeCell ref="D5:J5"/>
    <mergeCell ref="K5:M5"/>
    <mergeCell ref="Q5:R5"/>
    <mergeCell ref="V5:W5"/>
    <mergeCell ref="X5:AA5"/>
    <mergeCell ref="B6:C8"/>
    <mergeCell ref="D6:J6"/>
    <mergeCell ref="K6:M6"/>
    <mergeCell ref="Q6:R6"/>
    <mergeCell ref="V6:W6"/>
    <mergeCell ref="X6:AA6"/>
    <mergeCell ref="D7:J7"/>
    <mergeCell ref="K7:M7"/>
    <mergeCell ref="Q7:R7"/>
    <mergeCell ref="V7:W7"/>
    <mergeCell ref="X7:AA7"/>
    <mergeCell ref="D8:J8"/>
    <mergeCell ref="K8:M8"/>
    <mergeCell ref="Q8:R8"/>
    <mergeCell ref="V8:W8"/>
    <mergeCell ref="X8:AA8"/>
    <mergeCell ref="B9:C11"/>
    <mergeCell ref="D9:J9"/>
    <mergeCell ref="K9:M9"/>
    <mergeCell ref="Q9:R9"/>
    <mergeCell ref="V9:W9"/>
    <mergeCell ref="X9:AA9"/>
    <mergeCell ref="D10:J10"/>
    <mergeCell ref="K10:M10"/>
    <mergeCell ref="Q10:R10"/>
    <mergeCell ref="V10:W10"/>
    <mergeCell ref="X10:AA10"/>
    <mergeCell ref="D11:J11"/>
    <mergeCell ref="K11:M11"/>
    <mergeCell ref="Q11:R11"/>
    <mergeCell ref="V11:W11"/>
    <mergeCell ref="X11:AA11"/>
    <mergeCell ref="B12:C14"/>
    <mergeCell ref="D12:J12"/>
    <mergeCell ref="K12:M12"/>
    <mergeCell ref="Q12:R12"/>
    <mergeCell ref="V12:W12"/>
    <mergeCell ref="X12:AA12"/>
    <mergeCell ref="D13:J13"/>
    <mergeCell ref="K13:M13"/>
    <mergeCell ref="Q13:R13"/>
    <mergeCell ref="V13:W13"/>
    <mergeCell ref="X13:AA13"/>
    <mergeCell ref="D14:J14"/>
    <mergeCell ref="K14:M14"/>
    <mergeCell ref="Q14:R14"/>
    <mergeCell ref="V14:W14"/>
    <mergeCell ref="X14:AA14"/>
    <mergeCell ref="B15:C17"/>
    <mergeCell ref="D15:J15"/>
    <mergeCell ref="K15:M15"/>
    <mergeCell ref="Q15:R15"/>
    <mergeCell ref="V15:W15"/>
    <mergeCell ref="X15:AA15"/>
    <mergeCell ref="D16:J16"/>
    <mergeCell ref="K16:M16"/>
    <mergeCell ref="Q16:R16"/>
    <mergeCell ref="V16:W16"/>
    <mergeCell ref="X16:AA16"/>
    <mergeCell ref="D17:J17"/>
    <mergeCell ref="K17:M17"/>
    <mergeCell ref="Q17:R17"/>
    <mergeCell ref="V17:W17"/>
    <mergeCell ref="X17:AA17"/>
    <mergeCell ref="B18:C20"/>
    <mergeCell ref="D18:J18"/>
    <mergeCell ref="K18:M18"/>
    <mergeCell ref="Q18:R18"/>
    <mergeCell ref="V18:W18"/>
    <mergeCell ref="X18:AA18"/>
    <mergeCell ref="D19:J19"/>
    <mergeCell ref="K19:M19"/>
    <mergeCell ref="Q19:R19"/>
    <mergeCell ref="V19:W19"/>
    <mergeCell ref="X19:AA19"/>
    <mergeCell ref="D20:J20"/>
    <mergeCell ref="K20:M20"/>
    <mergeCell ref="Q20:R20"/>
    <mergeCell ref="V20:W20"/>
    <mergeCell ref="X20:AA20"/>
    <mergeCell ref="B21:C23"/>
    <mergeCell ref="D21:J21"/>
    <mergeCell ref="K21:M21"/>
    <mergeCell ref="Q21:R21"/>
    <mergeCell ref="V21:W21"/>
    <mergeCell ref="X21:AA21"/>
    <mergeCell ref="D22:J22"/>
    <mergeCell ref="K22:M22"/>
    <mergeCell ref="Q22:R22"/>
    <mergeCell ref="V22:W22"/>
    <mergeCell ref="X22:AA22"/>
    <mergeCell ref="D23:J23"/>
    <mergeCell ref="K23:M23"/>
    <mergeCell ref="Q23:R23"/>
    <mergeCell ref="V23:W23"/>
    <mergeCell ref="X23:AA23"/>
    <mergeCell ref="B24:C24"/>
    <mergeCell ref="D24:J24"/>
    <mergeCell ref="K24:M24"/>
    <mergeCell ref="N24:AA24"/>
    <mergeCell ref="B25:C25"/>
    <mergeCell ref="D25:J25"/>
    <mergeCell ref="K25:M25"/>
    <mergeCell ref="N25:AA25"/>
    <mergeCell ref="B26:C26"/>
    <mergeCell ref="D26:J26"/>
    <mergeCell ref="K26:M26"/>
    <mergeCell ref="N26:AA26"/>
    <mergeCell ref="B27:C27"/>
    <mergeCell ref="D27:J27"/>
    <mergeCell ref="K27:M27"/>
    <mergeCell ref="N27:AA27"/>
    <mergeCell ref="B28:C28"/>
    <mergeCell ref="D28:J28"/>
    <mergeCell ref="K28:M28"/>
    <mergeCell ref="N28:AA28"/>
    <mergeCell ref="B29:C29"/>
    <mergeCell ref="D29:J29"/>
    <mergeCell ref="K29:M29"/>
    <mergeCell ref="N29:AA29"/>
    <mergeCell ref="B30:C30"/>
    <mergeCell ref="D30:J30"/>
    <mergeCell ref="K30:M30"/>
    <mergeCell ref="N30:AA30"/>
    <mergeCell ref="A31:D31"/>
    <mergeCell ref="E31:J31"/>
    <mergeCell ref="K31:N31"/>
    <mergeCell ref="O31:Q31"/>
    <mergeCell ref="T31:AA31"/>
    <mergeCell ref="A33:AA33"/>
    <mergeCell ref="A34:A35"/>
    <mergeCell ref="B34:B35"/>
    <mergeCell ref="C34:E34"/>
    <mergeCell ref="F34:H34"/>
    <mergeCell ref="I34:K34"/>
    <mergeCell ref="L34:N34"/>
    <mergeCell ref="O34:Q34"/>
    <mergeCell ref="R34:T34"/>
    <mergeCell ref="U34:W34"/>
    <mergeCell ref="X34:Z34"/>
    <mergeCell ref="AA34:AA35"/>
    <mergeCell ref="A48:B48"/>
    <mergeCell ref="A49:B49"/>
    <mergeCell ref="C49:E49"/>
    <mergeCell ref="F49:H49"/>
    <mergeCell ref="I49:K49"/>
    <mergeCell ref="L49:N49"/>
    <mergeCell ref="O49:Q49"/>
    <mergeCell ref="R49:T49"/>
    <mergeCell ref="U49:W49"/>
    <mergeCell ref="X49:Z49"/>
    <mergeCell ref="A51:AA51"/>
    <mergeCell ref="A52:A53"/>
    <mergeCell ref="B52:B53"/>
    <mergeCell ref="C52:E52"/>
    <mergeCell ref="F52:H52"/>
    <mergeCell ref="I52:K52"/>
    <mergeCell ref="L52:N52"/>
    <mergeCell ref="O52:Q52"/>
    <mergeCell ref="R52:T52"/>
    <mergeCell ref="U52:W52"/>
    <mergeCell ref="X52:Z52"/>
    <mergeCell ref="AA52:AA53"/>
    <mergeCell ref="A66:B66"/>
    <mergeCell ref="A67:B67"/>
    <mergeCell ref="C67:E67"/>
    <mergeCell ref="F67:H67"/>
    <mergeCell ref="I67:K67"/>
    <mergeCell ref="L67:N67"/>
    <mergeCell ref="O67:Q67"/>
    <mergeCell ref="R67:T67"/>
    <mergeCell ref="U67:W67"/>
    <mergeCell ref="X67:Z67"/>
    <mergeCell ref="A69:AA69"/>
    <mergeCell ref="A70:A71"/>
    <mergeCell ref="B70:B71"/>
    <mergeCell ref="C70:E70"/>
    <mergeCell ref="F70:H70"/>
    <mergeCell ref="I70:K70"/>
    <mergeCell ref="L70:N70"/>
    <mergeCell ref="O70:Q70"/>
    <mergeCell ref="R70:T70"/>
    <mergeCell ref="U70:W70"/>
    <mergeCell ref="X70:Z70"/>
    <mergeCell ref="AA70:AA71"/>
    <mergeCell ref="A84:B84"/>
    <mergeCell ref="A85:B85"/>
    <mergeCell ref="C85:E85"/>
    <mergeCell ref="F85:H85"/>
    <mergeCell ref="I85:K85"/>
    <mergeCell ref="L85:N85"/>
    <mergeCell ref="O85:Q85"/>
    <mergeCell ref="R85:T85"/>
    <mergeCell ref="U85:W85"/>
    <mergeCell ref="X85:Z85"/>
    <mergeCell ref="A87:AA87"/>
    <mergeCell ref="A107:J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A135:J135"/>
    <mergeCell ref="C136:D136"/>
    <mergeCell ref="I136:J136"/>
    <mergeCell ref="C137:D137"/>
    <mergeCell ref="I137:J137"/>
    <mergeCell ref="C138:D138"/>
    <mergeCell ref="I138:J138"/>
    <mergeCell ref="C139:D139"/>
    <mergeCell ref="I139:J139"/>
    <mergeCell ref="C140:D140"/>
    <mergeCell ref="I140:J140"/>
    <mergeCell ref="C141:D141"/>
    <mergeCell ref="I141:J141"/>
    <mergeCell ref="C142:D142"/>
    <mergeCell ref="I142:J142"/>
    <mergeCell ref="C143:D143"/>
    <mergeCell ref="I143:J143"/>
    <mergeCell ref="C144:D144"/>
    <mergeCell ref="I144:J144"/>
    <mergeCell ref="C145:D145"/>
    <mergeCell ref="I145:J145"/>
    <mergeCell ref="C146:D146"/>
    <mergeCell ref="I146:J146"/>
    <mergeCell ref="C147:D147"/>
    <mergeCell ref="I147:J147"/>
    <mergeCell ref="C148:D148"/>
    <mergeCell ref="I148:J148"/>
    <mergeCell ref="C149:D149"/>
    <mergeCell ref="I149:J149"/>
    <mergeCell ref="C150:D150"/>
    <mergeCell ref="I150:J150"/>
    <mergeCell ref="C151:D151"/>
    <mergeCell ref="I151:J151"/>
    <mergeCell ref="C152:D152"/>
    <mergeCell ref="I152:J152"/>
    <mergeCell ref="C153:D153"/>
    <mergeCell ref="I153:J153"/>
    <mergeCell ref="C154:D154"/>
    <mergeCell ref="I154:J154"/>
    <mergeCell ref="C155:D155"/>
    <mergeCell ref="I155:J155"/>
    <mergeCell ref="C156:D156"/>
    <mergeCell ref="I156:J156"/>
    <mergeCell ref="C157:D157"/>
    <mergeCell ref="I157:J157"/>
    <mergeCell ref="C158:D158"/>
    <mergeCell ref="I158:J158"/>
    <mergeCell ref="C159:D159"/>
    <mergeCell ref="I159:J159"/>
    <mergeCell ref="C160:D160"/>
    <mergeCell ref="I160:J160"/>
  </mergeCells>
  <conditionalFormatting sqref="S6:S23">
    <cfRule type="expression" priority="2" aboveAverage="0" equalAverage="0" bottom="0" percent="0" rank="0" text="" dxfId="12">
      <formula>OR(S6="READY",S6="COMPLETE",S6="MET",S6="Y")</formula>
    </cfRule>
    <cfRule type="expression" priority="3" aboveAverage="0" equalAverage="0" bottom="0" percent="0" rank="0" text="" dxfId="13">
      <formula>S6="IN PROGRESS"</formula>
    </cfRule>
    <cfRule type="expression" priority="4" aboveAverage="0" equalAverage="0" bottom="0" percent="0" rank="0" text="" dxfId="14">
      <formula>OR(S6="NOT READY",S6="NOT STARTED",S6="BELOW",S6="N",S6="NOT MET")</formula>
    </cfRule>
  </conditionalFormatting>
  <conditionalFormatting sqref="U6:U23">
    <cfRule type="expression" priority="5" aboveAverage="0" equalAverage="0" bottom="0" percent="0" rank="0" text="" dxfId="12">
      <formula>OR(U6="READY",U6="COMPLETE",U6="MET",U6="Y")</formula>
    </cfRule>
    <cfRule type="expression" priority="6" aboveAverage="0" equalAverage="0" bottom="0" percent="0" rank="0" text="" dxfId="13">
      <formula>U6="IN PROGRESS"</formula>
    </cfRule>
    <cfRule type="expression" priority="7" aboveAverage="0" equalAverage="0" bottom="0" percent="0" rank="0" text="" dxfId="14">
      <formula>OR(U6="NOT READY",U6="NOT STARTED",U6="BELOW",U6="N",U6="NOT MET")</formula>
    </cfRule>
  </conditionalFormatting>
  <conditionalFormatting sqref="T6:T23">
    <cfRule type="expression" priority="8" aboveAverage="0" equalAverage="0" bottom="0" percent="0" rank="0" text="" dxfId="12">
      <formula>OR(T6="READY",T6="COMPLETE",T6="MET",T6="Y")</formula>
    </cfRule>
    <cfRule type="expression" priority="9" aboveAverage="0" equalAverage="0" bottom="0" percent="0" rank="0" text="" dxfId="13">
      <formula>T6="IN PROGRESS"</formula>
    </cfRule>
    <cfRule type="expression" priority="10" aboveAverage="0" equalAverage="0" bottom="0" percent="0" rank="0" text="" dxfId="14">
      <formula>OR(T6="NOT READY",T6="NOT STARTED",T6="BELOW",T6="N",T6="NOT MET")</formula>
    </cfRule>
  </conditionalFormatting>
  <conditionalFormatting sqref="K25:K30">
    <cfRule type="expression" priority="11" aboveAverage="0" equalAverage="0" bottom="0" percent="0" rank="0" text="" dxfId="12">
      <formula>OR(K25="READY",K25="COMPLETE",K25="MET",K25="Y")</formula>
    </cfRule>
    <cfRule type="expression" priority="12" aboveAverage="0" equalAverage="0" bottom="0" percent="0" rank="0" text="" dxfId="13">
      <formula>K25="IN PROGRESS"</formula>
    </cfRule>
    <cfRule type="expression" priority="13" aboveAverage="0" equalAverage="0" bottom="0" percent="0" rank="0" text="" dxfId="14">
      <formula>OR(K25="NOT READY",K25="NOT STARTED",K25="BELOW",K25="N",K25="NOT MET")</formula>
    </cfRule>
  </conditionalFormatting>
  <conditionalFormatting sqref="R31">
    <cfRule type="expression" priority="14" aboveAverage="0" equalAverage="0" bottom="0" percent="0" rank="0" text="" dxfId="12">
      <formula>OR(R31="READY",R31="COMPLETE",R31="MET",R31="Y")</formula>
    </cfRule>
    <cfRule type="expression" priority="15" aboveAverage="0" equalAverage="0" bottom="0" percent="0" rank="0" text="" dxfId="13">
      <formula>R31="IN PROGRESS"</formula>
    </cfRule>
    <cfRule type="expression" priority="16" aboveAverage="0" equalAverage="0" bottom="0" percent="0" rank="0" text="" dxfId="14">
      <formula>OR(R31="NOT READY",R31="NOT STARTED",R31="BELOW",R31="N",R31="NOT MET")</formula>
    </cfRule>
  </conditionalFormatting>
  <conditionalFormatting sqref="E36:E48">
    <cfRule type="expression" priority="17" aboveAverage="0" equalAverage="0" bottom="0" percent="0" rank="0" text="" dxfId="7">
      <formula>AND(ISNUMBER(E36),E36&gt;=0.9)</formula>
    </cfRule>
    <cfRule type="expression" priority="18" aboveAverage="0" equalAverage="0" bottom="0" percent="0" rank="0" text="" dxfId="8">
      <formula>AND(ISNUMBER(E36),E36&gt;=0.8,E36&lt;0.9)</formula>
    </cfRule>
    <cfRule type="expression" priority="19" aboveAverage="0" equalAverage="0" bottom="0" percent="0" rank="0" text="" dxfId="9">
      <formula>AND(ISNUMBER(E36),E36&lt;0.8)</formula>
    </cfRule>
  </conditionalFormatting>
  <conditionalFormatting sqref="H36:H48">
    <cfRule type="expression" priority="20" aboveAverage="0" equalAverage="0" bottom="0" percent="0" rank="0" text="" dxfId="7">
      <formula>AND(ISNUMBER(H36),H36&gt;=0.9)</formula>
    </cfRule>
    <cfRule type="expression" priority="21" aboveAverage="0" equalAverage="0" bottom="0" percent="0" rank="0" text="" dxfId="8">
      <formula>AND(ISNUMBER(H36),H36&gt;=0.8,H36&lt;0.9)</formula>
    </cfRule>
    <cfRule type="expression" priority="22" aboveAverage="0" equalAverage="0" bottom="0" percent="0" rank="0" text="" dxfId="9">
      <formula>AND(ISNUMBER(H36),H36&lt;0.8)</formula>
    </cfRule>
  </conditionalFormatting>
  <conditionalFormatting sqref="K36:K48">
    <cfRule type="expression" priority="23" aboveAverage="0" equalAverage="0" bottom="0" percent="0" rank="0" text="" dxfId="7">
      <formula>AND(ISNUMBER(K36),K36&gt;=0.9)</formula>
    </cfRule>
    <cfRule type="expression" priority="24" aboveAverage="0" equalAverage="0" bottom="0" percent="0" rank="0" text="" dxfId="8">
      <formula>AND(ISNUMBER(K36),K36&gt;=0.8,K36&lt;0.9)</formula>
    </cfRule>
    <cfRule type="expression" priority="25" aboveAverage="0" equalAverage="0" bottom="0" percent="0" rank="0" text="" dxfId="9">
      <formula>AND(ISNUMBER(K36),K36&lt;0.8)</formula>
    </cfRule>
  </conditionalFormatting>
  <conditionalFormatting sqref="N36:N48">
    <cfRule type="expression" priority="26" aboveAverage="0" equalAverage="0" bottom="0" percent="0" rank="0" text="" dxfId="7">
      <formula>AND(ISNUMBER(N36),N36&gt;=0.9)</formula>
    </cfRule>
    <cfRule type="expression" priority="27" aboveAverage="0" equalAverage="0" bottom="0" percent="0" rank="0" text="" dxfId="8">
      <formula>AND(ISNUMBER(N36),N36&gt;=0.8,N36&lt;0.9)</formula>
    </cfRule>
    <cfRule type="expression" priority="28" aboveAverage="0" equalAverage="0" bottom="0" percent="0" rank="0" text="" dxfId="9">
      <formula>AND(ISNUMBER(N36),N36&lt;0.8)</formula>
    </cfRule>
  </conditionalFormatting>
  <conditionalFormatting sqref="Q36:Q48">
    <cfRule type="expression" priority="29" aboveAverage="0" equalAverage="0" bottom="0" percent="0" rank="0" text="" dxfId="7">
      <formula>AND(ISNUMBER(Q36),Q36&gt;=0.9)</formula>
    </cfRule>
    <cfRule type="expression" priority="30" aboveAverage="0" equalAverage="0" bottom="0" percent="0" rank="0" text="" dxfId="8">
      <formula>AND(ISNUMBER(Q36),Q36&gt;=0.8,Q36&lt;0.9)</formula>
    </cfRule>
    <cfRule type="expression" priority="31" aboveAverage="0" equalAverage="0" bottom="0" percent="0" rank="0" text="" dxfId="9">
      <formula>AND(ISNUMBER(Q36),Q36&lt;0.8)</formula>
    </cfRule>
  </conditionalFormatting>
  <conditionalFormatting sqref="T36:T48">
    <cfRule type="expression" priority="32" aboveAverage="0" equalAverage="0" bottom="0" percent="0" rank="0" text="" dxfId="7">
      <formula>AND(ISNUMBER(T36),T36&gt;=0.9)</formula>
    </cfRule>
    <cfRule type="expression" priority="33" aboveAverage="0" equalAverage="0" bottom="0" percent="0" rank="0" text="" dxfId="8">
      <formula>AND(ISNUMBER(T36),T36&gt;=0.8,T36&lt;0.9)</formula>
    </cfRule>
    <cfRule type="expression" priority="34" aboveAverage="0" equalAverage="0" bottom="0" percent="0" rank="0" text="" dxfId="9">
      <formula>AND(ISNUMBER(T36),T36&lt;0.8)</formula>
    </cfRule>
  </conditionalFormatting>
  <conditionalFormatting sqref="W36:W48">
    <cfRule type="expression" priority="35" aboveAverage="0" equalAverage="0" bottom="0" percent="0" rank="0" text="" dxfId="7">
      <formula>AND(ISNUMBER(W36),W36&gt;=0.9)</formula>
    </cfRule>
    <cfRule type="expression" priority="36" aboveAverage="0" equalAverage="0" bottom="0" percent="0" rank="0" text="" dxfId="8">
      <formula>AND(ISNUMBER(W36),W36&gt;=0.8,W36&lt;0.9)</formula>
    </cfRule>
    <cfRule type="expression" priority="37" aboveAverage="0" equalAverage="0" bottom="0" percent="0" rank="0" text="" dxfId="9">
      <formula>AND(ISNUMBER(W36),W36&lt;0.8)</formula>
    </cfRule>
  </conditionalFormatting>
  <conditionalFormatting sqref="Z36:Z48">
    <cfRule type="expression" priority="38" aboveAverage="0" equalAverage="0" bottom="0" percent="0" rank="0" text="" dxfId="7">
      <formula>AND(ISNUMBER(Z36),Z36&gt;=0.9)</formula>
    </cfRule>
    <cfRule type="expression" priority="39" aboveAverage="0" equalAverage="0" bottom="0" percent="0" rank="0" text="" dxfId="8">
      <formula>AND(ISNUMBER(Z36),Z36&gt;=0.8,Z36&lt;0.9)</formula>
    </cfRule>
    <cfRule type="expression" priority="40" aboveAverage="0" equalAverage="0" bottom="0" percent="0" rank="0" text="" dxfId="9">
      <formula>AND(ISNUMBER(Z36),Z36&lt;0.8)</formula>
    </cfRule>
  </conditionalFormatting>
  <conditionalFormatting sqref="E54:E66">
    <cfRule type="expression" priority="41" aboveAverage="0" equalAverage="0" bottom="0" percent="0" rank="0" text="" dxfId="7">
      <formula>AND(ISNUMBER(E54),E54&gt;=0.9)</formula>
    </cfRule>
    <cfRule type="expression" priority="42" aboveAverage="0" equalAverage="0" bottom="0" percent="0" rank="0" text="" dxfId="8">
      <formula>AND(ISNUMBER(E54),E54&gt;=0.8,E54&lt;0.9)</formula>
    </cfRule>
    <cfRule type="expression" priority="43" aboveAverage="0" equalAverage="0" bottom="0" percent="0" rank="0" text="" dxfId="9">
      <formula>AND(ISNUMBER(E54),E54&lt;0.8)</formula>
    </cfRule>
  </conditionalFormatting>
  <conditionalFormatting sqref="H54:H66">
    <cfRule type="expression" priority="44" aboveAverage="0" equalAverage="0" bottom="0" percent="0" rank="0" text="" dxfId="7">
      <formula>AND(ISNUMBER(H54),H54&gt;=0.9)</formula>
    </cfRule>
    <cfRule type="expression" priority="45" aboveAverage="0" equalAverage="0" bottom="0" percent="0" rank="0" text="" dxfId="8">
      <formula>AND(ISNUMBER(H54),H54&gt;=0.8,H54&lt;0.9)</formula>
    </cfRule>
    <cfRule type="expression" priority="46" aboveAverage="0" equalAverage="0" bottom="0" percent="0" rank="0" text="" dxfId="9">
      <formula>AND(ISNUMBER(H54),H54&lt;0.8)</formula>
    </cfRule>
  </conditionalFormatting>
  <conditionalFormatting sqref="K54:K66">
    <cfRule type="expression" priority="47" aboveAverage="0" equalAverage="0" bottom="0" percent="0" rank="0" text="" dxfId="7">
      <formula>AND(ISNUMBER(K54),K54&gt;=0.9)</formula>
    </cfRule>
    <cfRule type="expression" priority="48" aboveAverage="0" equalAverage="0" bottom="0" percent="0" rank="0" text="" dxfId="8">
      <formula>AND(ISNUMBER(K54),K54&gt;=0.8,K54&lt;0.9)</formula>
    </cfRule>
    <cfRule type="expression" priority="49" aboveAverage="0" equalAverage="0" bottom="0" percent="0" rank="0" text="" dxfId="9">
      <formula>AND(ISNUMBER(K54),K54&lt;0.8)</formula>
    </cfRule>
  </conditionalFormatting>
  <conditionalFormatting sqref="N54:N66">
    <cfRule type="expression" priority="50" aboveAverage="0" equalAverage="0" bottom="0" percent="0" rank="0" text="" dxfId="7">
      <formula>AND(ISNUMBER(N54),N54&gt;=0.9)</formula>
    </cfRule>
    <cfRule type="expression" priority="51" aboveAverage="0" equalAverage="0" bottom="0" percent="0" rank="0" text="" dxfId="8">
      <formula>AND(ISNUMBER(N54),N54&gt;=0.8,N54&lt;0.9)</formula>
    </cfRule>
    <cfRule type="expression" priority="52" aboveAverage="0" equalAverage="0" bottom="0" percent="0" rank="0" text="" dxfId="9">
      <formula>AND(ISNUMBER(N54),N54&lt;0.8)</formula>
    </cfRule>
  </conditionalFormatting>
  <conditionalFormatting sqref="Q54:Q66">
    <cfRule type="expression" priority="53" aboveAverage="0" equalAverage="0" bottom="0" percent="0" rank="0" text="" dxfId="7">
      <formula>AND(ISNUMBER(Q54),Q54&gt;=0.9)</formula>
    </cfRule>
    <cfRule type="expression" priority="54" aboveAverage="0" equalAverage="0" bottom="0" percent="0" rank="0" text="" dxfId="8">
      <formula>AND(ISNUMBER(Q54),Q54&gt;=0.8,Q54&lt;0.9)</formula>
    </cfRule>
    <cfRule type="expression" priority="55" aboveAverage="0" equalAverage="0" bottom="0" percent="0" rank="0" text="" dxfId="9">
      <formula>AND(ISNUMBER(Q54),Q54&lt;0.8)</formula>
    </cfRule>
  </conditionalFormatting>
  <conditionalFormatting sqref="T54:T66">
    <cfRule type="expression" priority="56" aboveAverage="0" equalAverage="0" bottom="0" percent="0" rank="0" text="" dxfId="7">
      <formula>AND(ISNUMBER(T54),T54&gt;=0.9)</formula>
    </cfRule>
    <cfRule type="expression" priority="57" aboveAverage="0" equalAverage="0" bottom="0" percent="0" rank="0" text="" dxfId="8">
      <formula>AND(ISNUMBER(T54),T54&gt;=0.8,T54&lt;0.9)</formula>
    </cfRule>
    <cfRule type="expression" priority="58" aboveAverage="0" equalAverage="0" bottom="0" percent="0" rank="0" text="" dxfId="9">
      <formula>AND(ISNUMBER(T54),T54&lt;0.8)</formula>
    </cfRule>
  </conditionalFormatting>
  <conditionalFormatting sqref="W54:W66">
    <cfRule type="expression" priority="59" aboveAverage="0" equalAverage="0" bottom="0" percent="0" rank="0" text="" dxfId="7">
      <formula>AND(ISNUMBER(W54),W54&gt;=0.9)</formula>
    </cfRule>
    <cfRule type="expression" priority="60" aboveAverage="0" equalAverage="0" bottom="0" percent="0" rank="0" text="" dxfId="8">
      <formula>AND(ISNUMBER(W54),W54&gt;=0.8,W54&lt;0.9)</formula>
    </cfRule>
    <cfRule type="expression" priority="61" aboveAverage="0" equalAverage="0" bottom="0" percent="0" rank="0" text="" dxfId="9">
      <formula>AND(ISNUMBER(W54),W54&lt;0.8)</formula>
    </cfRule>
  </conditionalFormatting>
  <conditionalFormatting sqref="Z54:Z66">
    <cfRule type="expression" priority="62" aboveAverage="0" equalAverage="0" bottom="0" percent="0" rank="0" text="" dxfId="7">
      <formula>AND(ISNUMBER(Z54),Z54&gt;=0.9)</formula>
    </cfRule>
    <cfRule type="expression" priority="63" aboveAverage="0" equalAverage="0" bottom="0" percent="0" rank="0" text="" dxfId="8">
      <formula>AND(ISNUMBER(Z54),Z54&gt;=0.8,Z54&lt;0.9)</formula>
    </cfRule>
    <cfRule type="expression" priority="64" aboveAverage="0" equalAverage="0" bottom="0" percent="0" rank="0" text="" dxfId="9">
      <formula>AND(ISNUMBER(Z54),Z54&lt;0.8)</formula>
    </cfRule>
  </conditionalFormatting>
  <conditionalFormatting sqref="E72:E84">
    <cfRule type="expression" priority="65" aboveAverage="0" equalAverage="0" bottom="0" percent="0" rank="0" text="" dxfId="7">
      <formula>AND(ISNUMBER(E72),E72&gt;=0.9)</formula>
    </cfRule>
    <cfRule type="expression" priority="66" aboveAverage="0" equalAverage="0" bottom="0" percent="0" rank="0" text="" dxfId="8">
      <formula>AND(ISNUMBER(E72),E72&gt;=0.8,E72&lt;0.9)</formula>
    </cfRule>
    <cfRule type="expression" priority="67" aboveAverage="0" equalAverage="0" bottom="0" percent="0" rank="0" text="" dxfId="9">
      <formula>AND(ISNUMBER(E72),E72&lt;0.8)</formula>
    </cfRule>
  </conditionalFormatting>
  <conditionalFormatting sqref="H72:H84">
    <cfRule type="expression" priority="68" aboveAverage="0" equalAverage="0" bottom="0" percent="0" rank="0" text="" dxfId="7">
      <formula>AND(ISNUMBER(H72),H72&gt;=0.9)</formula>
    </cfRule>
    <cfRule type="expression" priority="69" aboveAverage="0" equalAverage="0" bottom="0" percent="0" rank="0" text="" dxfId="8">
      <formula>AND(ISNUMBER(H72),H72&gt;=0.8,H72&lt;0.9)</formula>
    </cfRule>
    <cfRule type="expression" priority="70" aboveAverage="0" equalAverage="0" bottom="0" percent="0" rank="0" text="" dxfId="9">
      <formula>AND(ISNUMBER(H72),H72&lt;0.8)</formula>
    </cfRule>
  </conditionalFormatting>
  <conditionalFormatting sqref="K72:K84">
    <cfRule type="expression" priority="71" aboveAverage="0" equalAverage="0" bottom="0" percent="0" rank="0" text="" dxfId="7">
      <formula>AND(ISNUMBER(K72),K72&gt;=0.9)</formula>
    </cfRule>
    <cfRule type="expression" priority="72" aboveAverage="0" equalAverage="0" bottom="0" percent="0" rank="0" text="" dxfId="8">
      <formula>AND(ISNUMBER(K72),K72&gt;=0.8,K72&lt;0.9)</formula>
    </cfRule>
    <cfRule type="expression" priority="73" aboveAverage="0" equalAverage="0" bottom="0" percent="0" rank="0" text="" dxfId="9">
      <formula>AND(ISNUMBER(K72),K72&lt;0.8)</formula>
    </cfRule>
  </conditionalFormatting>
  <conditionalFormatting sqref="N72:N84">
    <cfRule type="expression" priority="74" aboveAverage="0" equalAverage="0" bottom="0" percent="0" rank="0" text="" dxfId="7">
      <formula>AND(ISNUMBER(N72),N72&gt;=0.9)</formula>
    </cfRule>
    <cfRule type="expression" priority="75" aboveAverage="0" equalAverage="0" bottom="0" percent="0" rank="0" text="" dxfId="8">
      <formula>AND(ISNUMBER(N72),N72&gt;=0.8,N72&lt;0.9)</formula>
    </cfRule>
    <cfRule type="expression" priority="76" aboveAverage="0" equalAverage="0" bottom="0" percent="0" rank="0" text="" dxfId="9">
      <formula>AND(ISNUMBER(N72),N72&lt;0.8)</formula>
    </cfRule>
  </conditionalFormatting>
  <conditionalFormatting sqref="Q72:Q84">
    <cfRule type="expression" priority="77" aboveAverage="0" equalAverage="0" bottom="0" percent="0" rank="0" text="" dxfId="7">
      <formula>AND(ISNUMBER(Q72),Q72&gt;=0.9)</formula>
    </cfRule>
    <cfRule type="expression" priority="78" aboveAverage="0" equalAverage="0" bottom="0" percent="0" rank="0" text="" dxfId="8">
      <formula>AND(ISNUMBER(Q72),Q72&gt;=0.8,Q72&lt;0.9)</formula>
    </cfRule>
    <cfRule type="expression" priority="79" aboveAverage="0" equalAverage="0" bottom="0" percent="0" rank="0" text="" dxfId="9">
      <formula>AND(ISNUMBER(Q72),Q72&lt;0.8)</formula>
    </cfRule>
  </conditionalFormatting>
  <conditionalFormatting sqref="T72:T84">
    <cfRule type="expression" priority="80" aboveAverage="0" equalAverage="0" bottom="0" percent="0" rank="0" text="" dxfId="7">
      <formula>AND(ISNUMBER(T72),T72&gt;=0.9)</formula>
    </cfRule>
    <cfRule type="expression" priority="81" aboveAverage="0" equalAverage="0" bottom="0" percent="0" rank="0" text="" dxfId="8">
      <formula>AND(ISNUMBER(T72),T72&gt;=0.8,T72&lt;0.9)</formula>
    </cfRule>
    <cfRule type="expression" priority="82" aboveAverage="0" equalAverage="0" bottom="0" percent="0" rank="0" text="" dxfId="9">
      <formula>AND(ISNUMBER(T72),T72&lt;0.8)</formula>
    </cfRule>
  </conditionalFormatting>
  <conditionalFormatting sqref="W72:W84">
    <cfRule type="expression" priority="83" aboveAverage="0" equalAverage="0" bottom="0" percent="0" rank="0" text="" dxfId="7">
      <formula>AND(ISNUMBER(W72),W72&gt;=0.9)</formula>
    </cfRule>
    <cfRule type="expression" priority="84" aboveAverage="0" equalAverage="0" bottom="0" percent="0" rank="0" text="" dxfId="8">
      <formula>AND(ISNUMBER(W72),W72&gt;=0.8,W72&lt;0.9)</formula>
    </cfRule>
    <cfRule type="expression" priority="85" aboveAverage="0" equalAverage="0" bottom="0" percent="0" rank="0" text="" dxfId="9">
      <formula>AND(ISNUMBER(W72),W72&lt;0.8)</formula>
    </cfRule>
  </conditionalFormatting>
  <conditionalFormatting sqref="Z72:Z84">
    <cfRule type="expression" priority="86" aboveAverage="0" equalAverage="0" bottom="0" percent="0" rank="0" text="" dxfId="7">
      <formula>AND(ISNUMBER(Z72),Z72&gt;=0.9)</formula>
    </cfRule>
    <cfRule type="expression" priority="87" aboveAverage="0" equalAverage="0" bottom="0" percent="0" rank="0" text="" dxfId="8">
      <formula>AND(ISNUMBER(Z72),Z72&gt;=0.8,Z72&lt;0.9)</formula>
    </cfRule>
    <cfRule type="expression" priority="88" aboveAverage="0" equalAverage="0" bottom="0" percent="0" rank="0" text="" dxfId="9">
      <formula>AND(ISNUMBER(Z72),Z72&lt;0.8)</formula>
    </cfRule>
  </conditionalFormatting>
  <dataValidations count="4">
    <dataValidation allowBlank="true" errorStyle="stop" operator="between" showDropDown="false" showErrorMessage="false" showInputMessage="false" sqref="K6:K23" type="list">
      <formula1>$L$109:$L$139</formula1>
      <formula2>0</formula2>
    </dataValidation>
    <dataValidation allowBlank="true" errorStyle="stop" operator="between" showDropDown="false" showErrorMessage="false" showInputMessage="false" sqref="N6:N23" type="list">
      <formula1>"LSI,Injured,L,R"</formula1>
      <formula2>0</formula2>
    </dataValidation>
    <dataValidation allowBlank="true" errorStyle="stop" operator="between" showDropDown="false" showErrorMessage="false" showInputMessage="false" sqref="O6:O23" type="list">
      <formula1>"≥,≤"</formula1>
      <formula2>0</formula2>
    </dataValidation>
    <dataValidation allowBlank="true" errorStyle="stop" operator="between" showDropDown="false" showErrorMessage="false" showInputMessage="false" sqref="T6:T23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28A"/>
    <pageSetUpPr fitToPage="false"/>
  </sheetPr>
  <dimension ref="A1:AA16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"/>
    <col collapsed="false" customWidth="true" hidden="false" outlineLevel="0" max="26" min="3" style="0" width="10"/>
    <col collapsed="false" customWidth="true" hidden="false" outlineLevel="0" max="27" min="27" style="0" width="32"/>
  </cols>
  <sheetData>
    <row r="1" customFormat="false" ht="27.75" hidden="false" customHeight="true" outlineLevel="0" collapsed="false">
      <c r="A1" s="53" t="s">
        <v>254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customFormat="false" ht="25.5" hidden="false" customHeight="true" outlineLevel="0" collapsed="false">
      <c r="A2" s="54" t="s">
        <v>255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</row>
    <row r="4" customFormat="false" ht="19.5" hidden="false" customHeight="true" outlineLevel="0" collapsed="false">
      <c r="A4" s="62" t="s">
        <v>92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</row>
    <row r="5" customFormat="false" ht="30" hidden="false" customHeight="true" outlineLevel="0" collapsed="false">
      <c r="A5" s="63" t="s">
        <v>93</v>
      </c>
      <c r="B5" s="63" t="s">
        <v>94</v>
      </c>
      <c r="C5" s="63"/>
      <c r="D5" s="63" t="s">
        <v>95</v>
      </c>
      <c r="E5" s="63"/>
      <c r="F5" s="63"/>
      <c r="G5" s="63"/>
      <c r="H5" s="63"/>
      <c r="I5" s="63"/>
      <c r="J5" s="63"/>
      <c r="K5" s="63" t="s">
        <v>96</v>
      </c>
      <c r="L5" s="63"/>
      <c r="M5" s="63"/>
      <c r="N5" s="63" t="s">
        <v>97</v>
      </c>
      <c r="O5" s="63" t="s">
        <v>98</v>
      </c>
      <c r="P5" s="63" t="s">
        <v>99</v>
      </c>
      <c r="Q5" s="63" t="s">
        <v>100</v>
      </c>
      <c r="R5" s="63"/>
      <c r="S5" s="63" t="s">
        <v>101</v>
      </c>
      <c r="T5" s="63" t="s">
        <v>102</v>
      </c>
      <c r="U5" s="63" t="s">
        <v>103</v>
      </c>
      <c r="V5" s="63" t="s">
        <v>104</v>
      </c>
      <c r="W5" s="63"/>
      <c r="X5" s="63" t="s">
        <v>84</v>
      </c>
      <c r="Y5" s="63"/>
      <c r="Z5" s="63"/>
      <c r="AA5" s="63"/>
    </row>
    <row r="6" customFormat="false" ht="18" hidden="false" customHeight="true" outlineLevel="0" collapsed="false">
      <c r="A6" s="64" t="n">
        <v>1</v>
      </c>
      <c r="B6" s="65" t="s">
        <v>105</v>
      </c>
      <c r="C6" s="65"/>
      <c r="D6" s="58" t="s">
        <v>256</v>
      </c>
      <c r="E6" s="58"/>
      <c r="F6" s="58"/>
      <c r="G6" s="58"/>
      <c r="H6" s="58"/>
      <c r="I6" s="58"/>
      <c r="J6" s="58"/>
      <c r="K6" s="66" t="s">
        <v>107</v>
      </c>
      <c r="L6" s="66"/>
      <c r="M6" s="66"/>
      <c r="N6" s="67"/>
      <c r="O6" s="67" t="s">
        <v>108</v>
      </c>
      <c r="P6" s="67"/>
      <c r="Q6" s="68" t="str">
        <f aca="false">IF(IF(OR($K6="",$K6="Manual"),"",IF(LEFT($K6,4)="GPS:",IFERROR(CHOOSE(MATCH($K6,Lists!$G$3:$G$8,0),GPS!$G$6,GPS!$G$7,GPS!$G$8,GPS!$G$9,GPS!$G$10,GPS!$G$11),""),IFERROR(IF($N6="LSI",INDEX($I$109:$I$132,MATCH($K6,$C$109:$C$132,0)),IF($N6="L",INDEX($G$109:$G$132,MATCH($K6,$C$109:$C$132,0)),IF($N6="R",INDEX($H$109:$H$132,MATCH($K6,$C$109:$C$132,0)),IF(Dashboard!$K$5="L",INDEX($G$109:$G$132,MATCH($K6,$C$109:$C$132,0)),IF(Dashboard!$K$5="R",INDEX($H$109:$H$132,MATCH($K6,$C$109:$C$132,0)),""))))),"")))="","",IF(OR($N6="LSI",LEFT($K6,4)="GPS:"),TEXT(IF(OR($K6="",$K6="Manual"),"",IF(LEFT($K6,4)="GPS:",IFERROR(CHOOSE(MATCH($K6,Lists!$G$3:$G$8,0),GPS!$G$6,GPS!$G$7,GPS!$G$8,GPS!$G$9,GPS!$G$10,GPS!$G$11),""),IFERROR(IF($N6="LSI",INDEX($I$109:$I$132,MATCH($K6,$C$109:$C$132,0)),IF($N6="L",INDEX($G$109:$G$132,MATCH($K6,$C$109:$C$132,0)),IF($N6="R",INDEX($H$109:$H$132,MATCH($K6,$C$109:$C$132,0)),IF(Dashboard!$K$5="L",INDEX($G$109:$G$132,MATCH($K6,$C$109:$C$132,0)),IF(Dashboard!$K$5="R",INDEX($H$109:$H$132,MATCH($K6,$C$109:$C$132,0)),""))))),""))),"0%"),TEXT(IF(OR($K6="",$K6="Manual"),"",IF(LEFT($K6,4)="GPS:",IFERROR(CHOOSE(MATCH($K6,Lists!$G$3:$G$8,0),GPS!$G$6,GPS!$G$7,GPS!$G$8,GPS!$G$9,GPS!$G$10,GPS!$G$11),""),IFERROR(IF($N6="LSI",INDEX($I$109:$I$132,MATCH($K6,$C$109:$C$132,0)),IF($N6="L",INDEX($G$109:$G$132,MATCH($K6,$C$109:$C$132,0)),IF($N6="R",INDEX($H$109:$H$132,MATCH($K6,$C$109:$C$132,0)),IF(Dashboard!$K$5="L",INDEX($G$109:$G$132,MATCH($K6,$C$109:$C$132,0)),IF(Dashboard!$K$5="R",INDEX($H$109:$H$132,MATCH($K6,$C$109:$C$132,0)),""))))),""))),"0.0")))</f>
        <v/>
      </c>
      <c r="R6" s="68"/>
      <c r="S6" s="69" t="str">
        <f aca="false">IF(OR(IF(OR($K6="",$K6="Manual"),"",IF(LEFT($K6,4)="GPS:",IFERROR(CHOOSE(MATCH($K6,Lists!$G$3:$G$8,0),GPS!$G$6,GPS!$G$7,GPS!$G$8,GPS!$G$9,GPS!$G$10,GPS!$G$11),""),IFERROR(IF($N6="LSI",INDEX($I$109:$I$132,MATCH($K6,$C$109:$C$132,0)),IF($N6="L",INDEX($G$109:$G$132,MATCH($K6,$C$109:$C$132,0)),IF($N6="R",INDEX($H$109:$H$132,MATCH($K6,$C$109:$C$132,0)),IF(Dashboard!$K$5="L",INDEX($G$109:$G$132,MATCH($K6,$C$109:$C$132,0)),IF(Dashboard!$K$5="R",INDEX($H$109:$H$132,MATCH($K6,$C$109:$C$132,0)),""))))),"")))="",$P6=""),"",IF(IF($O6="≤",IF(OR($K6="",$K6="Manual"),"",IF(LEFT($K6,4)="GPS:",IFERROR(CHOOSE(MATCH($K6,Lists!$G$3:$G$8,0),GPS!$G$6,GPS!$G$7,GPS!$G$8,GPS!$G$9,GPS!$G$10,GPS!$G$11),""),IFERROR(IF($N6="LSI",INDEX($I$109:$I$132,MATCH($K6,$C$109:$C$132,0)),IF($N6="L",INDEX($G$109:$G$132,MATCH($K6,$C$109:$C$132,0)),IF($N6="R",INDEX($H$109:$H$132,MATCH($K6,$C$109:$C$132,0)),IF(Dashboard!$K$5="L",INDEX($G$109:$G$132,MATCH($K6,$C$109:$C$132,0)),IF(Dashboard!$K$5="R",INDEX($H$109:$H$132,MATCH($K6,$C$109:$C$132,0)),""))))),"")))&lt;=$P6,IF(OR($K6="",$K6="Manual"),"",IF(LEFT($K6,4)="GPS:",IFERROR(CHOOSE(MATCH($K6,Lists!$G$3:$G$8,0),GPS!$G$6,GPS!$G$7,GPS!$G$8,GPS!$G$9,GPS!$G$10,GPS!$G$11),""),IFERROR(IF($N6="LSI",INDEX($I$109:$I$132,MATCH($K6,$C$109:$C$132,0)),IF($N6="L",INDEX($G$109:$G$132,MATCH($K6,$C$109:$C$132,0)),IF($N6="R",INDEX($H$109:$H$132,MATCH($K6,$C$109:$C$132,0)),IF(Dashboard!$K$5="L",INDEX($G$109:$G$132,MATCH($K6,$C$109:$C$132,0)),IF(Dashboard!$K$5="R",INDEX($H$109:$H$132,MATCH($K6,$C$109:$C$132,0)),""))))),"")))&gt;=$P6),"MET","NOT MET"))</f>
        <v/>
      </c>
      <c r="T6" s="7"/>
      <c r="U6" s="68" t="str">
        <f aca="false">IF($T6&lt;&gt;"",$T6,IF($S6="MET","Y",IF($S6="NOT MET","N","")))</f>
        <v/>
      </c>
      <c r="V6" s="70" t="str">
        <f aca="false">IF($U6="Y",IFERROR(IF(LEFT($K6,4)="GPS:","",INDEX($J$109:$J$132,MATCH($K6,$C$109:$C$132,0))),""),"")</f>
        <v/>
      </c>
      <c r="W6" s="70"/>
      <c r="X6" s="58"/>
      <c r="Y6" s="58"/>
      <c r="Z6" s="58"/>
      <c r="AA6" s="58"/>
    </row>
    <row r="7" customFormat="false" ht="18" hidden="false" customHeight="true" outlineLevel="0" collapsed="false">
      <c r="A7" s="64" t="n">
        <v>2</v>
      </c>
      <c r="B7" s="65"/>
      <c r="C7" s="65"/>
      <c r="D7" s="58" t="s">
        <v>257</v>
      </c>
      <c r="E7" s="58"/>
      <c r="F7" s="58"/>
      <c r="G7" s="58"/>
      <c r="H7" s="58"/>
      <c r="I7" s="58"/>
      <c r="J7" s="58"/>
      <c r="K7" s="66" t="s">
        <v>107</v>
      </c>
      <c r="L7" s="66"/>
      <c r="M7" s="66"/>
      <c r="N7" s="67"/>
      <c r="O7" s="67" t="s">
        <v>108</v>
      </c>
      <c r="P7" s="67"/>
      <c r="Q7" s="68" t="str">
        <f aca="false">IF(IF(OR($K7="",$K7="Manual"),"",IF(LEFT($K7,4)="GPS:",IFERROR(CHOOSE(MATCH($K7,Lists!$G$3:$G$8,0),GPS!$G$6,GPS!$G$7,GPS!$G$8,GPS!$G$9,GPS!$G$10,GPS!$G$11),""),IFERROR(IF($N7="LSI",INDEX($I$109:$I$132,MATCH($K7,$C$109:$C$132,0)),IF($N7="L",INDEX($G$109:$G$132,MATCH($K7,$C$109:$C$132,0)),IF($N7="R",INDEX($H$109:$H$132,MATCH($K7,$C$109:$C$132,0)),IF(Dashboard!$K$5="L",INDEX($G$109:$G$132,MATCH($K7,$C$109:$C$132,0)),IF(Dashboard!$K$5="R",INDEX($H$109:$H$132,MATCH($K7,$C$109:$C$132,0)),""))))),"")))="","",IF(OR($N7="LSI",LEFT($K7,4)="GPS:"),TEXT(IF(OR($K7="",$K7="Manual"),"",IF(LEFT($K7,4)="GPS:",IFERROR(CHOOSE(MATCH($K7,Lists!$G$3:$G$8,0),GPS!$G$6,GPS!$G$7,GPS!$G$8,GPS!$G$9,GPS!$G$10,GPS!$G$11),""),IFERROR(IF($N7="LSI",INDEX($I$109:$I$132,MATCH($K7,$C$109:$C$132,0)),IF($N7="L",INDEX($G$109:$G$132,MATCH($K7,$C$109:$C$132,0)),IF($N7="R",INDEX($H$109:$H$132,MATCH($K7,$C$109:$C$132,0)),IF(Dashboard!$K$5="L",INDEX($G$109:$G$132,MATCH($K7,$C$109:$C$132,0)),IF(Dashboard!$K$5="R",INDEX($H$109:$H$132,MATCH($K7,$C$109:$C$132,0)),""))))),""))),"0%"),TEXT(IF(OR($K7="",$K7="Manual"),"",IF(LEFT($K7,4)="GPS:",IFERROR(CHOOSE(MATCH($K7,Lists!$G$3:$G$8,0),GPS!$G$6,GPS!$G$7,GPS!$G$8,GPS!$G$9,GPS!$G$10,GPS!$G$11),""),IFERROR(IF($N7="LSI",INDEX($I$109:$I$132,MATCH($K7,$C$109:$C$132,0)),IF($N7="L",INDEX($G$109:$G$132,MATCH($K7,$C$109:$C$132,0)),IF($N7="R",INDEX($H$109:$H$132,MATCH($K7,$C$109:$C$132,0)),IF(Dashboard!$K$5="L",INDEX($G$109:$G$132,MATCH($K7,$C$109:$C$132,0)),IF(Dashboard!$K$5="R",INDEX($H$109:$H$132,MATCH($K7,$C$109:$C$132,0)),""))))),""))),"0.0")))</f>
        <v/>
      </c>
      <c r="R7" s="68"/>
      <c r="S7" s="69" t="str">
        <f aca="false">IF(OR(IF(OR($K7="",$K7="Manual"),"",IF(LEFT($K7,4)="GPS:",IFERROR(CHOOSE(MATCH($K7,Lists!$G$3:$G$8,0),GPS!$G$6,GPS!$G$7,GPS!$G$8,GPS!$G$9,GPS!$G$10,GPS!$G$11),""),IFERROR(IF($N7="LSI",INDEX($I$109:$I$132,MATCH($K7,$C$109:$C$132,0)),IF($N7="L",INDEX($G$109:$G$132,MATCH($K7,$C$109:$C$132,0)),IF($N7="R",INDEX($H$109:$H$132,MATCH($K7,$C$109:$C$132,0)),IF(Dashboard!$K$5="L",INDEX($G$109:$G$132,MATCH($K7,$C$109:$C$132,0)),IF(Dashboard!$K$5="R",INDEX($H$109:$H$132,MATCH($K7,$C$109:$C$132,0)),""))))),"")))="",$P7=""),"",IF(IF($O7="≤",IF(OR($K7="",$K7="Manual"),"",IF(LEFT($K7,4)="GPS:",IFERROR(CHOOSE(MATCH($K7,Lists!$G$3:$G$8,0),GPS!$G$6,GPS!$G$7,GPS!$G$8,GPS!$G$9,GPS!$G$10,GPS!$G$11),""),IFERROR(IF($N7="LSI",INDEX($I$109:$I$132,MATCH($K7,$C$109:$C$132,0)),IF($N7="L",INDEX($G$109:$G$132,MATCH($K7,$C$109:$C$132,0)),IF($N7="R",INDEX($H$109:$H$132,MATCH($K7,$C$109:$C$132,0)),IF(Dashboard!$K$5="L",INDEX($G$109:$G$132,MATCH($K7,$C$109:$C$132,0)),IF(Dashboard!$K$5="R",INDEX($H$109:$H$132,MATCH($K7,$C$109:$C$132,0)),""))))),"")))&lt;=$P7,IF(OR($K7="",$K7="Manual"),"",IF(LEFT($K7,4)="GPS:",IFERROR(CHOOSE(MATCH($K7,Lists!$G$3:$G$8,0),GPS!$G$6,GPS!$G$7,GPS!$G$8,GPS!$G$9,GPS!$G$10,GPS!$G$11),""),IFERROR(IF($N7="LSI",INDEX($I$109:$I$132,MATCH($K7,$C$109:$C$132,0)),IF($N7="L",INDEX($G$109:$G$132,MATCH($K7,$C$109:$C$132,0)),IF($N7="R",INDEX($H$109:$H$132,MATCH($K7,$C$109:$C$132,0)),IF(Dashboard!$K$5="L",INDEX($G$109:$G$132,MATCH($K7,$C$109:$C$132,0)),IF(Dashboard!$K$5="R",INDEX($H$109:$H$132,MATCH($K7,$C$109:$C$132,0)),""))))),"")))&gt;=$P7),"MET","NOT MET"))</f>
        <v/>
      </c>
      <c r="T7" s="7"/>
      <c r="U7" s="68" t="str">
        <f aca="false">IF($T7&lt;&gt;"",$T7,IF($S7="MET","Y",IF($S7="NOT MET","N","")))</f>
        <v/>
      </c>
      <c r="V7" s="70" t="str">
        <f aca="false">IF($U7="Y",IFERROR(IF(LEFT($K7,4)="GPS:","",INDEX($J$109:$J$132,MATCH($K7,$C$109:$C$132,0))),""),"")</f>
        <v/>
      </c>
      <c r="W7" s="70"/>
      <c r="X7" s="58"/>
      <c r="Y7" s="58"/>
      <c r="Z7" s="58"/>
      <c r="AA7" s="58"/>
    </row>
    <row r="8" customFormat="false" ht="18" hidden="false" customHeight="true" outlineLevel="0" collapsed="false">
      <c r="A8" s="64" t="n">
        <v>3</v>
      </c>
      <c r="B8" s="65"/>
      <c r="C8" s="65"/>
      <c r="D8" s="58"/>
      <c r="E8" s="58"/>
      <c r="F8" s="58"/>
      <c r="G8" s="58"/>
      <c r="H8" s="58"/>
      <c r="I8" s="58"/>
      <c r="J8" s="58"/>
      <c r="K8" s="66"/>
      <c r="L8" s="66"/>
      <c r="M8" s="66"/>
      <c r="N8" s="67"/>
      <c r="O8" s="67" t="s">
        <v>108</v>
      </c>
      <c r="P8" s="67"/>
      <c r="Q8" s="68" t="str">
        <f aca="false">IF(IF(OR($K8="",$K8="Manual"),"",IF(LEFT($K8,4)="GPS:",IFERROR(CHOOSE(MATCH($K8,Lists!$G$3:$G$8,0),GPS!$G$6,GPS!$G$7,GPS!$G$8,GPS!$G$9,GPS!$G$10,GPS!$G$11),""),IFERROR(IF($N8="LSI",INDEX($I$109:$I$132,MATCH($K8,$C$109:$C$132,0)),IF($N8="L",INDEX($G$109:$G$132,MATCH($K8,$C$109:$C$132,0)),IF($N8="R",INDEX($H$109:$H$132,MATCH($K8,$C$109:$C$132,0)),IF(Dashboard!$K$5="L",INDEX($G$109:$G$132,MATCH($K8,$C$109:$C$132,0)),IF(Dashboard!$K$5="R",INDEX($H$109:$H$132,MATCH($K8,$C$109:$C$132,0)),""))))),"")))="","",IF(OR($N8="LSI",LEFT($K8,4)="GPS:"),TEXT(IF(OR($K8="",$K8="Manual"),"",IF(LEFT($K8,4)="GPS:",IFERROR(CHOOSE(MATCH($K8,Lists!$G$3:$G$8,0),GPS!$G$6,GPS!$G$7,GPS!$G$8,GPS!$G$9,GPS!$G$10,GPS!$G$11),""),IFERROR(IF($N8="LSI",INDEX($I$109:$I$132,MATCH($K8,$C$109:$C$132,0)),IF($N8="L",INDEX($G$109:$G$132,MATCH($K8,$C$109:$C$132,0)),IF($N8="R",INDEX($H$109:$H$132,MATCH($K8,$C$109:$C$132,0)),IF(Dashboard!$K$5="L",INDEX($G$109:$G$132,MATCH($K8,$C$109:$C$132,0)),IF(Dashboard!$K$5="R",INDEX($H$109:$H$132,MATCH($K8,$C$109:$C$132,0)),""))))),""))),"0%"),TEXT(IF(OR($K8="",$K8="Manual"),"",IF(LEFT($K8,4)="GPS:",IFERROR(CHOOSE(MATCH($K8,Lists!$G$3:$G$8,0),GPS!$G$6,GPS!$G$7,GPS!$G$8,GPS!$G$9,GPS!$G$10,GPS!$G$11),""),IFERROR(IF($N8="LSI",INDEX($I$109:$I$132,MATCH($K8,$C$109:$C$132,0)),IF($N8="L",INDEX($G$109:$G$132,MATCH($K8,$C$109:$C$132,0)),IF($N8="R",INDEX($H$109:$H$132,MATCH($K8,$C$109:$C$132,0)),IF(Dashboard!$K$5="L",INDEX($G$109:$G$132,MATCH($K8,$C$109:$C$132,0)),IF(Dashboard!$K$5="R",INDEX($H$109:$H$132,MATCH($K8,$C$109:$C$132,0)),""))))),""))),"0.0")))</f>
        <v/>
      </c>
      <c r="R8" s="68"/>
      <c r="S8" s="69" t="str">
        <f aca="false">IF(OR(IF(OR($K8="",$K8="Manual"),"",IF(LEFT($K8,4)="GPS:",IFERROR(CHOOSE(MATCH($K8,Lists!$G$3:$G$8,0),GPS!$G$6,GPS!$G$7,GPS!$G$8,GPS!$G$9,GPS!$G$10,GPS!$G$11),""),IFERROR(IF($N8="LSI",INDEX($I$109:$I$132,MATCH($K8,$C$109:$C$132,0)),IF($N8="L",INDEX($G$109:$G$132,MATCH($K8,$C$109:$C$132,0)),IF($N8="R",INDEX($H$109:$H$132,MATCH($K8,$C$109:$C$132,0)),IF(Dashboard!$K$5="L",INDEX($G$109:$G$132,MATCH($K8,$C$109:$C$132,0)),IF(Dashboard!$K$5="R",INDEX($H$109:$H$132,MATCH($K8,$C$109:$C$132,0)),""))))),"")))="",$P8=""),"",IF(IF($O8="≤",IF(OR($K8="",$K8="Manual"),"",IF(LEFT($K8,4)="GPS:",IFERROR(CHOOSE(MATCH($K8,Lists!$G$3:$G$8,0),GPS!$G$6,GPS!$G$7,GPS!$G$8,GPS!$G$9,GPS!$G$10,GPS!$G$11),""),IFERROR(IF($N8="LSI",INDEX($I$109:$I$132,MATCH($K8,$C$109:$C$132,0)),IF($N8="L",INDEX($G$109:$G$132,MATCH($K8,$C$109:$C$132,0)),IF($N8="R",INDEX($H$109:$H$132,MATCH($K8,$C$109:$C$132,0)),IF(Dashboard!$K$5="L",INDEX($G$109:$G$132,MATCH($K8,$C$109:$C$132,0)),IF(Dashboard!$K$5="R",INDEX($H$109:$H$132,MATCH($K8,$C$109:$C$132,0)),""))))),"")))&lt;=$P8,IF(OR($K8="",$K8="Manual"),"",IF(LEFT($K8,4)="GPS:",IFERROR(CHOOSE(MATCH($K8,Lists!$G$3:$G$8,0),GPS!$G$6,GPS!$G$7,GPS!$G$8,GPS!$G$9,GPS!$G$10,GPS!$G$11),""),IFERROR(IF($N8="LSI",INDEX($I$109:$I$132,MATCH($K8,$C$109:$C$132,0)),IF($N8="L",INDEX($G$109:$G$132,MATCH($K8,$C$109:$C$132,0)),IF($N8="R",INDEX($H$109:$H$132,MATCH($K8,$C$109:$C$132,0)),IF(Dashboard!$K$5="L",INDEX($G$109:$G$132,MATCH($K8,$C$109:$C$132,0)),IF(Dashboard!$K$5="R",INDEX($H$109:$H$132,MATCH($K8,$C$109:$C$132,0)),""))))),"")))&gt;=$P8),"MET","NOT MET"))</f>
        <v/>
      </c>
      <c r="T8" s="7"/>
      <c r="U8" s="68" t="str">
        <f aca="false">IF($T8&lt;&gt;"",$T8,IF($S8="MET","Y",IF($S8="NOT MET","N","")))</f>
        <v/>
      </c>
      <c r="V8" s="70" t="str">
        <f aca="false">IF($U8="Y",IFERROR(IF(LEFT($K8,4)="GPS:","",INDEX($J$109:$J$132,MATCH($K8,$C$109:$C$132,0))),""),"")</f>
        <v/>
      </c>
      <c r="W8" s="70"/>
      <c r="X8" s="58"/>
      <c r="Y8" s="58"/>
      <c r="Z8" s="58"/>
      <c r="AA8" s="58"/>
    </row>
    <row r="9" customFormat="false" ht="18" hidden="false" customHeight="true" outlineLevel="0" collapsed="false">
      <c r="A9" s="64" t="n">
        <v>4</v>
      </c>
      <c r="B9" s="65" t="s">
        <v>110</v>
      </c>
      <c r="C9" s="65"/>
      <c r="D9" s="58" t="s">
        <v>258</v>
      </c>
      <c r="E9" s="58"/>
      <c r="F9" s="58"/>
      <c r="G9" s="58"/>
      <c r="H9" s="58"/>
      <c r="I9" s="58"/>
      <c r="J9" s="58"/>
      <c r="K9" s="66" t="s">
        <v>259</v>
      </c>
      <c r="L9" s="66"/>
      <c r="M9" s="66"/>
      <c r="N9" s="67" t="s">
        <v>50</v>
      </c>
      <c r="O9" s="67" t="s">
        <v>108</v>
      </c>
      <c r="P9" s="67" t="n">
        <v>0.9</v>
      </c>
      <c r="Q9" s="68" t="str">
        <f aca="false">IF(IF(OR($K9="",$K9="Manual"),"",IF(LEFT($K9,4)="GPS:",IFERROR(CHOOSE(MATCH($K9,Lists!$G$3:$G$8,0),GPS!$G$6,GPS!$G$7,GPS!$G$8,GPS!$G$9,GPS!$G$10,GPS!$G$11),""),IFERROR(IF($N9="LSI",INDEX($I$109:$I$132,MATCH($K9,$C$109:$C$132,0)),IF($N9="L",INDEX($G$109:$G$132,MATCH($K9,$C$109:$C$132,0)),IF($N9="R",INDEX($H$109:$H$132,MATCH($K9,$C$109:$C$132,0)),IF(Dashboard!$K$5="L",INDEX($G$109:$G$132,MATCH($K9,$C$109:$C$132,0)),IF(Dashboard!$K$5="R",INDEX($H$109:$H$132,MATCH($K9,$C$109:$C$132,0)),""))))),"")))="","",IF(OR($N9="LSI",LEFT($K9,4)="GPS:"),TEXT(IF(OR($K9="",$K9="Manual"),"",IF(LEFT($K9,4)="GPS:",IFERROR(CHOOSE(MATCH($K9,Lists!$G$3:$G$8,0),GPS!$G$6,GPS!$G$7,GPS!$G$8,GPS!$G$9,GPS!$G$10,GPS!$G$11),""),IFERROR(IF($N9="LSI",INDEX($I$109:$I$132,MATCH($K9,$C$109:$C$132,0)),IF($N9="L",INDEX($G$109:$G$132,MATCH($K9,$C$109:$C$132,0)),IF($N9="R",INDEX($H$109:$H$132,MATCH($K9,$C$109:$C$132,0)),IF(Dashboard!$K$5="L",INDEX($G$109:$G$132,MATCH($K9,$C$109:$C$132,0)),IF(Dashboard!$K$5="R",INDEX($H$109:$H$132,MATCH($K9,$C$109:$C$132,0)),""))))),""))),"0%"),TEXT(IF(OR($K9="",$K9="Manual"),"",IF(LEFT($K9,4)="GPS:",IFERROR(CHOOSE(MATCH($K9,Lists!$G$3:$G$8,0),GPS!$G$6,GPS!$G$7,GPS!$G$8,GPS!$G$9,GPS!$G$10,GPS!$G$11),""),IFERROR(IF($N9="LSI",INDEX($I$109:$I$132,MATCH($K9,$C$109:$C$132,0)),IF($N9="L",INDEX($G$109:$G$132,MATCH($K9,$C$109:$C$132,0)),IF($N9="R",INDEX($H$109:$H$132,MATCH($K9,$C$109:$C$132,0)),IF(Dashboard!$K$5="L",INDEX($G$109:$G$132,MATCH($K9,$C$109:$C$132,0)),IF(Dashboard!$K$5="R",INDEX($H$109:$H$132,MATCH($K9,$C$109:$C$132,0)),""))))),""))),"0.0")))</f>
        <v/>
      </c>
      <c r="R9" s="68"/>
      <c r="S9" s="69" t="str">
        <f aca="false">IF(OR(IF(OR($K9="",$K9="Manual"),"",IF(LEFT($K9,4)="GPS:",IFERROR(CHOOSE(MATCH($K9,Lists!$G$3:$G$8,0),GPS!$G$6,GPS!$G$7,GPS!$G$8,GPS!$G$9,GPS!$G$10,GPS!$G$11),""),IFERROR(IF($N9="LSI",INDEX($I$109:$I$132,MATCH($K9,$C$109:$C$132,0)),IF($N9="L",INDEX($G$109:$G$132,MATCH($K9,$C$109:$C$132,0)),IF($N9="R",INDEX($H$109:$H$132,MATCH($K9,$C$109:$C$132,0)),IF(Dashboard!$K$5="L",INDEX($G$109:$G$132,MATCH($K9,$C$109:$C$132,0)),IF(Dashboard!$K$5="R",INDEX($H$109:$H$132,MATCH($K9,$C$109:$C$132,0)),""))))),"")))="",$P9=""),"",IF(IF($O9="≤",IF(OR($K9="",$K9="Manual"),"",IF(LEFT($K9,4)="GPS:",IFERROR(CHOOSE(MATCH($K9,Lists!$G$3:$G$8,0),GPS!$G$6,GPS!$G$7,GPS!$G$8,GPS!$G$9,GPS!$G$10,GPS!$G$11),""),IFERROR(IF($N9="LSI",INDEX($I$109:$I$132,MATCH($K9,$C$109:$C$132,0)),IF($N9="L",INDEX($G$109:$G$132,MATCH($K9,$C$109:$C$132,0)),IF($N9="R",INDEX($H$109:$H$132,MATCH($K9,$C$109:$C$132,0)),IF(Dashboard!$K$5="L",INDEX($G$109:$G$132,MATCH($K9,$C$109:$C$132,0)),IF(Dashboard!$K$5="R",INDEX($H$109:$H$132,MATCH($K9,$C$109:$C$132,0)),""))))),"")))&lt;=$P9,IF(OR($K9="",$K9="Manual"),"",IF(LEFT($K9,4)="GPS:",IFERROR(CHOOSE(MATCH($K9,Lists!$G$3:$G$8,0),GPS!$G$6,GPS!$G$7,GPS!$G$8,GPS!$G$9,GPS!$G$10,GPS!$G$11),""),IFERROR(IF($N9="LSI",INDEX($I$109:$I$132,MATCH($K9,$C$109:$C$132,0)),IF($N9="L",INDEX($G$109:$G$132,MATCH($K9,$C$109:$C$132,0)),IF($N9="R",INDEX($H$109:$H$132,MATCH($K9,$C$109:$C$132,0)),IF(Dashboard!$K$5="L",INDEX($G$109:$G$132,MATCH($K9,$C$109:$C$132,0)),IF(Dashboard!$K$5="R",INDEX($H$109:$H$132,MATCH($K9,$C$109:$C$132,0)),""))))),"")))&gt;=$P9),"MET","NOT MET"))</f>
        <v/>
      </c>
      <c r="T9" s="7"/>
      <c r="U9" s="68" t="str">
        <f aca="false">IF($T9&lt;&gt;"",$T9,IF($S9="MET","Y",IF($S9="NOT MET","N","")))</f>
        <v/>
      </c>
      <c r="V9" s="70" t="str">
        <f aca="false">IF($U9="Y",IFERROR(IF(LEFT($K9,4)="GPS:","",INDEX($J$109:$J$132,MATCH($K9,$C$109:$C$132,0))),""),"")</f>
        <v/>
      </c>
      <c r="W9" s="70"/>
      <c r="X9" s="58"/>
      <c r="Y9" s="58"/>
      <c r="Z9" s="58"/>
      <c r="AA9" s="58"/>
    </row>
    <row r="10" customFormat="false" ht="18" hidden="false" customHeight="true" outlineLevel="0" collapsed="false">
      <c r="A10" s="64" t="n">
        <v>5</v>
      </c>
      <c r="B10" s="65"/>
      <c r="C10" s="65"/>
      <c r="D10" s="58" t="s">
        <v>260</v>
      </c>
      <c r="E10" s="58"/>
      <c r="F10" s="58"/>
      <c r="G10" s="58"/>
      <c r="H10" s="58"/>
      <c r="I10" s="58"/>
      <c r="J10" s="58"/>
      <c r="K10" s="66" t="s">
        <v>261</v>
      </c>
      <c r="L10" s="66"/>
      <c r="M10" s="66"/>
      <c r="N10" s="67" t="s">
        <v>50</v>
      </c>
      <c r="O10" s="67" t="s">
        <v>108</v>
      </c>
      <c r="P10" s="67" t="n">
        <v>0.7</v>
      </c>
      <c r="Q10" s="68" t="str">
        <f aca="false">IF(IF(OR($K10="",$K10="Manual"),"",IF(LEFT($K10,4)="GPS:",IFERROR(CHOOSE(MATCH($K10,Lists!$G$3:$G$8,0),GPS!$G$6,GPS!$G$7,GPS!$G$8,GPS!$G$9,GPS!$G$10,GPS!$G$11),""),IFERROR(IF($N10="LSI",INDEX($I$109:$I$132,MATCH($K10,$C$109:$C$132,0)),IF($N10="L",INDEX($G$109:$G$132,MATCH($K10,$C$109:$C$132,0)),IF($N10="R",INDEX($H$109:$H$132,MATCH($K10,$C$109:$C$132,0)),IF(Dashboard!$K$5="L",INDEX($G$109:$G$132,MATCH($K10,$C$109:$C$132,0)),IF(Dashboard!$K$5="R",INDEX($H$109:$H$132,MATCH($K10,$C$109:$C$132,0)),""))))),"")))="","",IF(OR($N10="LSI",LEFT($K10,4)="GPS:"),TEXT(IF(OR($K10="",$K10="Manual"),"",IF(LEFT($K10,4)="GPS:",IFERROR(CHOOSE(MATCH($K10,Lists!$G$3:$G$8,0),GPS!$G$6,GPS!$G$7,GPS!$G$8,GPS!$G$9,GPS!$G$10,GPS!$G$11),""),IFERROR(IF($N10="LSI",INDEX($I$109:$I$132,MATCH($K10,$C$109:$C$132,0)),IF($N10="L",INDEX($G$109:$G$132,MATCH($K10,$C$109:$C$132,0)),IF($N10="R",INDEX($H$109:$H$132,MATCH($K10,$C$109:$C$132,0)),IF(Dashboard!$K$5="L",INDEX($G$109:$G$132,MATCH($K10,$C$109:$C$132,0)),IF(Dashboard!$K$5="R",INDEX($H$109:$H$132,MATCH($K10,$C$109:$C$132,0)),""))))),""))),"0%"),TEXT(IF(OR($K10="",$K10="Manual"),"",IF(LEFT($K10,4)="GPS:",IFERROR(CHOOSE(MATCH($K10,Lists!$G$3:$G$8,0),GPS!$G$6,GPS!$G$7,GPS!$G$8,GPS!$G$9,GPS!$G$10,GPS!$G$11),""),IFERROR(IF($N10="LSI",INDEX($I$109:$I$132,MATCH($K10,$C$109:$C$132,0)),IF($N10="L",INDEX($G$109:$G$132,MATCH($K10,$C$109:$C$132,0)),IF($N10="R",INDEX($H$109:$H$132,MATCH($K10,$C$109:$C$132,0)),IF(Dashboard!$K$5="L",INDEX($G$109:$G$132,MATCH($K10,$C$109:$C$132,0)),IF(Dashboard!$K$5="R",INDEX($H$109:$H$132,MATCH($K10,$C$109:$C$132,0)),""))))),""))),"0.0")))</f>
        <v/>
      </c>
      <c r="R10" s="68"/>
      <c r="S10" s="69" t="str">
        <f aca="false">IF(OR(IF(OR($K10="",$K10="Manual"),"",IF(LEFT($K10,4)="GPS:",IFERROR(CHOOSE(MATCH($K10,Lists!$G$3:$G$8,0),GPS!$G$6,GPS!$G$7,GPS!$G$8,GPS!$G$9,GPS!$G$10,GPS!$G$11),""),IFERROR(IF($N10="LSI",INDEX($I$109:$I$132,MATCH($K10,$C$109:$C$132,0)),IF($N10="L",INDEX($G$109:$G$132,MATCH($K10,$C$109:$C$132,0)),IF($N10="R",INDEX($H$109:$H$132,MATCH($K10,$C$109:$C$132,0)),IF(Dashboard!$K$5="L",INDEX($G$109:$G$132,MATCH($K10,$C$109:$C$132,0)),IF(Dashboard!$K$5="R",INDEX($H$109:$H$132,MATCH($K10,$C$109:$C$132,0)),""))))),"")))="",$P10=""),"",IF(IF($O10="≤",IF(OR($K10="",$K10="Manual"),"",IF(LEFT($K10,4)="GPS:",IFERROR(CHOOSE(MATCH($K10,Lists!$G$3:$G$8,0),GPS!$G$6,GPS!$G$7,GPS!$G$8,GPS!$G$9,GPS!$G$10,GPS!$G$11),""),IFERROR(IF($N10="LSI",INDEX($I$109:$I$132,MATCH($K10,$C$109:$C$132,0)),IF($N10="L",INDEX($G$109:$G$132,MATCH($K10,$C$109:$C$132,0)),IF($N10="R",INDEX($H$109:$H$132,MATCH($K10,$C$109:$C$132,0)),IF(Dashboard!$K$5="L",INDEX($G$109:$G$132,MATCH($K10,$C$109:$C$132,0)),IF(Dashboard!$K$5="R",INDEX($H$109:$H$132,MATCH($K10,$C$109:$C$132,0)),""))))),"")))&lt;=$P10,IF(OR($K10="",$K10="Manual"),"",IF(LEFT($K10,4)="GPS:",IFERROR(CHOOSE(MATCH($K10,Lists!$G$3:$G$8,0),GPS!$G$6,GPS!$G$7,GPS!$G$8,GPS!$G$9,GPS!$G$10,GPS!$G$11),""),IFERROR(IF($N10="LSI",INDEX($I$109:$I$132,MATCH($K10,$C$109:$C$132,0)),IF($N10="L",INDEX($G$109:$G$132,MATCH($K10,$C$109:$C$132,0)),IF($N10="R",INDEX($H$109:$H$132,MATCH($K10,$C$109:$C$132,0)),IF(Dashboard!$K$5="L",INDEX($G$109:$G$132,MATCH($K10,$C$109:$C$132,0)),IF(Dashboard!$K$5="R",INDEX($H$109:$H$132,MATCH($K10,$C$109:$C$132,0)),""))))),"")))&gt;=$P10),"MET","NOT MET"))</f>
        <v/>
      </c>
      <c r="T10" s="7"/>
      <c r="U10" s="68" t="str">
        <f aca="false">IF($T10&lt;&gt;"",$T10,IF($S10="MET","Y",IF($S10="NOT MET","N","")))</f>
        <v/>
      </c>
      <c r="V10" s="70" t="str">
        <f aca="false">IF($U10="Y",IFERROR(IF(LEFT($K10,4)="GPS:","",INDEX($J$109:$J$132,MATCH($K10,$C$109:$C$132,0))),""),"")</f>
        <v/>
      </c>
      <c r="W10" s="70"/>
      <c r="X10" s="58"/>
      <c r="Y10" s="58"/>
      <c r="Z10" s="58"/>
      <c r="AA10" s="58"/>
    </row>
    <row r="11" customFormat="false" ht="18" hidden="false" customHeight="true" outlineLevel="0" collapsed="false">
      <c r="A11" s="64" t="n">
        <v>6</v>
      </c>
      <c r="B11" s="65"/>
      <c r="C11" s="65"/>
      <c r="D11" s="58" t="s">
        <v>262</v>
      </c>
      <c r="E11" s="58"/>
      <c r="F11" s="58"/>
      <c r="G11" s="58"/>
      <c r="H11" s="58"/>
      <c r="I11" s="58"/>
      <c r="J11" s="58"/>
      <c r="K11" s="66" t="s">
        <v>263</v>
      </c>
      <c r="L11" s="66"/>
      <c r="M11" s="66"/>
      <c r="N11" s="67" t="s">
        <v>50</v>
      </c>
      <c r="O11" s="67" t="s">
        <v>108</v>
      </c>
      <c r="P11" s="67" t="n">
        <v>0.7</v>
      </c>
      <c r="Q11" s="68" t="str">
        <f aca="false">IF(IF(OR($K11="",$K11="Manual"),"",IF(LEFT($K11,4)="GPS:",IFERROR(CHOOSE(MATCH($K11,Lists!$G$3:$G$8,0),GPS!$G$6,GPS!$G$7,GPS!$G$8,GPS!$G$9,GPS!$G$10,GPS!$G$11),""),IFERROR(IF($N11="LSI",INDEX($I$109:$I$132,MATCH($K11,$C$109:$C$132,0)),IF($N11="L",INDEX($G$109:$G$132,MATCH($K11,$C$109:$C$132,0)),IF($N11="R",INDEX($H$109:$H$132,MATCH($K11,$C$109:$C$132,0)),IF(Dashboard!$K$5="L",INDEX($G$109:$G$132,MATCH($K11,$C$109:$C$132,0)),IF(Dashboard!$K$5="R",INDEX($H$109:$H$132,MATCH($K11,$C$109:$C$132,0)),""))))),"")))="","",IF(OR($N11="LSI",LEFT($K11,4)="GPS:"),TEXT(IF(OR($K11="",$K11="Manual"),"",IF(LEFT($K11,4)="GPS:",IFERROR(CHOOSE(MATCH($K11,Lists!$G$3:$G$8,0),GPS!$G$6,GPS!$G$7,GPS!$G$8,GPS!$G$9,GPS!$G$10,GPS!$G$11),""),IFERROR(IF($N11="LSI",INDEX($I$109:$I$132,MATCH($K11,$C$109:$C$132,0)),IF($N11="L",INDEX($G$109:$G$132,MATCH($K11,$C$109:$C$132,0)),IF($N11="R",INDEX($H$109:$H$132,MATCH($K11,$C$109:$C$132,0)),IF(Dashboard!$K$5="L",INDEX($G$109:$G$132,MATCH($K11,$C$109:$C$132,0)),IF(Dashboard!$K$5="R",INDEX($H$109:$H$132,MATCH($K11,$C$109:$C$132,0)),""))))),""))),"0%"),TEXT(IF(OR($K11="",$K11="Manual"),"",IF(LEFT($K11,4)="GPS:",IFERROR(CHOOSE(MATCH($K11,Lists!$G$3:$G$8,0),GPS!$G$6,GPS!$G$7,GPS!$G$8,GPS!$G$9,GPS!$G$10,GPS!$G$11),""),IFERROR(IF($N11="LSI",INDEX($I$109:$I$132,MATCH($K11,$C$109:$C$132,0)),IF($N11="L",INDEX($G$109:$G$132,MATCH($K11,$C$109:$C$132,0)),IF($N11="R",INDEX($H$109:$H$132,MATCH($K11,$C$109:$C$132,0)),IF(Dashboard!$K$5="L",INDEX($G$109:$G$132,MATCH($K11,$C$109:$C$132,0)),IF(Dashboard!$K$5="R",INDEX($H$109:$H$132,MATCH($K11,$C$109:$C$132,0)),""))))),""))),"0.0")))</f>
        <v/>
      </c>
      <c r="R11" s="68"/>
      <c r="S11" s="69" t="str">
        <f aca="false">IF(OR(IF(OR($K11="",$K11="Manual"),"",IF(LEFT($K11,4)="GPS:",IFERROR(CHOOSE(MATCH($K11,Lists!$G$3:$G$8,0),GPS!$G$6,GPS!$G$7,GPS!$G$8,GPS!$G$9,GPS!$G$10,GPS!$G$11),""),IFERROR(IF($N11="LSI",INDEX($I$109:$I$132,MATCH($K11,$C$109:$C$132,0)),IF($N11="L",INDEX($G$109:$G$132,MATCH($K11,$C$109:$C$132,0)),IF($N11="R",INDEX($H$109:$H$132,MATCH($K11,$C$109:$C$132,0)),IF(Dashboard!$K$5="L",INDEX($G$109:$G$132,MATCH($K11,$C$109:$C$132,0)),IF(Dashboard!$K$5="R",INDEX($H$109:$H$132,MATCH($K11,$C$109:$C$132,0)),""))))),"")))="",$P11=""),"",IF(IF($O11="≤",IF(OR($K11="",$K11="Manual"),"",IF(LEFT($K11,4)="GPS:",IFERROR(CHOOSE(MATCH($K11,Lists!$G$3:$G$8,0),GPS!$G$6,GPS!$G$7,GPS!$G$8,GPS!$G$9,GPS!$G$10,GPS!$G$11),""),IFERROR(IF($N11="LSI",INDEX($I$109:$I$132,MATCH($K11,$C$109:$C$132,0)),IF($N11="L",INDEX($G$109:$G$132,MATCH($K11,$C$109:$C$132,0)),IF($N11="R",INDEX($H$109:$H$132,MATCH($K11,$C$109:$C$132,0)),IF(Dashboard!$K$5="L",INDEX($G$109:$G$132,MATCH($K11,$C$109:$C$132,0)),IF(Dashboard!$K$5="R",INDEX($H$109:$H$132,MATCH($K11,$C$109:$C$132,0)),""))))),"")))&lt;=$P11,IF(OR($K11="",$K11="Manual"),"",IF(LEFT($K11,4)="GPS:",IFERROR(CHOOSE(MATCH($K11,Lists!$G$3:$G$8,0),GPS!$G$6,GPS!$G$7,GPS!$G$8,GPS!$G$9,GPS!$G$10,GPS!$G$11),""),IFERROR(IF($N11="LSI",INDEX($I$109:$I$132,MATCH($K11,$C$109:$C$132,0)),IF($N11="L",INDEX($G$109:$G$132,MATCH($K11,$C$109:$C$132,0)),IF($N11="R",INDEX($H$109:$H$132,MATCH($K11,$C$109:$C$132,0)),IF(Dashboard!$K$5="L",INDEX($G$109:$G$132,MATCH($K11,$C$109:$C$132,0)),IF(Dashboard!$K$5="R",INDEX($H$109:$H$132,MATCH($K11,$C$109:$C$132,0)),""))))),"")))&gt;=$P11),"MET","NOT MET"))</f>
        <v/>
      </c>
      <c r="T11" s="7"/>
      <c r="U11" s="68" t="str">
        <f aca="false">IF($T11&lt;&gt;"",$T11,IF($S11="MET","Y",IF($S11="NOT MET","N","")))</f>
        <v/>
      </c>
      <c r="V11" s="70" t="str">
        <f aca="false">IF($U11="Y",IFERROR(IF(LEFT($K11,4)="GPS:","",INDEX($J$109:$J$132,MATCH($K11,$C$109:$C$132,0))),""),"")</f>
        <v/>
      </c>
      <c r="W11" s="70"/>
      <c r="X11" s="58"/>
      <c r="Y11" s="58"/>
      <c r="Z11" s="58"/>
      <c r="AA11" s="58"/>
    </row>
    <row r="12" customFormat="false" ht="18" hidden="false" customHeight="true" outlineLevel="0" collapsed="false">
      <c r="A12" s="64" t="n">
        <v>7</v>
      </c>
      <c r="B12" s="65" t="s">
        <v>117</v>
      </c>
      <c r="C12" s="65"/>
      <c r="D12" s="58" t="s">
        <v>264</v>
      </c>
      <c r="E12" s="58"/>
      <c r="F12" s="58"/>
      <c r="G12" s="58"/>
      <c r="H12" s="58"/>
      <c r="I12" s="58"/>
      <c r="J12" s="58"/>
      <c r="K12" s="66" t="s">
        <v>261</v>
      </c>
      <c r="L12" s="66"/>
      <c r="M12" s="66"/>
      <c r="N12" s="67" t="s">
        <v>50</v>
      </c>
      <c r="O12" s="67" t="s">
        <v>108</v>
      </c>
      <c r="P12" s="67" t="n">
        <v>0.8</v>
      </c>
      <c r="Q12" s="68" t="str">
        <f aca="false">IF(IF(OR($K12="",$K12="Manual"),"",IF(LEFT($K12,4)="GPS:",IFERROR(CHOOSE(MATCH($K12,Lists!$G$3:$G$8,0),GPS!$G$6,GPS!$G$7,GPS!$G$8,GPS!$G$9,GPS!$G$10,GPS!$G$11),""),IFERROR(IF($N12="LSI",INDEX($I$109:$I$132,MATCH($K12,$C$109:$C$132,0)),IF($N12="L",INDEX($G$109:$G$132,MATCH($K12,$C$109:$C$132,0)),IF($N12="R",INDEX($H$109:$H$132,MATCH($K12,$C$109:$C$132,0)),IF(Dashboard!$K$5="L",INDEX($G$109:$G$132,MATCH($K12,$C$109:$C$132,0)),IF(Dashboard!$K$5="R",INDEX($H$109:$H$132,MATCH($K12,$C$109:$C$132,0)),""))))),"")))="","",IF(OR($N12="LSI",LEFT($K12,4)="GPS:"),TEXT(IF(OR($K12="",$K12="Manual"),"",IF(LEFT($K12,4)="GPS:",IFERROR(CHOOSE(MATCH($K12,Lists!$G$3:$G$8,0),GPS!$G$6,GPS!$G$7,GPS!$G$8,GPS!$G$9,GPS!$G$10,GPS!$G$11),""),IFERROR(IF($N12="LSI",INDEX($I$109:$I$132,MATCH($K12,$C$109:$C$132,0)),IF($N12="L",INDEX($G$109:$G$132,MATCH($K12,$C$109:$C$132,0)),IF($N12="R",INDEX($H$109:$H$132,MATCH($K12,$C$109:$C$132,0)),IF(Dashboard!$K$5="L",INDEX($G$109:$G$132,MATCH($K12,$C$109:$C$132,0)),IF(Dashboard!$K$5="R",INDEX($H$109:$H$132,MATCH($K12,$C$109:$C$132,0)),""))))),""))),"0%"),TEXT(IF(OR($K12="",$K12="Manual"),"",IF(LEFT($K12,4)="GPS:",IFERROR(CHOOSE(MATCH($K12,Lists!$G$3:$G$8,0),GPS!$G$6,GPS!$G$7,GPS!$G$8,GPS!$G$9,GPS!$G$10,GPS!$G$11),""),IFERROR(IF($N12="LSI",INDEX($I$109:$I$132,MATCH($K12,$C$109:$C$132,0)),IF($N12="L",INDEX($G$109:$G$132,MATCH($K12,$C$109:$C$132,0)),IF($N12="R",INDEX($H$109:$H$132,MATCH($K12,$C$109:$C$132,0)),IF(Dashboard!$K$5="L",INDEX($G$109:$G$132,MATCH($K12,$C$109:$C$132,0)),IF(Dashboard!$K$5="R",INDEX($H$109:$H$132,MATCH($K12,$C$109:$C$132,0)),""))))),""))),"0.0")))</f>
        <v/>
      </c>
      <c r="R12" s="68"/>
      <c r="S12" s="69" t="str">
        <f aca="false">IF(OR(IF(OR($K12="",$K12="Manual"),"",IF(LEFT($K12,4)="GPS:",IFERROR(CHOOSE(MATCH($K12,Lists!$G$3:$G$8,0),GPS!$G$6,GPS!$G$7,GPS!$G$8,GPS!$G$9,GPS!$G$10,GPS!$G$11),""),IFERROR(IF($N12="LSI",INDEX($I$109:$I$132,MATCH($K12,$C$109:$C$132,0)),IF($N12="L",INDEX($G$109:$G$132,MATCH($K12,$C$109:$C$132,0)),IF($N12="R",INDEX($H$109:$H$132,MATCH($K12,$C$109:$C$132,0)),IF(Dashboard!$K$5="L",INDEX($G$109:$G$132,MATCH($K12,$C$109:$C$132,0)),IF(Dashboard!$K$5="R",INDEX($H$109:$H$132,MATCH($K12,$C$109:$C$132,0)),""))))),"")))="",$P12=""),"",IF(IF($O12="≤",IF(OR($K12="",$K12="Manual"),"",IF(LEFT($K12,4)="GPS:",IFERROR(CHOOSE(MATCH($K12,Lists!$G$3:$G$8,0),GPS!$G$6,GPS!$G$7,GPS!$G$8,GPS!$G$9,GPS!$G$10,GPS!$G$11),""),IFERROR(IF($N12="LSI",INDEX($I$109:$I$132,MATCH($K12,$C$109:$C$132,0)),IF($N12="L",INDEX($G$109:$G$132,MATCH($K12,$C$109:$C$132,0)),IF($N12="R",INDEX($H$109:$H$132,MATCH($K12,$C$109:$C$132,0)),IF(Dashboard!$K$5="L",INDEX($G$109:$G$132,MATCH($K12,$C$109:$C$132,0)),IF(Dashboard!$K$5="R",INDEX($H$109:$H$132,MATCH($K12,$C$109:$C$132,0)),""))))),"")))&lt;=$P12,IF(OR($K12="",$K12="Manual"),"",IF(LEFT($K12,4)="GPS:",IFERROR(CHOOSE(MATCH($K12,Lists!$G$3:$G$8,0),GPS!$G$6,GPS!$G$7,GPS!$G$8,GPS!$G$9,GPS!$G$10,GPS!$G$11),""),IFERROR(IF($N12="LSI",INDEX($I$109:$I$132,MATCH($K12,$C$109:$C$132,0)),IF($N12="L",INDEX($G$109:$G$132,MATCH($K12,$C$109:$C$132,0)),IF($N12="R",INDEX($H$109:$H$132,MATCH($K12,$C$109:$C$132,0)),IF(Dashboard!$K$5="L",INDEX($G$109:$G$132,MATCH($K12,$C$109:$C$132,0)),IF(Dashboard!$K$5="R",INDEX($H$109:$H$132,MATCH($K12,$C$109:$C$132,0)),""))))),"")))&gt;=$P12),"MET","NOT MET"))</f>
        <v/>
      </c>
      <c r="T12" s="7"/>
      <c r="U12" s="68" t="str">
        <f aca="false">IF($T12&lt;&gt;"",$T12,IF($S12="MET","Y",IF($S12="NOT MET","N","")))</f>
        <v/>
      </c>
      <c r="V12" s="70" t="str">
        <f aca="false">IF($U12="Y",IFERROR(IF(LEFT($K12,4)="GPS:","",INDEX($J$109:$J$132,MATCH($K12,$C$109:$C$132,0))),""),"")</f>
        <v/>
      </c>
      <c r="W12" s="70"/>
      <c r="X12" s="58"/>
      <c r="Y12" s="58"/>
      <c r="Z12" s="58"/>
      <c r="AA12" s="58"/>
    </row>
    <row r="13" customFormat="false" ht="18" hidden="false" customHeight="true" outlineLevel="0" collapsed="false">
      <c r="A13" s="64" t="n">
        <v>8</v>
      </c>
      <c r="B13" s="65"/>
      <c r="C13" s="65"/>
      <c r="D13" s="58" t="s">
        <v>265</v>
      </c>
      <c r="E13" s="58"/>
      <c r="F13" s="58"/>
      <c r="G13" s="58"/>
      <c r="H13" s="58"/>
      <c r="I13" s="58"/>
      <c r="J13" s="58"/>
      <c r="K13" s="66" t="s">
        <v>266</v>
      </c>
      <c r="L13" s="66"/>
      <c r="M13" s="66"/>
      <c r="N13" s="67" t="s">
        <v>50</v>
      </c>
      <c r="O13" s="67" t="s">
        <v>108</v>
      </c>
      <c r="P13" s="67" t="n">
        <v>0.8</v>
      </c>
      <c r="Q13" s="68" t="str">
        <f aca="false">IF(IF(OR($K13="",$K13="Manual"),"",IF(LEFT($K13,4)="GPS:",IFERROR(CHOOSE(MATCH($K13,Lists!$G$3:$G$8,0),GPS!$G$6,GPS!$G$7,GPS!$G$8,GPS!$G$9,GPS!$G$10,GPS!$G$11),""),IFERROR(IF($N13="LSI",INDEX($I$109:$I$132,MATCH($K13,$C$109:$C$132,0)),IF($N13="L",INDEX($G$109:$G$132,MATCH($K13,$C$109:$C$132,0)),IF($N13="R",INDEX($H$109:$H$132,MATCH($K13,$C$109:$C$132,0)),IF(Dashboard!$K$5="L",INDEX($G$109:$G$132,MATCH($K13,$C$109:$C$132,0)),IF(Dashboard!$K$5="R",INDEX($H$109:$H$132,MATCH($K13,$C$109:$C$132,0)),""))))),"")))="","",IF(OR($N13="LSI",LEFT($K13,4)="GPS:"),TEXT(IF(OR($K13="",$K13="Manual"),"",IF(LEFT($K13,4)="GPS:",IFERROR(CHOOSE(MATCH($K13,Lists!$G$3:$G$8,0),GPS!$G$6,GPS!$G$7,GPS!$G$8,GPS!$G$9,GPS!$G$10,GPS!$G$11),""),IFERROR(IF($N13="LSI",INDEX($I$109:$I$132,MATCH($K13,$C$109:$C$132,0)),IF($N13="L",INDEX($G$109:$G$132,MATCH($K13,$C$109:$C$132,0)),IF($N13="R",INDEX($H$109:$H$132,MATCH($K13,$C$109:$C$132,0)),IF(Dashboard!$K$5="L",INDEX($G$109:$G$132,MATCH($K13,$C$109:$C$132,0)),IF(Dashboard!$K$5="R",INDEX($H$109:$H$132,MATCH($K13,$C$109:$C$132,0)),""))))),""))),"0%"),TEXT(IF(OR($K13="",$K13="Manual"),"",IF(LEFT($K13,4)="GPS:",IFERROR(CHOOSE(MATCH($K13,Lists!$G$3:$G$8,0),GPS!$G$6,GPS!$G$7,GPS!$G$8,GPS!$G$9,GPS!$G$10,GPS!$G$11),""),IFERROR(IF($N13="LSI",INDEX($I$109:$I$132,MATCH($K13,$C$109:$C$132,0)),IF($N13="L",INDEX($G$109:$G$132,MATCH($K13,$C$109:$C$132,0)),IF($N13="R",INDEX($H$109:$H$132,MATCH($K13,$C$109:$C$132,0)),IF(Dashboard!$K$5="L",INDEX($G$109:$G$132,MATCH($K13,$C$109:$C$132,0)),IF(Dashboard!$K$5="R",INDEX($H$109:$H$132,MATCH($K13,$C$109:$C$132,0)),""))))),""))),"0.0")))</f>
        <v/>
      </c>
      <c r="R13" s="68"/>
      <c r="S13" s="69" t="str">
        <f aca="false">IF(OR(IF(OR($K13="",$K13="Manual"),"",IF(LEFT($K13,4)="GPS:",IFERROR(CHOOSE(MATCH($K13,Lists!$G$3:$G$8,0),GPS!$G$6,GPS!$G$7,GPS!$G$8,GPS!$G$9,GPS!$G$10,GPS!$G$11),""),IFERROR(IF($N13="LSI",INDEX($I$109:$I$132,MATCH($K13,$C$109:$C$132,0)),IF($N13="L",INDEX($G$109:$G$132,MATCH($K13,$C$109:$C$132,0)),IF($N13="R",INDEX($H$109:$H$132,MATCH($K13,$C$109:$C$132,0)),IF(Dashboard!$K$5="L",INDEX($G$109:$G$132,MATCH($K13,$C$109:$C$132,0)),IF(Dashboard!$K$5="R",INDEX($H$109:$H$132,MATCH($K13,$C$109:$C$132,0)),""))))),"")))="",$P13=""),"",IF(IF($O13="≤",IF(OR($K13="",$K13="Manual"),"",IF(LEFT($K13,4)="GPS:",IFERROR(CHOOSE(MATCH($K13,Lists!$G$3:$G$8,0),GPS!$G$6,GPS!$G$7,GPS!$G$8,GPS!$G$9,GPS!$G$10,GPS!$G$11),""),IFERROR(IF($N13="LSI",INDEX($I$109:$I$132,MATCH($K13,$C$109:$C$132,0)),IF($N13="L",INDEX($G$109:$G$132,MATCH($K13,$C$109:$C$132,0)),IF($N13="R",INDEX($H$109:$H$132,MATCH($K13,$C$109:$C$132,0)),IF(Dashboard!$K$5="L",INDEX($G$109:$G$132,MATCH($K13,$C$109:$C$132,0)),IF(Dashboard!$K$5="R",INDEX($H$109:$H$132,MATCH($K13,$C$109:$C$132,0)),""))))),"")))&lt;=$P13,IF(OR($K13="",$K13="Manual"),"",IF(LEFT($K13,4)="GPS:",IFERROR(CHOOSE(MATCH($K13,Lists!$G$3:$G$8,0),GPS!$G$6,GPS!$G$7,GPS!$G$8,GPS!$G$9,GPS!$G$10,GPS!$G$11),""),IFERROR(IF($N13="LSI",INDEX($I$109:$I$132,MATCH($K13,$C$109:$C$132,0)),IF($N13="L",INDEX($G$109:$G$132,MATCH($K13,$C$109:$C$132,0)),IF($N13="R",INDEX($H$109:$H$132,MATCH($K13,$C$109:$C$132,0)),IF(Dashboard!$K$5="L",INDEX($G$109:$G$132,MATCH($K13,$C$109:$C$132,0)),IF(Dashboard!$K$5="R",INDEX($H$109:$H$132,MATCH($K13,$C$109:$C$132,0)),""))))),"")))&gt;=$P13),"MET","NOT MET"))</f>
        <v/>
      </c>
      <c r="T13" s="7"/>
      <c r="U13" s="68" t="str">
        <f aca="false">IF($T13&lt;&gt;"",$T13,IF($S13="MET","Y",IF($S13="NOT MET","N","")))</f>
        <v/>
      </c>
      <c r="V13" s="70" t="str">
        <f aca="false">IF($U13="Y",IFERROR(IF(LEFT($K13,4)="GPS:","",INDEX($J$109:$J$132,MATCH($K13,$C$109:$C$132,0))),""),"")</f>
        <v/>
      </c>
      <c r="W13" s="70"/>
      <c r="X13" s="58"/>
      <c r="Y13" s="58"/>
      <c r="Z13" s="58"/>
      <c r="AA13" s="58"/>
    </row>
    <row r="14" customFormat="false" ht="18" hidden="false" customHeight="true" outlineLevel="0" collapsed="false">
      <c r="A14" s="64" t="n">
        <v>9</v>
      </c>
      <c r="B14" s="65"/>
      <c r="C14" s="65"/>
      <c r="D14" s="58" t="s">
        <v>267</v>
      </c>
      <c r="E14" s="58"/>
      <c r="F14" s="58"/>
      <c r="G14" s="58"/>
      <c r="H14" s="58"/>
      <c r="I14" s="58"/>
      <c r="J14" s="58"/>
      <c r="K14" s="66" t="s">
        <v>107</v>
      </c>
      <c r="L14" s="66"/>
      <c r="M14" s="66"/>
      <c r="N14" s="67"/>
      <c r="O14" s="67" t="s">
        <v>108</v>
      </c>
      <c r="P14" s="67"/>
      <c r="Q14" s="68" t="str">
        <f aca="false">IF(IF(OR($K14="",$K14="Manual"),"",IF(LEFT($K14,4)="GPS:",IFERROR(CHOOSE(MATCH($K14,Lists!$G$3:$G$8,0),GPS!$G$6,GPS!$G$7,GPS!$G$8,GPS!$G$9,GPS!$G$10,GPS!$G$11),""),IFERROR(IF($N14="LSI",INDEX($I$109:$I$132,MATCH($K14,$C$109:$C$132,0)),IF($N14="L",INDEX($G$109:$G$132,MATCH($K14,$C$109:$C$132,0)),IF($N14="R",INDEX($H$109:$H$132,MATCH($K14,$C$109:$C$132,0)),IF(Dashboard!$K$5="L",INDEX($G$109:$G$132,MATCH($K14,$C$109:$C$132,0)),IF(Dashboard!$K$5="R",INDEX($H$109:$H$132,MATCH($K14,$C$109:$C$132,0)),""))))),"")))="","",IF(OR($N14="LSI",LEFT($K14,4)="GPS:"),TEXT(IF(OR($K14="",$K14="Manual"),"",IF(LEFT($K14,4)="GPS:",IFERROR(CHOOSE(MATCH($K14,Lists!$G$3:$G$8,0),GPS!$G$6,GPS!$G$7,GPS!$G$8,GPS!$G$9,GPS!$G$10,GPS!$G$11),""),IFERROR(IF($N14="LSI",INDEX($I$109:$I$132,MATCH($K14,$C$109:$C$132,0)),IF($N14="L",INDEX($G$109:$G$132,MATCH($K14,$C$109:$C$132,0)),IF($N14="R",INDEX($H$109:$H$132,MATCH($K14,$C$109:$C$132,0)),IF(Dashboard!$K$5="L",INDEX($G$109:$G$132,MATCH($K14,$C$109:$C$132,0)),IF(Dashboard!$K$5="R",INDEX($H$109:$H$132,MATCH($K14,$C$109:$C$132,0)),""))))),""))),"0%"),TEXT(IF(OR($K14="",$K14="Manual"),"",IF(LEFT($K14,4)="GPS:",IFERROR(CHOOSE(MATCH($K14,Lists!$G$3:$G$8,0),GPS!$G$6,GPS!$G$7,GPS!$G$8,GPS!$G$9,GPS!$G$10,GPS!$G$11),""),IFERROR(IF($N14="LSI",INDEX($I$109:$I$132,MATCH($K14,$C$109:$C$132,0)),IF($N14="L",INDEX($G$109:$G$132,MATCH($K14,$C$109:$C$132,0)),IF($N14="R",INDEX($H$109:$H$132,MATCH($K14,$C$109:$C$132,0)),IF(Dashboard!$K$5="L",INDEX($G$109:$G$132,MATCH($K14,$C$109:$C$132,0)),IF(Dashboard!$K$5="R",INDEX($H$109:$H$132,MATCH($K14,$C$109:$C$132,0)),""))))),""))),"0.0")))</f>
        <v/>
      </c>
      <c r="R14" s="68"/>
      <c r="S14" s="69" t="str">
        <f aca="false">IF(OR(IF(OR($K14="",$K14="Manual"),"",IF(LEFT($K14,4)="GPS:",IFERROR(CHOOSE(MATCH($K14,Lists!$G$3:$G$8,0),GPS!$G$6,GPS!$G$7,GPS!$G$8,GPS!$G$9,GPS!$G$10,GPS!$G$11),""),IFERROR(IF($N14="LSI",INDEX($I$109:$I$132,MATCH($K14,$C$109:$C$132,0)),IF($N14="L",INDEX($G$109:$G$132,MATCH($K14,$C$109:$C$132,0)),IF($N14="R",INDEX($H$109:$H$132,MATCH($K14,$C$109:$C$132,0)),IF(Dashboard!$K$5="L",INDEX($G$109:$G$132,MATCH($K14,$C$109:$C$132,0)),IF(Dashboard!$K$5="R",INDEX($H$109:$H$132,MATCH($K14,$C$109:$C$132,0)),""))))),"")))="",$P14=""),"",IF(IF($O14="≤",IF(OR($K14="",$K14="Manual"),"",IF(LEFT($K14,4)="GPS:",IFERROR(CHOOSE(MATCH($K14,Lists!$G$3:$G$8,0),GPS!$G$6,GPS!$G$7,GPS!$G$8,GPS!$G$9,GPS!$G$10,GPS!$G$11),""),IFERROR(IF($N14="LSI",INDEX($I$109:$I$132,MATCH($K14,$C$109:$C$132,0)),IF($N14="L",INDEX($G$109:$G$132,MATCH($K14,$C$109:$C$132,0)),IF($N14="R",INDEX($H$109:$H$132,MATCH($K14,$C$109:$C$132,0)),IF(Dashboard!$K$5="L",INDEX($G$109:$G$132,MATCH($K14,$C$109:$C$132,0)),IF(Dashboard!$K$5="R",INDEX($H$109:$H$132,MATCH($K14,$C$109:$C$132,0)),""))))),"")))&lt;=$P14,IF(OR($K14="",$K14="Manual"),"",IF(LEFT($K14,4)="GPS:",IFERROR(CHOOSE(MATCH($K14,Lists!$G$3:$G$8,0),GPS!$G$6,GPS!$G$7,GPS!$G$8,GPS!$G$9,GPS!$G$10,GPS!$G$11),""),IFERROR(IF($N14="LSI",INDEX($I$109:$I$132,MATCH($K14,$C$109:$C$132,0)),IF($N14="L",INDEX($G$109:$G$132,MATCH($K14,$C$109:$C$132,0)),IF($N14="R",INDEX($H$109:$H$132,MATCH($K14,$C$109:$C$132,0)),IF(Dashboard!$K$5="L",INDEX($G$109:$G$132,MATCH($K14,$C$109:$C$132,0)),IF(Dashboard!$K$5="R",INDEX($H$109:$H$132,MATCH($K14,$C$109:$C$132,0)),""))))),"")))&gt;=$P14),"MET","NOT MET"))</f>
        <v/>
      </c>
      <c r="T14" s="7"/>
      <c r="U14" s="68" t="str">
        <f aca="false">IF($T14&lt;&gt;"",$T14,IF($S14="MET","Y",IF($S14="NOT MET","N","")))</f>
        <v/>
      </c>
      <c r="V14" s="70" t="str">
        <f aca="false">IF($U14="Y",IFERROR(IF(LEFT($K14,4)="GPS:","",INDEX($J$109:$J$132,MATCH($K14,$C$109:$C$132,0))),""),"")</f>
        <v/>
      </c>
      <c r="W14" s="70"/>
      <c r="X14" s="58"/>
      <c r="Y14" s="58"/>
      <c r="Z14" s="58"/>
      <c r="AA14" s="58"/>
    </row>
    <row r="15" customFormat="false" ht="18" hidden="false" customHeight="true" outlineLevel="0" collapsed="false">
      <c r="A15" s="64" t="n">
        <v>10</v>
      </c>
      <c r="B15" s="65" t="s">
        <v>122</v>
      </c>
      <c r="C15" s="65"/>
      <c r="D15" s="58" t="s">
        <v>268</v>
      </c>
      <c r="E15" s="58"/>
      <c r="F15" s="58"/>
      <c r="G15" s="58"/>
      <c r="H15" s="58"/>
      <c r="I15" s="58"/>
      <c r="J15" s="58"/>
      <c r="K15" s="66" t="s">
        <v>261</v>
      </c>
      <c r="L15" s="66"/>
      <c r="M15" s="66"/>
      <c r="N15" s="67" t="s">
        <v>50</v>
      </c>
      <c r="O15" s="67" t="s">
        <v>108</v>
      </c>
      <c r="P15" s="67" t="n">
        <v>0.9</v>
      </c>
      <c r="Q15" s="68" t="str">
        <f aca="false">IF(IF(OR($K15="",$K15="Manual"),"",IF(LEFT($K15,4)="GPS:",IFERROR(CHOOSE(MATCH($K15,Lists!$G$3:$G$8,0),GPS!$G$6,GPS!$G$7,GPS!$G$8,GPS!$G$9,GPS!$G$10,GPS!$G$11),""),IFERROR(IF($N15="LSI",INDEX($I$109:$I$132,MATCH($K15,$C$109:$C$132,0)),IF($N15="L",INDEX($G$109:$G$132,MATCH($K15,$C$109:$C$132,0)),IF($N15="R",INDEX($H$109:$H$132,MATCH($K15,$C$109:$C$132,0)),IF(Dashboard!$K$5="L",INDEX($G$109:$G$132,MATCH($K15,$C$109:$C$132,0)),IF(Dashboard!$K$5="R",INDEX($H$109:$H$132,MATCH($K15,$C$109:$C$132,0)),""))))),"")))="","",IF(OR($N15="LSI",LEFT($K15,4)="GPS:"),TEXT(IF(OR($K15="",$K15="Manual"),"",IF(LEFT($K15,4)="GPS:",IFERROR(CHOOSE(MATCH($K15,Lists!$G$3:$G$8,0),GPS!$G$6,GPS!$G$7,GPS!$G$8,GPS!$G$9,GPS!$G$10,GPS!$G$11),""),IFERROR(IF($N15="LSI",INDEX($I$109:$I$132,MATCH($K15,$C$109:$C$132,0)),IF($N15="L",INDEX($G$109:$G$132,MATCH($K15,$C$109:$C$132,0)),IF($N15="R",INDEX($H$109:$H$132,MATCH($K15,$C$109:$C$132,0)),IF(Dashboard!$K$5="L",INDEX($G$109:$G$132,MATCH($K15,$C$109:$C$132,0)),IF(Dashboard!$K$5="R",INDEX($H$109:$H$132,MATCH($K15,$C$109:$C$132,0)),""))))),""))),"0%"),TEXT(IF(OR($K15="",$K15="Manual"),"",IF(LEFT($K15,4)="GPS:",IFERROR(CHOOSE(MATCH($K15,Lists!$G$3:$G$8,0),GPS!$G$6,GPS!$G$7,GPS!$G$8,GPS!$G$9,GPS!$G$10,GPS!$G$11),""),IFERROR(IF($N15="LSI",INDEX($I$109:$I$132,MATCH($K15,$C$109:$C$132,0)),IF($N15="L",INDEX($G$109:$G$132,MATCH($K15,$C$109:$C$132,0)),IF($N15="R",INDEX($H$109:$H$132,MATCH($K15,$C$109:$C$132,0)),IF(Dashboard!$K$5="L",INDEX($G$109:$G$132,MATCH($K15,$C$109:$C$132,0)),IF(Dashboard!$K$5="R",INDEX($H$109:$H$132,MATCH($K15,$C$109:$C$132,0)),""))))),""))),"0.0")))</f>
        <v/>
      </c>
      <c r="R15" s="68"/>
      <c r="S15" s="69" t="str">
        <f aca="false">IF(OR(IF(OR($K15="",$K15="Manual"),"",IF(LEFT($K15,4)="GPS:",IFERROR(CHOOSE(MATCH($K15,Lists!$G$3:$G$8,0),GPS!$G$6,GPS!$G$7,GPS!$G$8,GPS!$G$9,GPS!$G$10,GPS!$G$11),""),IFERROR(IF($N15="LSI",INDEX($I$109:$I$132,MATCH($K15,$C$109:$C$132,0)),IF($N15="L",INDEX($G$109:$G$132,MATCH($K15,$C$109:$C$132,0)),IF($N15="R",INDEX($H$109:$H$132,MATCH($K15,$C$109:$C$132,0)),IF(Dashboard!$K$5="L",INDEX($G$109:$G$132,MATCH($K15,$C$109:$C$132,0)),IF(Dashboard!$K$5="R",INDEX($H$109:$H$132,MATCH($K15,$C$109:$C$132,0)),""))))),"")))="",$P15=""),"",IF(IF($O15="≤",IF(OR($K15="",$K15="Manual"),"",IF(LEFT($K15,4)="GPS:",IFERROR(CHOOSE(MATCH($K15,Lists!$G$3:$G$8,0),GPS!$G$6,GPS!$G$7,GPS!$G$8,GPS!$G$9,GPS!$G$10,GPS!$G$11),""),IFERROR(IF($N15="LSI",INDEX($I$109:$I$132,MATCH($K15,$C$109:$C$132,0)),IF($N15="L",INDEX($G$109:$G$132,MATCH($K15,$C$109:$C$132,0)),IF($N15="R",INDEX($H$109:$H$132,MATCH($K15,$C$109:$C$132,0)),IF(Dashboard!$K$5="L",INDEX($G$109:$G$132,MATCH($K15,$C$109:$C$132,0)),IF(Dashboard!$K$5="R",INDEX($H$109:$H$132,MATCH($K15,$C$109:$C$132,0)),""))))),"")))&lt;=$P15,IF(OR($K15="",$K15="Manual"),"",IF(LEFT($K15,4)="GPS:",IFERROR(CHOOSE(MATCH($K15,Lists!$G$3:$G$8,0),GPS!$G$6,GPS!$G$7,GPS!$G$8,GPS!$G$9,GPS!$G$10,GPS!$G$11),""),IFERROR(IF($N15="LSI",INDEX($I$109:$I$132,MATCH($K15,$C$109:$C$132,0)),IF($N15="L",INDEX($G$109:$G$132,MATCH($K15,$C$109:$C$132,0)),IF($N15="R",INDEX($H$109:$H$132,MATCH($K15,$C$109:$C$132,0)),IF(Dashboard!$K$5="L",INDEX($G$109:$G$132,MATCH($K15,$C$109:$C$132,0)),IF(Dashboard!$K$5="R",INDEX($H$109:$H$132,MATCH($K15,$C$109:$C$132,0)),""))))),"")))&gt;=$P15),"MET","NOT MET"))</f>
        <v/>
      </c>
      <c r="T15" s="7"/>
      <c r="U15" s="68" t="str">
        <f aca="false">IF($T15&lt;&gt;"",$T15,IF($S15="MET","Y",IF($S15="NOT MET","N","")))</f>
        <v/>
      </c>
      <c r="V15" s="70" t="str">
        <f aca="false">IF($U15="Y",IFERROR(IF(LEFT($K15,4)="GPS:","",INDEX($J$109:$J$132,MATCH($K15,$C$109:$C$132,0))),""),"")</f>
        <v/>
      </c>
      <c r="W15" s="70"/>
      <c r="X15" s="58"/>
      <c r="Y15" s="58"/>
      <c r="Z15" s="58"/>
      <c r="AA15" s="58"/>
    </row>
    <row r="16" customFormat="false" ht="18" hidden="false" customHeight="true" outlineLevel="0" collapsed="false">
      <c r="A16" s="64" t="n">
        <v>11</v>
      </c>
      <c r="B16" s="65"/>
      <c r="C16" s="65"/>
      <c r="D16" s="58" t="s">
        <v>269</v>
      </c>
      <c r="E16" s="58"/>
      <c r="F16" s="58"/>
      <c r="G16" s="58"/>
      <c r="H16" s="58"/>
      <c r="I16" s="58"/>
      <c r="J16" s="58"/>
      <c r="K16" s="66" t="s">
        <v>270</v>
      </c>
      <c r="L16" s="66"/>
      <c r="M16" s="66"/>
      <c r="N16" s="67" t="s">
        <v>50</v>
      </c>
      <c r="O16" s="67" t="s">
        <v>108</v>
      </c>
      <c r="P16" s="67" t="n">
        <v>0.9</v>
      </c>
      <c r="Q16" s="68" t="str">
        <f aca="false">IF(IF(OR($K16="",$K16="Manual"),"",IF(LEFT($K16,4)="GPS:",IFERROR(CHOOSE(MATCH($K16,Lists!$G$3:$G$8,0),GPS!$G$6,GPS!$G$7,GPS!$G$8,GPS!$G$9,GPS!$G$10,GPS!$G$11),""),IFERROR(IF($N16="LSI",INDEX($I$109:$I$132,MATCH($K16,$C$109:$C$132,0)),IF($N16="L",INDEX($G$109:$G$132,MATCH($K16,$C$109:$C$132,0)),IF($N16="R",INDEX($H$109:$H$132,MATCH($K16,$C$109:$C$132,0)),IF(Dashboard!$K$5="L",INDEX($G$109:$G$132,MATCH($K16,$C$109:$C$132,0)),IF(Dashboard!$K$5="R",INDEX($H$109:$H$132,MATCH($K16,$C$109:$C$132,0)),""))))),"")))="","",IF(OR($N16="LSI",LEFT($K16,4)="GPS:"),TEXT(IF(OR($K16="",$K16="Manual"),"",IF(LEFT($K16,4)="GPS:",IFERROR(CHOOSE(MATCH($K16,Lists!$G$3:$G$8,0),GPS!$G$6,GPS!$G$7,GPS!$G$8,GPS!$G$9,GPS!$G$10,GPS!$G$11),""),IFERROR(IF($N16="LSI",INDEX($I$109:$I$132,MATCH($K16,$C$109:$C$132,0)),IF($N16="L",INDEX($G$109:$G$132,MATCH($K16,$C$109:$C$132,0)),IF($N16="R",INDEX($H$109:$H$132,MATCH($K16,$C$109:$C$132,0)),IF(Dashboard!$K$5="L",INDEX($G$109:$G$132,MATCH($K16,$C$109:$C$132,0)),IF(Dashboard!$K$5="R",INDEX($H$109:$H$132,MATCH($K16,$C$109:$C$132,0)),""))))),""))),"0%"),TEXT(IF(OR($K16="",$K16="Manual"),"",IF(LEFT($K16,4)="GPS:",IFERROR(CHOOSE(MATCH($K16,Lists!$G$3:$G$8,0),GPS!$G$6,GPS!$G$7,GPS!$G$8,GPS!$G$9,GPS!$G$10,GPS!$G$11),""),IFERROR(IF($N16="LSI",INDEX($I$109:$I$132,MATCH($K16,$C$109:$C$132,0)),IF($N16="L",INDEX($G$109:$G$132,MATCH($K16,$C$109:$C$132,0)),IF($N16="R",INDEX($H$109:$H$132,MATCH($K16,$C$109:$C$132,0)),IF(Dashboard!$K$5="L",INDEX($G$109:$G$132,MATCH($K16,$C$109:$C$132,0)),IF(Dashboard!$K$5="R",INDEX($H$109:$H$132,MATCH($K16,$C$109:$C$132,0)),""))))),""))),"0.0")))</f>
        <v/>
      </c>
      <c r="R16" s="68"/>
      <c r="S16" s="69" t="str">
        <f aca="false">IF(OR(IF(OR($K16="",$K16="Manual"),"",IF(LEFT($K16,4)="GPS:",IFERROR(CHOOSE(MATCH($K16,Lists!$G$3:$G$8,0),GPS!$G$6,GPS!$G$7,GPS!$G$8,GPS!$G$9,GPS!$G$10,GPS!$G$11),""),IFERROR(IF($N16="LSI",INDEX($I$109:$I$132,MATCH($K16,$C$109:$C$132,0)),IF($N16="L",INDEX($G$109:$G$132,MATCH($K16,$C$109:$C$132,0)),IF($N16="R",INDEX($H$109:$H$132,MATCH($K16,$C$109:$C$132,0)),IF(Dashboard!$K$5="L",INDEX($G$109:$G$132,MATCH($K16,$C$109:$C$132,0)),IF(Dashboard!$K$5="R",INDEX($H$109:$H$132,MATCH($K16,$C$109:$C$132,0)),""))))),"")))="",$P16=""),"",IF(IF($O16="≤",IF(OR($K16="",$K16="Manual"),"",IF(LEFT($K16,4)="GPS:",IFERROR(CHOOSE(MATCH($K16,Lists!$G$3:$G$8,0),GPS!$G$6,GPS!$G$7,GPS!$G$8,GPS!$G$9,GPS!$G$10,GPS!$G$11),""),IFERROR(IF($N16="LSI",INDEX($I$109:$I$132,MATCH($K16,$C$109:$C$132,0)),IF($N16="L",INDEX($G$109:$G$132,MATCH($K16,$C$109:$C$132,0)),IF($N16="R",INDEX($H$109:$H$132,MATCH($K16,$C$109:$C$132,0)),IF(Dashboard!$K$5="L",INDEX($G$109:$G$132,MATCH($K16,$C$109:$C$132,0)),IF(Dashboard!$K$5="R",INDEX($H$109:$H$132,MATCH($K16,$C$109:$C$132,0)),""))))),"")))&lt;=$P16,IF(OR($K16="",$K16="Manual"),"",IF(LEFT($K16,4)="GPS:",IFERROR(CHOOSE(MATCH($K16,Lists!$G$3:$G$8,0),GPS!$G$6,GPS!$G$7,GPS!$G$8,GPS!$G$9,GPS!$G$10,GPS!$G$11),""),IFERROR(IF($N16="LSI",INDEX($I$109:$I$132,MATCH($K16,$C$109:$C$132,0)),IF($N16="L",INDEX($G$109:$G$132,MATCH($K16,$C$109:$C$132,0)),IF($N16="R",INDEX($H$109:$H$132,MATCH($K16,$C$109:$C$132,0)),IF(Dashboard!$K$5="L",INDEX($G$109:$G$132,MATCH($K16,$C$109:$C$132,0)),IF(Dashboard!$K$5="R",INDEX($H$109:$H$132,MATCH($K16,$C$109:$C$132,0)),""))))),"")))&gt;=$P16),"MET","NOT MET"))</f>
        <v/>
      </c>
      <c r="T16" s="7"/>
      <c r="U16" s="68" t="str">
        <f aca="false">IF($T16&lt;&gt;"",$T16,IF($S16="MET","Y",IF($S16="NOT MET","N","")))</f>
        <v/>
      </c>
      <c r="V16" s="70" t="str">
        <f aca="false">IF($U16="Y",IFERROR(IF(LEFT($K16,4)="GPS:","",INDEX($J$109:$J$132,MATCH($K16,$C$109:$C$132,0))),""),"")</f>
        <v/>
      </c>
      <c r="W16" s="70"/>
      <c r="X16" s="58"/>
      <c r="Y16" s="58"/>
      <c r="Z16" s="58"/>
      <c r="AA16" s="58"/>
    </row>
    <row r="17" customFormat="false" ht="18" hidden="false" customHeight="true" outlineLevel="0" collapsed="false">
      <c r="A17" s="64" t="n">
        <v>12</v>
      </c>
      <c r="B17" s="65"/>
      <c r="C17" s="65"/>
      <c r="D17" s="58" t="s">
        <v>271</v>
      </c>
      <c r="E17" s="58"/>
      <c r="F17" s="58"/>
      <c r="G17" s="58"/>
      <c r="H17" s="58"/>
      <c r="I17" s="58"/>
      <c r="J17" s="58"/>
      <c r="K17" s="66" t="s">
        <v>107</v>
      </c>
      <c r="L17" s="66"/>
      <c r="M17" s="66"/>
      <c r="N17" s="67"/>
      <c r="O17" s="67" t="s">
        <v>108</v>
      </c>
      <c r="P17" s="67"/>
      <c r="Q17" s="68" t="str">
        <f aca="false">IF(IF(OR($K17="",$K17="Manual"),"",IF(LEFT($K17,4)="GPS:",IFERROR(CHOOSE(MATCH($K17,Lists!$G$3:$G$8,0),GPS!$G$6,GPS!$G$7,GPS!$G$8,GPS!$G$9,GPS!$G$10,GPS!$G$11),""),IFERROR(IF($N17="LSI",INDEX($I$109:$I$132,MATCH($K17,$C$109:$C$132,0)),IF($N17="L",INDEX($G$109:$G$132,MATCH($K17,$C$109:$C$132,0)),IF($N17="R",INDEX($H$109:$H$132,MATCH($K17,$C$109:$C$132,0)),IF(Dashboard!$K$5="L",INDEX($G$109:$G$132,MATCH($K17,$C$109:$C$132,0)),IF(Dashboard!$K$5="R",INDEX($H$109:$H$132,MATCH($K17,$C$109:$C$132,0)),""))))),"")))="","",IF(OR($N17="LSI",LEFT($K17,4)="GPS:"),TEXT(IF(OR($K17="",$K17="Manual"),"",IF(LEFT($K17,4)="GPS:",IFERROR(CHOOSE(MATCH($K17,Lists!$G$3:$G$8,0),GPS!$G$6,GPS!$G$7,GPS!$G$8,GPS!$G$9,GPS!$G$10,GPS!$G$11),""),IFERROR(IF($N17="LSI",INDEX($I$109:$I$132,MATCH($K17,$C$109:$C$132,0)),IF($N17="L",INDEX($G$109:$G$132,MATCH($K17,$C$109:$C$132,0)),IF($N17="R",INDEX($H$109:$H$132,MATCH($K17,$C$109:$C$132,0)),IF(Dashboard!$K$5="L",INDEX($G$109:$G$132,MATCH($K17,$C$109:$C$132,0)),IF(Dashboard!$K$5="R",INDEX($H$109:$H$132,MATCH($K17,$C$109:$C$132,0)),""))))),""))),"0%"),TEXT(IF(OR($K17="",$K17="Manual"),"",IF(LEFT($K17,4)="GPS:",IFERROR(CHOOSE(MATCH($K17,Lists!$G$3:$G$8,0),GPS!$G$6,GPS!$G$7,GPS!$G$8,GPS!$G$9,GPS!$G$10,GPS!$G$11),""),IFERROR(IF($N17="LSI",INDEX($I$109:$I$132,MATCH($K17,$C$109:$C$132,0)),IF($N17="L",INDEX($G$109:$G$132,MATCH($K17,$C$109:$C$132,0)),IF($N17="R",INDEX($H$109:$H$132,MATCH($K17,$C$109:$C$132,0)),IF(Dashboard!$K$5="L",INDEX($G$109:$G$132,MATCH($K17,$C$109:$C$132,0)),IF(Dashboard!$K$5="R",INDEX($H$109:$H$132,MATCH($K17,$C$109:$C$132,0)),""))))),""))),"0.0")))</f>
        <v/>
      </c>
      <c r="R17" s="68"/>
      <c r="S17" s="69" t="str">
        <f aca="false">IF(OR(IF(OR($K17="",$K17="Manual"),"",IF(LEFT($K17,4)="GPS:",IFERROR(CHOOSE(MATCH($K17,Lists!$G$3:$G$8,0),GPS!$G$6,GPS!$G$7,GPS!$G$8,GPS!$G$9,GPS!$G$10,GPS!$G$11),""),IFERROR(IF($N17="LSI",INDEX($I$109:$I$132,MATCH($K17,$C$109:$C$132,0)),IF($N17="L",INDEX($G$109:$G$132,MATCH($K17,$C$109:$C$132,0)),IF($N17="R",INDEX($H$109:$H$132,MATCH($K17,$C$109:$C$132,0)),IF(Dashboard!$K$5="L",INDEX($G$109:$G$132,MATCH($K17,$C$109:$C$132,0)),IF(Dashboard!$K$5="R",INDEX($H$109:$H$132,MATCH($K17,$C$109:$C$132,0)),""))))),"")))="",$P17=""),"",IF(IF($O17="≤",IF(OR($K17="",$K17="Manual"),"",IF(LEFT($K17,4)="GPS:",IFERROR(CHOOSE(MATCH($K17,Lists!$G$3:$G$8,0),GPS!$G$6,GPS!$G$7,GPS!$G$8,GPS!$G$9,GPS!$G$10,GPS!$G$11),""),IFERROR(IF($N17="LSI",INDEX($I$109:$I$132,MATCH($K17,$C$109:$C$132,0)),IF($N17="L",INDEX($G$109:$G$132,MATCH($K17,$C$109:$C$132,0)),IF($N17="R",INDEX($H$109:$H$132,MATCH($K17,$C$109:$C$132,0)),IF(Dashboard!$K$5="L",INDEX($G$109:$G$132,MATCH($K17,$C$109:$C$132,0)),IF(Dashboard!$K$5="R",INDEX($H$109:$H$132,MATCH($K17,$C$109:$C$132,0)),""))))),"")))&lt;=$P17,IF(OR($K17="",$K17="Manual"),"",IF(LEFT($K17,4)="GPS:",IFERROR(CHOOSE(MATCH($K17,Lists!$G$3:$G$8,0),GPS!$G$6,GPS!$G$7,GPS!$G$8,GPS!$G$9,GPS!$G$10,GPS!$G$11),""),IFERROR(IF($N17="LSI",INDEX($I$109:$I$132,MATCH($K17,$C$109:$C$132,0)),IF($N17="L",INDEX($G$109:$G$132,MATCH($K17,$C$109:$C$132,0)),IF($N17="R",INDEX($H$109:$H$132,MATCH($K17,$C$109:$C$132,0)),IF(Dashboard!$K$5="L",INDEX($G$109:$G$132,MATCH($K17,$C$109:$C$132,0)),IF(Dashboard!$K$5="R",INDEX($H$109:$H$132,MATCH($K17,$C$109:$C$132,0)),""))))),"")))&gt;=$P17),"MET","NOT MET"))</f>
        <v/>
      </c>
      <c r="T17" s="7"/>
      <c r="U17" s="68" t="str">
        <f aca="false">IF($T17&lt;&gt;"",$T17,IF($S17="MET","Y",IF($S17="NOT MET","N","")))</f>
        <v/>
      </c>
      <c r="V17" s="70" t="str">
        <f aca="false">IF($U17="Y",IFERROR(IF(LEFT($K17,4)="GPS:","",INDEX($J$109:$J$132,MATCH($K17,$C$109:$C$132,0))),""),"")</f>
        <v/>
      </c>
      <c r="W17" s="70"/>
      <c r="X17" s="58"/>
      <c r="Y17" s="58"/>
      <c r="Z17" s="58"/>
      <c r="AA17" s="58"/>
    </row>
    <row r="18" customFormat="false" ht="18" hidden="false" customHeight="true" outlineLevel="0" collapsed="false">
      <c r="A18" s="64" t="n">
        <v>13</v>
      </c>
      <c r="B18" s="65" t="s">
        <v>128</v>
      </c>
      <c r="C18" s="65"/>
      <c r="D18" s="58" t="s">
        <v>129</v>
      </c>
      <c r="E18" s="58"/>
      <c r="F18" s="58"/>
      <c r="G18" s="58"/>
      <c r="H18" s="58"/>
      <c r="I18" s="58"/>
      <c r="J18" s="58"/>
      <c r="K18" s="66" t="s">
        <v>130</v>
      </c>
      <c r="L18" s="66"/>
      <c r="M18" s="66"/>
      <c r="N18" s="67"/>
      <c r="O18" s="67" t="s">
        <v>108</v>
      </c>
      <c r="P18" s="67" t="n">
        <v>0.9</v>
      </c>
      <c r="Q18" s="68" t="str">
        <f aca="false">IF(IF(OR($K18="",$K18="Manual"),"",IF(LEFT($K18,4)="GPS:",IFERROR(CHOOSE(MATCH($K18,Lists!$G$3:$G$8,0),GPS!$G$6,GPS!$G$7,GPS!$G$8,GPS!$G$9,GPS!$G$10,GPS!$G$11),""),IFERROR(IF($N18="LSI",INDEX($I$109:$I$132,MATCH($K18,$C$109:$C$132,0)),IF($N18="L",INDEX($G$109:$G$132,MATCH($K18,$C$109:$C$132,0)),IF($N18="R",INDEX($H$109:$H$132,MATCH($K18,$C$109:$C$132,0)),IF(Dashboard!$K$5="L",INDEX($G$109:$G$132,MATCH($K18,$C$109:$C$132,0)),IF(Dashboard!$K$5="R",INDEX($H$109:$H$132,MATCH($K18,$C$109:$C$132,0)),""))))),"")))="","",IF(OR($N18="LSI",LEFT($K18,4)="GPS:"),TEXT(IF(OR($K18="",$K18="Manual"),"",IF(LEFT($K18,4)="GPS:",IFERROR(CHOOSE(MATCH($K18,Lists!$G$3:$G$8,0),GPS!$G$6,GPS!$G$7,GPS!$G$8,GPS!$G$9,GPS!$G$10,GPS!$G$11),""),IFERROR(IF($N18="LSI",INDEX($I$109:$I$132,MATCH($K18,$C$109:$C$132,0)),IF($N18="L",INDEX($G$109:$G$132,MATCH($K18,$C$109:$C$132,0)),IF($N18="R",INDEX($H$109:$H$132,MATCH($K18,$C$109:$C$132,0)),IF(Dashboard!$K$5="L",INDEX($G$109:$G$132,MATCH($K18,$C$109:$C$132,0)),IF(Dashboard!$K$5="R",INDEX($H$109:$H$132,MATCH($K18,$C$109:$C$132,0)),""))))),""))),"0%"),TEXT(IF(OR($K18="",$K18="Manual"),"",IF(LEFT($K18,4)="GPS:",IFERROR(CHOOSE(MATCH($K18,Lists!$G$3:$G$8,0),GPS!$G$6,GPS!$G$7,GPS!$G$8,GPS!$G$9,GPS!$G$10,GPS!$G$11),""),IFERROR(IF($N18="LSI",INDEX($I$109:$I$132,MATCH($K18,$C$109:$C$132,0)),IF($N18="L",INDEX($G$109:$G$132,MATCH($K18,$C$109:$C$132,0)),IF($N18="R",INDEX($H$109:$H$132,MATCH($K18,$C$109:$C$132,0)),IF(Dashboard!$K$5="L",INDEX($G$109:$G$132,MATCH($K18,$C$109:$C$132,0)),IF(Dashboard!$K$5="R",INDEX($H$109:$H$132,MATCH($K18,$C$109:$C$132,0)),""))))),""))),"0.0")))</f>
        <v>52%</v>
      </c>
      <c r="R18" s="68"/>
      <c r="S18" s="69" t="str">
        <f aca="false">IF(OR(IF(OR($K18="",$K18="Manual"),"",IF(LEFT($K18,4)="GPS:",IFERROR(CHOOSE(MATCH($K18,Lists!$G$3:$G$8,0),GPS!$G$6,GPS!$G$7,GPS!$G$8,GPS!$G$9,GPS!$G$10,GPS!$G$11),""),IFERROR(IF($N18="LSI",INDEX($I$109:$I$132,MATCH($K18,$C$109:$C$132,0)),IF($N18="L",INDEX($G$109:$G$132,MATCH($K18,$C$109:$C$132,0)),IF($N18="R",INDEX($H$109:$H$132,MATCH($K18,$C$109:$C$132,0)),IF(Dashboard!$K$5="L",INDEX($G$109:$G$132,MATCH($K18,$C$109:$C$132,0)),IF(Dashboard!$K$5="R",INDEX($H$109:$H$132,MATCH($K18,$C$109:$C$132,0)),""))))),"")))="",$P18=""),"",IF(IF($O18="≤",IF(OR($K18="",$K18="Manual"),"",IF(LEFT($K18,4)="GPS:",IFERROR(CHOOSE(MATCH($K18,Lists!$G$3:$G$8,0),GPS!$G$6,GPS!$G$7,GPS!$G$8,GPS!$G$9,GPS!$G$10,GPS!$G$11),""),IFERROR(IF($N18="LSI",INDEX($I$109:$I$132,MATCH($K18,$C$109:$C$132,0)),IF($N18="L",INDEX($G$109:$G$132,MATCH($K18,$C$109:$C$132,0)),IF($N18="R",INDEX($H$109:$H$132,MATCH($K18,$C$109:$C$132,0)),IF(Dashboard!$K$5="L",INDEX($G$109:$G$132,MATCH($K18,$C$109:$C$132,0)),IF(Dashboard!$K$5="R",INDEX($H$109:$H$132,MATCH($K18,$C$109:$C$132,0)),""))))),"")))&lt;=$P18,IF(OR($K18="",$K18="Manual"),"",IF(LEFT($K18,4)="GPS:",IFERROR(CHOOSE(MATCH($K18,Lists!$G$3:$G$8,0),GPS!$G$6,GPS!$G$7,GPS!$G$8,GPS!$G$9,GPS!$G$10,GPS!$G$11),""),IFERROR(IF($N18="LSI",INDEX($I$109:$I$132,MATCH($K18,$C$109:$C$132,0)),IF($N18="L",INDEX($G$109:$G$132,MATCH($K18,$C$109:$C$132,0)),IF($N18="R",INDEX($H$109:$H$132,MATCH($K18,$C$109:$C$132,0)),IF(Dashboard!$K$5="L",INDEX($G$109:$G$132,MATCH($K18,$C$109:$C$132,0)),IF(Dashboard!$K$5="R",INDEX($H$109:$H$132,MATCH($K18,$C$109:$C$132,0)),""))))),"")))&gt;=$P18),"MET","NOT MET"))</f>
        <v>NOT MET</v>
      </c>
      <c r="T18" s="7"/>
      <c r="U18" s="68" t="str">
        <f aca="false">IF($T18&lt;&gt;"",$T18,IF($S18="MET","Y",IF($S18="NOT MET","N","")))</f>
        <v>N</v>
      </c>
      <c r="V18" s="70" t="str">
        <f aca="false">IF($U18="Y",IFERROR(IF(LEFT($K18,4)="GPS:","",INDEX($J$109:$J$132,MATCH($K18,$C$109:$C$132,0))),""),"")</f>
        <v/>
      </c>
      <c r="W18" s="70"/>
      <c r="X18" s="58"/>
      <c r="Y18" s="58"/>
      <c r="Z18" s="58"/>
      <c r="AA18" s="58"/>
    </row>
    <row r="19" customFormat="false" ht="18" hidden="false" customHeight="true" outlineLevel="0" collapsed="false">
      <c r="A19" s="64" t="n">
        <v>14</v>
      </c>
      <c r="B19" s="65"/>
      <c r="C19" s="65"/>
      <c r="D19" s="58" t="s">
        <v>272</v>
      </c>
      <c r="E19" s="58"/>
      <c r="F19" s="58"/>
      <c r="G19" s="58"/>
      <c r="H19" s="58"/>
      <c r="I19" s="58"/>
      <c r="J19" s="58"/>
      <c r="K19" s="66" t="s">
        <v>107</v>
      </c>
      <c r="L19" s="66"/>
      <c r="M19" s="66"/>
      <c r="N19" s="67"/>
      <c r="O19" s="67" t="s">
        <v>108</v>
      </c>
      <c r="P19" s="67"/>
      <c r="Q19" s="68" t="str">
        <f aca="false">IF(IF(OR($K19="",$K19="Manual"),"",IF(LEFT($K19,4)="GPS:",IFERROR(CHOOSE(MATCH($K19,Lists!$G$3:$G$8,0),GPS!$G$6,GPS!$G$7,GPS!$G$8,GPS!$G$9,GPS!$G$10,GPS!$G$11),""),IFERROR(IF($N19="LSI",INDEX($I$109:$I$132,MATCH($K19,$C$109:$C$132,0)),IF($N19="L",INDEX($G$109:$G$132,MATCH($K19,$C$109:$C$132,0)),IF($N19="R",INDEX($H$109:$H$132,MATCH($K19,$C$109:$C$132,0)),IF(Dashboard!$K$5="L",INDEX($G$109:$G$132,MATCH($K19,$C$109:$C$132,0)),IF(Dashboard!$K$5="R",INDEX($H$109:$H$132,MATCH($K19,$C$109:$C$132,0)),""))))),"")))="","",IF(OR($N19="LSI",LEFT($K19,4)="GPS:"),TEXT(IF(OR($K19="",$K19="Manual"),"",IF(LEFT($K19,4)="GPS:",IFERROR(CHOOSE(MATCH($K19,Lists!$G$3:$G$8,0),GPS!$G$6,GPS!$G$7,GPS!$G$8,GPS!$G$9,GPS!$G$10,GPS!$G$11),""),IFERROR(IF($N19="LSI",INDEX($I$109:$I$132,MATCH($K19,$C$109:$C$132,0)),IF($N19="L",INDEX($G$109:$G$132,MATCH($K19,$C$109:$C$132,0)),IF($N19="R",INDEX($H$109:$H$132,MATCH($K19,$C$109:$C$132,0)),IF(Dashboard!$K$5="L",INDEX($G$109:$G$132,MATCH($K19,$C$109:$C$132,0)),IF(Dashboard!$K$5="R",INDEX($H$109:$H$132,MATCH($K19,$C$109:$C$132,0)),""))))),""))),"0%"),TEXT(IF(OR($K19="",$K19="Manual"),"",IF(LEFT($K19,4)="GPS:",IFERROR(CHOOSE(MATCH($K19,Lists!$G$3:$G$8,0),GPS!$G$6,GPS!$G$7,GPS!$G$8,GPS!$G$9,GPS!$G$10,GPS!$G$11),""),IFERROR(IF($N19="LSI",INDEX($I$109:$I$132,MATCH($K19,$C$109:$C$132,0)),IF($N19="L",INDEX($G$109:$G$132,MATCH($K19,$C$109:$C$132,0)),IF($N19="R",INDEX($H$109:$H$132,MATCH($K19,$C$109:$C$132,0)),IF(Dashboard!$K$5="L",INDEX($G$109:$G$132,MATCH($K19,$C$109:$C$132,0)),IF(Dashboard!$K$5="R",INDEX($H$109:$H$132,MATCH($K19,$C$109:$C$132,0)),""))))),""))),"0.0")))</f>
        <v/>
      </c>
      <c r="R19" s="68"/>
      <c r="S19" s="69" t="str">
        <f aca="false">IF(OR(IF(OR($K19="",$K19="Manual"),"",IF(LEFT($K19,4)="GPS:",IFERROR(CHOOSE(MATCH($K19,Lists!$G$3:$G$8,0),GPS!$G$6,GPS!$G$7,GPS!$G$8,GPS!$G$9,GPS!$G$10,GPS!$G$11),""),IFERROR(IF($N19="LSI",INDEX($I$109:$I$132,MATCH($K19,$C$109:$C$132,0)),IF($N19="L",INDEX($G$109:$G$132,MATCH($K19,$C$109:$C$132,0)),IF($N19="R",INDEX($H$109:$H$132,MATCH($K19,$C$109:$C$132,0)),IF(Dashboard!$K$5="L",INDEX($G$109:$G$132,MATCH($K19,$C$109:$C$132,0)),IF(Dashboard!$K$5="R",INDEX($H$109:$H$132,MATCH($K19,$C$109:$C$132,0)),""))))),"")))="",$P19=""),"",IF(IF($O19="≤",IF(OR($K19="",$K19="Manual"),"",IF(LEFT($K19,4)="GPS:",IFERROR(CHOOSE(MATCH($K19,Lists!$G$3:$G$8,0),GPS!$G$6,GPS!$G$7,GPS!$G$8,GPS!$G$9,GPS!$G$10,GPS!$G$11),""),IFERROR(IF($N19="LSI",INDEX($I$109:$I$132,MATCH($K19,$C$109:$C$132,0)),IF($N19="L",INDEX($G$109:$G$132,MATCH($K19,$C$109:$C$132,0)),IF($N19="R",INDEX($H$109:$H$132,MATCH($K19,$C$109:$C$132,0)),IF(Dashboard!$K$5="L",INDEX($G$109:$G$132,MATCH($K19,$C$109:$C$132,0)),IF(Dashboard!$K$5="R",INDEX($H$109:$H$132,MATCH($K19,$C$109:$C$132,0)),""))))),"")))&lt;=$P19,IF(OR($K19="",$K19="Manual"),"",IF(LEFT($K19,4)="GPS:",IFERROR(CHOOSE(MATCH($K19,Lists!$G$3:$G$8,0),GPS!$G$6,GPS!$G$7,GPS!$G$8,GPS!$G$9,GPS!$G$10,GPS!$G$11),""),IFERROR(IF($N19="LSI",INDEX($I$109:$I$132,MATCH($K19,$C$109:$C$132,0)),IF($N19="L",INDEX($G$109:$G$132,MATCH($K19,$C$109:$C$132,0)),IF($N19="R",INDEX($H$109:$H$132,MATCH($K19,$C$109:$C$132,0)),IF(Dashboard!$K$5="L",INDEX($G$109:$G$132,MATCH($K19,$C$109:$C$132,0)),IF(Dashboard!$K$5="R",INDEX($H$109:$H$132,MATCH($K19,$C$109:$C$132,0)),""))))),"")))&gt;=$P19),"MET","NOT MET"))</f>
        <v/>
      </c>
      <c r="T19" s="7"/>
      <c r="U19" s="68" t="str">
        <f aca="false">IF($T19&lt;&gt;"",$T19,IF($S19="MET","Y",IF($S19="NOT MET","N","")))</f>
        <v/>
      </c>
      <c r="V19" s="70" t="str">
        <f aca="false">IF($U19="Y",IFERROR(IF(LEFT($K19,4)="GPS:","",INDEX($J$109:$J$132,MATCH($K19,$C$109:$C$132,0))),""),"")</f>
        <v/>
      </c>
      <c r="W19" s="70"/>
      <c r="X19" s="58"/>
      <c r="Y19" s="58"/>
      <c r="Z19" s="58"/>
      <c r="AA19" s="58"/>
    </row>
    <row r="20" customFormat="false" ht="18" hidden="false" customHeight="true" outlineLevel="0" collapsed="false">
      <c r="A20" s="64" t="n">
        <v>15</v>
      </c>
      <c r="B20" s="65"/>
      <c r="C20" s="65"/>
      <c r="D20" s="58"/>
      <c r="E20" s="58"/>
      <c r="F20" s="58"/>
      <c r="G20" s="58"/>
      <c r="H20" s="58"/>
      <c r="I20" s="58"/>
      <c r="J20" s="58"/>
      <c r="K20" s="66"/>
      <c r="L20" s="66"/>
      <c r="M20" s="66"/>
      <c r="N20" s="67"/>
      <c r="O20" s="67" t="s">
        <v>108</v>
      </c>
      <c r="P20" s="67"/>
      <c r="Q20" s="68" t="str">
        <f aca="false">IF(IF(OR($K20="",$K20="Manual"),"",IF(LEFT($K20,4)="GPS:",IFERROR(CHOOSE(MATCH($K20,Lists!$G$3:$G$8,0),GPS!$G$6,GPS!$G$7,GPS!$G$8,GPS!$G$9,GPS!$G$10,GPS!$G$11),""),IFERROR(IF($N20="LSI",INDEX($I$109:$I$132,MATCH($K20,$C$109:$C$132,0)),IF($N20="L",INDEX($G$109:$G$132,MATCH($K20,$C$109:$C$132,0)),IF($N20="R",INDEX($H$109:$H$132,MATCH($K20,$C$109:$C$132,0)),IF(Dashboard!$K$5="L",INDEX($G$109:$G$132,MATCH($K20,$C$109:$C$132,0)),IF(Dashboard!$K$5="R",INDEX($H$109:$H$132,MATCH($K20,$C$109:$C$132,0)),""))))),"")))="","",IF(OR($N20="LSI",LEFT($K20,4)="GPS:"),TEXT(IF(OR($K20="",$K20="Manual"),"",IF(LEFT($K20,4)="GPS:",IFERROR(CHOOSE(MATCH($K20,Lists!$G$3:$G$8,0),GPS!$G$6,GPS!$G$7,GPS!$G$8,GPS!$G$9,GPS!$G$10,GPS!$G$11),""),IFERROR(IF($N20="LSI",INDEX($I$109:$I$132,MATCH($K20,$C$109:$C$132,0)),IF($N20="L",INDEX($G$109:$G$132,MATCH($K20,$C$109:$C$132,0)),IF($N20="R",INDEX($H$109:$H$132,MATCH($K20,$C$109:$C$132,0)),IF(Dashboard!$K$5="L",INDEX($G$109:$G$132,MATCH($K20,$C$109:$C$132,0)),IF(Dashboard!$K$5="R",INDEX($H$109:$H$132,MATCH($K20,$C$109:$C$132,0)),""))))),""))),"0%"),TEXT(IF(OR($K20="",$K20="Manual"),"",IF(LEFT($K20,4)="GPS:",IFERROR(CHOOSE(MATCH($K20,Lists!$G$3:$G$8,0),GPS!$G$6,GPS!$G$7,GPS!$G$8,GPS!$G$9,GPS!$G$10,GPS!$G$11),""),IFERROR(IF($N20="LSI",INDEX($I$109:$I$132,MATCH($K20,$C$109:$C$132,0)),IF($N20="L",INDEX($G$109:$G$132,MATCH($K20,$C$109:$C$132,0)),IF($N20="R",INDEX($H$109:$H$132,MATCH($K20,$C$109:$C$132,0)),IF(Dashboard!$K$5="L",INDEX($G$109:$G$132,MATCH($K20,$C$109:$C$132,0)),IF(Dashboard!$K$5="R",INDEX($H$109:$H$132,MATCH($K20,$C$109:$C$132,0)),""))))),""))),"0.0")))</f>
        <v/>
      </c>
      <c r="R20" s="68"/>
      <c r="S20" s="69" t="str">
        <f aca="false">IF(OR(IF(OR($K20="",$K20="Manual"),"",IF(LEFT($K20,4)="GPS:",IFERROR(CHOOSE(MATCH($K20,Lists!$G$3:$G$8,0),GPS!$G$6,GPS!$G$7,GPS!$G$8,GPS!$G$9,GPS!$G$10,GPS!$G$11),""),IFERROR(IF($N20="LSI",INDEX($I$109:$I$132,MATCH($K20,$C$109:$C$132,0)),IF($N20="L",INDEX($G$109:$G$132,MATCH($K20,$C$109:$C$132,0)),IF($N20="R",INDEX($H$109:$H$132,MATCH($K20,$C$109:$C$132,0)),IF(Dashboard!$K$5="L",INDEX($G$109:$G$132,MATCH($K20,$C$109:$C$132,0)),IF(Dashboard!$K$5="R",INDEX($H$109:$H$132,MATCH($K20,$C$109:$C$132,0)),""))))),"")))="",$P20=""),"",IF(IF($O20="≤",IF(OR($K20="",$K20="Manual"),"",IF(LEFT($K20,4)="GPS:",IFERROR(CHOOSE(MATCH($K20,Lists!$G$3:$G$8,0),GPS!$G$6,GPS!$G$7,GPS!$G$8,GPS!$G$9,GPS!$G$10,GPS!$G$11),""),IFERROR(IF($N20="LSI",INDEX($I$109:$I$132,MATCH($K20,$C$109:$C$132,0)),IF($N20="L",INDEX($G$109:$G$132,MATCH($K20,$C$109:$C$132,0)),IF($N20="R",INDEX($H$109:$H$132,MATCH($K20,$C$109:$C$132,0)),IF(Dashboard!$K$5="L",INDEX($G$109:$G$132,MATCH($K20,$C$109:$C$132,0)),IF(Dashboard!$K$5="R",INDEX($H$109:$H$132,MATCH($K20,$C$109:$C$132,0)),""))))),"")))&lt;=$P20,IF(OR($K20="",$K20="Manual"),"",IF(LEFT($K20,4)="GPS:",IFERROR(CHOOSE(MATCH($K20,Lists!$G$3:$G$8,0),GPS!$G$6,GPS!$G$7,GPS!$G$8,GPS!$G$9,GPS!$G$10,GPS!$G$11),""),IFERROR(IF($N20="LSI",INDEX($I$109:$I$132,MATCH($K20,$C$109:$C$132,0)),IF($N20="L",INDEX($G$109:$G$132,MATCH($K20,$C$109:$C$132,0)),IF($N20="R",INDEX($H$109:$H$132,MATCH($K20,$C$109:$C$132,0)),IF(Dashboard!$K$5="L",INDEX($G$109:$G$132,MATCH($K20,$C$109:$C$132,0)),IF(Dashboard!$K$5="R",INDEX($H$109:$H$132,MATCH($K20,$C$109:$C$132,0)),""))))),"")))&gt;=$P20),"MET","NOT MET"))</f>
        <v/>
      </c>
      <c r="T20" s="7"/>
      <c r="U20" s="68" t="str">
        <f aca="false">IF($T20&lt;&gt;"",$T20,IF($S20="MET","Y",IF($S20="NOT MET","N","")))</f>
        <v/>
      </c>
      <c r="V20" s="70" t="str">
        <f aca="false">IF($U20="Y",IFERROR(IF(LEFT($K20,4)="GPS:","",INDEX($J$109:$J$132,MATCH($K20,$C$109:$C$132,0))),""),"")</f>
        <v/>
      </c>
      <c r="W20" s="70"/>
      <c r="X20" s="58"/>
      <c r="Y20" s="58"/>
      <c r="Z20" s="58"/>
      <c r="AA20" s="58"/>
    </row>
    <row r="21" customFormat="false" ht="18" hidden="false" customHeight="true" outlineLevel="0" collapsed="false">
      <c r="A21" s="64" t="n">
        <v>16</v>
      </c>
      <c r="B21" s="65" t="s">
        <v>134</v>
      </c>
      <c r="C21" s="65"/>
      <c r="D21" s="58" t="s">
        <v>211</v>
      </c>
      <c r="E21" s="58"/>
      <c r="F21" s="58"/>
      <c r="G21" s="58"/>
      <c r="H21" s="58"/>
      <c r="I21" s="58"/>
      <c r="J21" s="58"/>
      <c r="K21" s="66" t="s">
        <v>107</v>
      </c>
      <c r="L21" s="66"/>
      <c r="M21" s="66"/>
      <c r="N21" s="67"/>
      <c r="O21" s="67" t="s">
        <v>108</v>
      </c>
      <c r="P21" s="67"/>
      <c r="Q21" s="68" t="str">
        <f aca="false">IF(IF(OR($K21="",$K21="Manual"),"",IF(LEFT($K21,4)="GPS:",IFERROR(CHOOSE(MATCH($K21,Lists!$G$3:$G$8,0),GPS!$G$6,GPS!$G$7,GPS!$G$8,GPS!$G$9,GPS!$G$10,GPS!$G$11),""),IFERROR(IF($N21="LSI",INDEX($I$109:$I$132,MATCH($K21,$C$109:$C$132,0)),IF($N21="L",INDEX($G$109:$G$132,MATCH($K21,$C$109:$C$132,0)),IF($N21="R",INDEX($H$109:$H$132,MATCH($K21,$C$109:$C$132,0)),IF(Dashboard!$K$5="L",INDEX($G$109:$G$132,MATCH($K21,$C$109:$C$132,0)),IF(Dashboard!$K$5="R",INDEX($H$109:$H$132,MATCH($K21,$C$109:$C$132,0)),""))))),"")))="","",IF(OR($N21="LSI",LEFT($K21,4)="GPS:"),TEXT(IF(OR($K21="",$K21="Manual"),"",IF(LEFT($K21,4)="GPS:",IFERROR(CHOOSE(MATCH($K21,Lists!$G$3:$G$8,0),GPS!$G$6,GPS!$G$7,GPS!$G$8,GPS!$G$9,GPS!$G$10,GPS!$G$11),""),IFERROR(IF($N21="LSI",INDEX($I$109:$I$132,MATCH($K21,$C$109:$C$132,0)),IF($N21="L",INDEX($G$109:$G$132,MATCH($K21,$C$109:$C$132,0)),IF($N21="R",INDEX($H$109:$H$132,MATCH($K21,$C$109:$C$132,0)),IF(Dashboard!$K$5="L",INDEX($G$109:$G$132,MATCH($K21,$C$109:$C$132,0)),IF(Dashboard!$K$5="R",INDEX($H$109:$H$132,MATCH($K21,$C$109:$C$132,0)),""))))),""))),"0%"),TEXT(IF(OR($K21="",$K21="Manual"),"",IF(LEFT($K21,4)="GPS:",IFERROR(CHOOSE(MATCH($K21,Lists!$G$3:$G$8,0),GPS!$G$6,GPS!$G$7,GPS!$G$8,GPS!$G$9,GPS!$G$10,GPS!$G$11),""),IFERROR(IF($N21="LSI",INDEX($I$109:$I$132,MATCH($K21,$C$109:$C$132,0)),IF($N21="L",INDEX($G$109:$G$132,MATCH($K21,$C$109:$C$132,0)),IF($N21="R",INDEX($H$109:$H$132,MATCH($K21,$C$109:$C$132,0)),IF(Dashboard!$K$5="L",INDEX($G$109:$G$132,MATCH($K21,$C$109:$C$132,0)),IF(Dashboard!$K$5="R",INDEX($H$109:$H$132,MATCH($K21,$C$109:$C$132,0)),""))))),""))),"0.0")))</f>
        <v/>
      </c>
      <c r="R21" s="68"/>
      <c r="S21" s="69" t="str">
        <f aca="false">IF(OR(IF(OR($K21="",$K21="Manual"),"",IF(LEFT($K21,4)="GPS:",IFERROR(CHOOSE(MATCH($K21,Lists!$G$3:$G$8,0),GPS!$G$6,GPS!$G$7,GPS!$G$8,GPS!$G$9,GPS!$G$10,GPS!$G$11),""),IFERROR(IF($N21="LSI",INDEX($I$109:$I$132,MATCH($K21,$C$109:$C$132,0)),IF($N21="L",INDEX($G$109:$G$132,MATCH($K21,$C$109:$C$132,0)),IF($N21="R",INDEX($H$109:$H$132,MATCH($K21,$C$109:$C$132,0)),IF(Dashboard!$K$5="L",INDEX($G$109:$G$132,MATCH($K21,$C$109:$C$132,0)),IF(Dashboard!$K$5="R",INDEX($H$109:$H$132,MATCH($K21,$C$109:$C$132,0)),""))))),"")))="",$P21=""),"",IF(IF($O21="≤",IF(OR($K21="",$K21="Manual"),"",IF(LEFT($K21,4)="GPS:",IFERROR(CHOOSE(MATCH($K21,Lists!$G$3:$G$8,0),GPS!$G$6,GPS!$G$7,GPS!$G$8,GPS!$G$9,GPS!$G$10,GPS!$G$11),""),IFERROR(IF($N21="LSI",INDEX($I$109:$I$132,MATCH($K21,$C$109:$C$132,0)),IF($N21="L",INDEX($G$109:$G$132,MATCH($K21,$C$109:$C$132,0)),IF($N21="R",INDEX($H$109:$H$132,MATCH($K21,$C$109:$C$132,0)),IF(Dashboard!$K$5="L",INDEX($G$109:$G$132,MATCH($K21,$C$109:$C$132,0)),IF(Dashboard!$K$5="R",INDEX($H$109:$H$132,MATCH($K21,$C$109:$C$132,0)),""))))),"")))&lt;=$P21,IF(OR($K21="",$K21="Manual"),"",IF(LEFT($K21,4)="GPS:",IFERROR(CHOOSE(MATCH($K21,Lists!$G$3:$G$8,0),GPS!$G$6,GPS!$G$7,GPS!$G$8,GPS!$G$9,GPS!$G$10,GPS!$G$11),""),IFERROR(IF($N21="LSI",INDEX($I$109:$I$132,MATCH($K21,$C$109:$C$132,0)),IF($N21="L",INDEX($G$109:$G$132,MATCH($K21,$C$109:$C$132,0)),IF($N21="R",INDEX($H$109:$H$132,MATCH($K21,$C$109:$C$132,0)),IF(Dashboard!$K$5="L",INDEX($G$109:$G$132,MATCH($K21,$C$109:$C$132,0)),IF(Dashboard!$K$5="R",INDEX($H$109:$H$132,MATCH($K21,$C$109:$C$132,0)),""))))),"")))&gt;=$P21),"MET","NOT MET"))</f>
        <v/>
      </c>
      <c r="T21" s="7"/>
      <c r="U21" s="68" t="str">
        <f aca="false">IF($T21&lt;&gt;"",$T21,IF($S21="MET","Y",IF($S21="NOT MET","N","")))</f>
        <v/>
      </c>
      <c r="V21" s="70" t="str">
        <f aca="false">IF($U21="Y",IFERROR(IF(LEFT($K21,4)="GPS:","",INDEX($J$109:$J$132,MATCH($K21,$C$109:$C$132,0))),""),"")</f>
        <v/>
      </c>
      <c r="W21" s="70"/>
      <c r="X21" s="58"/>
      <c r="Y21" s="58"/>
      <c r="Z21" s="58"/>
      <c r="AA21" s="58"/>
    </row>
    <row r="22" customFormat="false" ht="18" hidden="false" customHeight="true" outlineLevel="0" collapsed="false">
      <c r="A22" s="64" t="n">
        <v>17</v>
      </c>
      <c r="B22" s="65"/>
      <c r="C22" s="65"/>
      <c r="D22" s="58" t="s">
        <v>138</v>
      </c>
      <c r="E22" s="58"/>
      <c r="F22" s="58"/>
      <c r="G22" s="58"/>
      <c r="H22" s="58"/>
      <c r="I22" s="58"/>
      <c r="J22" s="58"/>
      <c r="K22" s="66" t="s">
        <v>107</v>
      </c>
      <c r="L22" s="66"/>
      <c r="M22" s="66"/>
      <c r="N22" s="67"/>
      <c r="O22" s="67" t="s">
        <v>108</v>
      </c>
      <c r="P22" s="67"/>
      <c r="Q22" s="68" t="str">
        <f aca="false">IF(IF(OR($K22="",$K22="Manual"),"",IF(LEFT($K22,4)="GPS:",IFERROR(CHOOSE(MATCH($K22,Lists!$G$3:$G$8,0),GPS!$G$6,GPS!$G$7,GPS!$G$8,GPS!$G$9,GPS!$G$10,GPS!$G$11),""),IFERROR(IF($N22="LSI",INDEX($I$109:$I$132,MATCH($K22,$C$109:$C$132,0)),IF($N22="L",INDEX($G$109:$G$132,MATCH($K22,$C$109:$C$132,0)),IF($N22="R",INDEX($H$109:$H$132,MATCH($K22,$C$109:$C$132,0)),IF(Dashboard!$K$5="L",INDEX($G$109:$G$132,MATCH($K22,$C$109:$C$132,0)),IF(Dashboard!$K$5="R",INDEX($H$109:$H$132,MATCH($K22,$C$109:$C$132,0)),""))))),"")))="","",IF(OR($N22="LSI",LEFT($K22,4)="GPS:"),TEXT(IF(OR($K22="",$K22="Manual"),"",IF(LEFT($K22,4)="GPS:",IFERROR(CHOOSE(MATCH($K22,Lists!$G$3:$G$8,0),GPS!$G$6,GPS!$G$7,GPS!$G$8,GPS!$G$9,GPS!$G$10,GPS!$G$11),""),IFERROR(IF($N22="LSI",INDEX($I$109:$I$132,MATCH($K22,$C$109:$C$132,0)),IF($N22="L",INDEX($G$109:$G$132,MATCH($K22,$C$109:$C$132,0)),IF($N22="R",INDEX($H$109:$H$132,MATCH($K22,$C$109:$C$132,0)),IF(Dashboard!$K$5="L",INDEX($G$109:$G$132,MATCH($K22,$C$109:$C$132,0)),IF(Dashboard!$K$5="R",INDEX($H$109:$H$132,MATCH($K22,$C$109:$C$132,0)),""))))),""))),"0%"),TEXT(IF(OR($K22="",$K22="Manual"),"",IF(LEFT($K22,4)="GPS:",IFERROR(CHOOSE(MATCH($K22,Lists!$G$3:$G$8,0),GPS!$G$6,GPS!$G$7,GPS!$G$8,GPS!$G$9,GPS!$G$10,GPS!$G$11),""),IFERROR(IF($N22="LSI",INDEX($I$109:$I$132,MATCH($K22,$C$109:$C$132,0)),IF($N22="L",INDEX($G$109:$G$132,MATCH($K22,$C$109:$C$132,0)),IF($N22="R",INDEX($H$109:$H$132,MATCH($K22,$C$109:$C$132,0)),IF(Dashboard!$K$5="L",INDEX($G$109:$G$132,MATCH($K22,$C$109:$C$132,0)),IF(Dashboard!$K$5="R",INDEX($H$109:$H$132,MATCH($K22,$C$109:$C$132,0)),""))))),""))),"0.0")))</f>
        <v/>
      </c>
      <c r="R22" s="68"/>
      <c r="S22" s="69" t="str">
        <f aca="false">IF(OR(IF(OR($K22="",$K22="Manual"),"",IF(LEFT($K22,4)="GPS:",IFERROR(CHOOSE(MATCH($K22,Lists!$G$3:$G$8,0),GPS!$G$6,GPS!$G$7,GPS!$G$8,GPS!$G$9,GPS!$G$10,GPS!$G$11),""),IFERROR(IF($N22="LSI",INDEX($I$109:$I$132,MATCH($K22,$C$109:$C$132,0)),IF($N22="L",INDEX($G$109:$G$132,MATCH($K22,$C$109:$C$132,0)),IF($N22="R",INDEX($H$109:$H$132,MATCH($K22,$C$109:$C$132,0)),IF(Dashboard!$K$5="L",INDEX($G$109:$G$132,MATCH($K22,$C$109:$C$132,0)),IF(Dashboard!$K$5="R",INDEX($H$109:$H$132,MATCH($K22,$C$109:$C$132,0)),""))))),"")))="",$P22=""),"",IF(IF($O22="≤",IF(OR($K22="",$K22="Manual"),"",IF(LEFT($K22,4)="GPS:",IFERROR(CHOOSE(MATCH($K22,Lists!$G$3:$G$8,0),GPS!$G$6,GPS!$G$7,GPS!$G$8,GPS!$G$9,GPS!$G$10,GPS!$G$11),""),IFERROR(IF($N22="LSI",INDEX($I$109:$I$132,MATCH($K22,$C$109:$C$132,0)),IF($N22="L",INDEX($G$109:$G$132,MATCH($K22,$C$109:$C$132,0)),IF($N22="R",INDEX($H$109:$H$132,MATCH($K22,$C$109:$C$132,0)),IF(Dashboard!$K$5="L",INDEX($G$109:$G$132,MATCH($K22,$C$109:$C$132,0)),IF(Dashboard!$K$5="R",INDEX($H$109:$H$132,MATCH($K22,$C$109:$C$132,0)),""))))),"")))&lt;=$P22,IF(OR($K22="",$K22="Manual"),"",IF(LEFT($K22,4)="GPS:",IFERROR(CHOOSE(MATCH($K22,Lists!$G$3:$G$8,0),GPS!$G$6,GPS!$G$7,GPS!$G$8,GPS!$G$9,GPS!$G$10,GPS!$G$11),""),IFERROR(IF($N22="LSI",INDEX($I$109:$I$132,MATCH($K22,$C$109:$C$132,0)),IF($N22="L",INDEX($G$109:$G$132,MATCH($K22,$C$109:$C$132,0)),IF($N22="R",INDEX($H$109:$H$132,MATCH($K22,$C$109:$C$132,0)),IF(Dashboard!$K$5="L",INDEX($G$109:$G$132,MATCH($K22,$C$109:$C$132,0)),IF(Dashboard!$K$5="R",INDEX($H$109:$H$132,MATCH($K22,$C$109:$C$132,0)),""))))),"")))&gt;=$P22),"MET","NOT MET"))</f>
        <v/>
      </c>
      <c r="T22" s="7"/>
      <c r="U22" s="68" t="str">
        <f aca="false">IF($T22&lt;&gt;"",$T22,IF($S22="MET","Y",IF($S22="NOT MET","N","")))</f>
        <v/>
      </c>
      <c r="V22" s="70" t="str">
        <f aca="false">IF($U22="Y",IFERROR(IF(LEFT($K22,4)="GPS:","",INDEX($J$109:$J$132,MATCH($K22,$C$109:$C$132,0))),""),"")</f>
        <v/>
      </c>
      <c r="W22" s="70"/>
      <c r="X22" s="58"/>
      <c r="Y22" s="58"/>
      <c r="Z22" s="58"/>
      <c r="AA22" s="58"/>
    </row>
    <row r="23" customFormat="false" ht="18" hidden="false" customHeight="true" outlineLevel="0" collapsed="false">
      <c r="A23" s="64" t="n">
        <v>18</v>
      </c>
      <c r="B23" s="65"/>
      <c r="C23" s="65"/>
      <c r="D23" s="58"/>
      <c r="E23" s="58"/>
      <c r="F23" s="58"/>
      <c r="G23" s="58"/>
      <c r="H23" s="58"/>
      <c r="I23" s="58"/>
      <c r="J23" s="58"/>
      <c r="K23" s="66"/>
      <c r="L23" s="66"/>
      <c r="M23" s="66"/>
      <c r="N23" s="67"/>
      <c r="O23" s="67" t="s">
        <v>108</v>
      </c>
      <c r="P23" s="67"/>
      <c r="Q23" s="68" t="str">
        <f aca="false">IF(IF(OR($K23="",$K23="Manual"),"",IF(LEFT($K23,4)="GPS:",IFERROR(CHOOSE(MATCH($K23,Lists!$G$3:$G$8,0),GPS!$G$6,GPS!$G$7,GPS!$G$8,GPS!$G$9,GPS!$G$10,GPS!$G$11),""),IFERROR(IF($N23="LSI",INDEX($I$109:$I$132,MATCH($K23,$C$109:$C$132,0)),IF($N23="L",INDEX($G$109:$G$132,MATCH($K23,$C$109:$C$132,0)),IF($N23="R",INDEX($H$109:$H$132,MATCH($K23,$C$109:$C$132,0)),IF(Dashboard!$K$5="L",INDEX($G$109:$G$132,MATCH($K23,$C$109:$C$132,0)),IF(Dashboard!$K$5="R",INDEX($H$109:$H$132,MATCH($K23,$C$109:$C$132,0)),""))))),"")))="","",IF(OR($N23="LSI",LEFT($K23,4)="GPS:"),TEXT(IF(OR($K23="",$K23="Manual"),"",IF(LEFT($K23,4)="GPS:",IFERROR(CHOOSE(MATCH($K23,Lists!$G$3:$G$8,0),GPS!$G$6,GPS!$G$7,GPS!$G$8,GPS!$G$9,GPS!$G$10,GPS!$G$11),""),IFERROR(IF($N23="LSI",INDEX($I$109:$I$132,MATCH($K23,$C$109:$C$132,0)),IF($N23="L",INDEX($G$109:$G$132,MATCH($K23,$C$109:$C$132,0)),IF($N23="R",INDEX($H$109:$H$132,MATCH($K23,$C$109:$C$132,0)),IF(Dashboard!$K$5="L",INDEX($G$109:$G$132,MATCH($K23,$C$109:$C$132,0)),IF(Dashboard!$K$5="R",INDEX($H$109:$H$132,MATCH($K23,$C$109:$C$132,0)),""))))),""))),"0%"),TEXT(IF(OR($K23="",$K23="Manual"),"",IF(LEFT($K23,4)="GPS:",IFERROR(CHOOSE(MATCH($K23,Lists!$G$3:$G$8,0),GPS!$G$6,GPS!$G$7,GPS!$G$8,GPS!$G$9,GPS!$G$10,GPS!$G$11),""),IFERROR(IF($N23="LSI",INDEX($I$109:$I$132,MATCH($K23,$C$109:$C$132,0)),IF($N23="L",INDEX($G$109:$G$132,MATCH($K23,$C$109:$C$132,0)),IF($N23="R",INDEX($H$109:$H$132,MATCH($K23,$C$109:$C$132,0)),IF(Dashboard!$K$5="L",INDEX($G$109:$G$132,MATCH($K23,$C$109:$C$132,0)),IF(Dashboard!$K$5="R",INDEX($H$109:$H$132,MATCH($K23,$C$109:$C$132,0)),""))))),""))),"0.0")))</f>
        <v/>
      </c>
      <c r="R23" s="68"/>
      <c r="S23" s="69" t="str">
        <f aca="false">IF(OR(IF(OR($K23="",$K23="Manual"),"",IF(LEFT($K23,4)="GPS:",IFERROR(CHOOSE(MATCH($K23,Lists!$G$3:$G$8,0),GPS!$G$6,GPS!$G$7,GPS!$G$8,GPS!$G$9,GPS!$G$10,GPS!$G$11),""),IFERROR(IF($N23="LSI",INDEX($I$109:$I$132,MATCH($K23,$C$109:$C$132,0)),IF($N23="L",INDEX($G$109:$G$132,MATCH($K23,$C$109:$C$132,0)),IF($N23="R",INDEX($H$109:$H$132,MATCH($K23,$C$109:$C$132,0)),IF(Dashboard!$K$5="L",INDEX($G$109:$G$132,MATCH($K23,$C$109:$C$132,0)),IF(Dashboard!$K$5="R",INDEX($H$109:$H$132,MATCH($K23,$C$109:$C$132,0)),""))))),"")))="",$P23=""),"",IF(IF($O23="≤",IF(OR($K23="",$K23="Manual"),"",IF(LEFT($K23,4)="GPS:",IFERROR(CHOOSE(MATCH($K23,Lists!$G$3:$G$8,0),GPS!$G$6,GPS!$G$7,GPS!$G$8,GPS!$G$9,GPS!$G$10,GPS!$G$11),""),IFERROR(IF($N23="LSI",INDEX($I$109:$I$132,MATCH($K23,$C$109:$C$132,0)),IF($N23="L",INDEX($G$109:$G$132,MATCH($K23,$C$109:$C$132,0)),IF($N23="R",INDEX($H$109:$H$132,MATCH($K23,$C$109:$C$132,0)),IF(Dashboard!$K$5="L",INDEX($G$109:$G$132,MATCH($K23,$C$109:$C$132,0)),IF(Dashboard!$K$5="R",INDEX($H$109:$H$132,MATCH($K23,$C$109:$C$132,0)),""))))),"")))&lt;=$P23,IF(OR($K23="",$K23="Manual"),"",IF(LEFT($K23,4)="GPS:",IFERROR(CHOOSE(MATCH($K23,Lists!$G$3:$G$8,0),GPS!$G$6,GPS!$G$7,GPS!$G$8,GPS!$G$9,GPS!$G$10,GPS!$G$11),""),IFERROR(IF($N23="LSI",INDEX($I$109:$I$132,MATCH($K23,$C$109:$C$132,0)),IF($N23="L",INDEX($G$109:$G$132,MATCH($K23,$C$109:$C$132,0)),IF($N23="R",INDEX($H$109:$H$132,MATCH($K23,$C$109:$C$132,0)),IF(Dashboard!$K$5="L",INDEX($G$109:$G$132,MATCH($K23,$C$109:$C$132,0)),IF(Dashboard!$K$5="R",INDEX($H$109:$H$132,MATCH($K23,$C$109:$C$132,0)),""))))),"")))&gt;=$P23),"MET","NOT MET"))</f>
        <v/>
      </c>
      <c r="T23" s="7"/>
      <c r="U23" s="68" t="str">
        <f aca="false">IF($T23&lt;&gt;"",$T23,IF($S23="MET","Y",IF($S23="NOT MET","N","")))</f>
        <v/>
      </c>
      <c r="V23" s="70" t="str">
        <f aca="false">IF($U23="Y",IFERROR(IF(LEFT($K23,4)="GPS:","",INDEX($J$109:$J$132,MATCH($K23,$C$109:$C$132,0))),""),"")</f>
        <v/>
      </c>
      <c r="W23" s="70"/>
      <c r="X23" s="58"/>
      <c r="Y23" s="58"/>
      <c r="Z23" s="58"/>
      <c r="AA23" s="58"/>
    </row>
    <row r="24" customFormat="false" ht="15.75" hidden="false" customHeight="true" outlineLevel="0" collapsed="false">
      <c r="A24" s="33"/>
      <c r="B24" s="33" t="s">
        <v>94</v>
      </c>
      <c r="C24" s="33"/>
      <c r="D24" s="33" t="s">
        <v>139</v>
      </c>
      <c r="E24" s="33"/>
      <c r="F24" s="33"/>
      <c r="G24" s="33"/>
      <c r="H24" s="33"/>
      <c r="I24" s="33"/>
      <c r="J24" s="33"/>
      <c r="K24" s="33" t="s">
        <v>140</v>
      </c>
      <c r="L24" s="33"/>
      <c r="M24" s="33"/>
      <c r="N24" s="33" t="s">
        <v>141</v>
      </c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 customFormat="false" ht="15" hidden="false" customHeight="true" outlineLevel="0" collapsed="false">
      <c r="A25" s="57" t="n">
        <v>1</v>
      </c>
      <c r="B25" s="71" t="s">
        <v>105</v>
      </c>
      <c r="C25" s="71"/>
      <c r="D25" s="72" t="str">
        <f aca="false">IF(COUNTA($D$6:$D$8)=0,"No criteria defined",COUNTIFS($D$6:$D$8,"&lt;&gt;",$U$6:$U$8,"Y")&amp;" / "&amp;COUNTA($D$6:$D$8))</f>
        <v>0 / 2</v>
      </c>
      <c r="E25" s="72"/>
      <c r="F25" s="72"/>
      <c r="G25" s="72"/>
      <c r="H25" s="72"/>
      <c r="I25" s="72"/>
      <c r="J25" s="72"/>
      <c r="K25" s="68" t="str">
        <f aca="false">IF(AND(COUNTA($D$6:$D$8)&gt;0,COUNTIFS($D$6:$D$8,"&lt;&gt;",$U$6:$U$8,"Y")=COUNTA($D$6:$D$8)),"Y","N")</f>
        <v>N</v>
      </c>
      <c r="L25" s="68"/>
      <c r="M25" s="68"/>
      <c r="N25" s="73" t="str">
        <f aca="false">IF(K25="Y","—",IF(AND($D$6&lt;&gt;"",$U$6&lt;&gt;"Y"),$D$6,IF(AND($D$7&lt;&gt;"",$U$7&lt;&gt;"Y"),$D$7,IF(AND($D$8&lt;&gt;"",$U$8&lt;&gt;"Y"),$D$8,""))))</f>
        <v>Pain controlled; protected ROM per protocol</v>
      </c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</row>
    <row r="26" customFormat="false" ht="15" hidden="false" customHeight="true" outlineLevel="0" collapsed="false">
      <c r="A26" s="57" t="n">
        <v>2</v>
      </c>
      <c r="B26" s="71" t="s">
        <v>110</v>
      </c>
      <c r="C26" s="71"/>
      <c r="D26" s="72" t="str">
        <f aca="false">IF(COUNTA($D$9:$D$11)=0,"No criteria defined",COUNTIFS($D$9:$D$11,"&lt;&gt;",$U$9:$U$11,"Y")&amp;" / "&amp;COUNTA($D$9:$D$11))</f>
        <v>0 / 3</v>
      </c>
      <c r="E26" s="72"/>
      <c r="F26" s="72"/>
      <c r="G26" s="72"/>
      <c r="H26" s="72"/>
      <c r="I26" s="72"/>
      <c r="J26" s="72"/>
      <c r="K26" s="68" t="str">
        <f aca="false">IF(AND(COUNTA($D$9:$D$11)&gt;0,COUNTIFS($D$9:$D$11,"&lt;&gt;",$U$9:$U$11,"Y")=COUNTA($D$9:$D$11)),"Y","N")</f>
        <v>N</v>
      </c>
      <c r="L26" s="68"/>
      <c r="M26" s="68"/>
      <c r="N26" s="73" t="str">
        <f aca="false">IF(K26="Y","—",IF(AND($D$9&lt;&gt;"",$U$9&lt;&gt;"Y"),$D$9,IF(AND($D$10&lt;&gt;"",$U$10&lt;&gt;"Y"),$D$10,IF(AND($D$11&lt;&gt;"",$U$11&lt;&gt;"Y"),$D$11,""))))</f>
        <v>ER @ 90° ROM ≥ 90% of other side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</row>
    <row r="27" customFormat="false" ht="15" hidden="false" customHeight="true" outlineLevel="0" collapsed="false">
      <c r="A27" s="57" t="n">
        <v>3</v>
      </c>
      <c r="B27" s="71" t="s">
        <v>117</v>
      </c>
      <c r="C27" s="71"/>
      <c r="D27" s="72" t="str">
        <f aca="false">IF(COUNTA($D$12:$D$14)=0,"No criteria defined",COUNTIFS($D$12:$D$14,"&lt;&gt;",$U$12:$U$14,"Y")&amp;" / "&amp;COUNTA($D$12:$D$14))</f>
        <v>0 / 3</v>
      </c>
      <c r="E27" s="72"/>
      <c r="F27" s="72"/>
      <c r="G27" s="72"/>
      <c r="H27" s="72"/>
      <c r="I27" s="72"/>
      <c r="J27" s="72"/>
      <c r="K27" s="68" t="str">
        <f aca="false">IF(AND(COUNTA($D$12:$D$14)&gt;0,COUNTIFS($D$12:$D$14,"&lt;&gt;",$U$12:$U$14,"Y")=COUNTA($D$12:$D$14)),"Y","N")</f>
        <v>N</v>
      </c>
      <c r="L27" s="68"/>
      <c r="M27" s="68"/>
      <c r="N27" s="73" t="str">
        <f aca="false">IF(K27="Y","—",IF(AND($D$12&lt;&gt;"",$U$12&lt;&gt;"Y"),$D$12,IF(AND($D$13&lt;&gt;"",$U$13&lt;&gt;"Y"),$D$13,IF(AND($D$14&lt;&gt;"",$U$14&lt;&gt;"Y"),$D$14,""))))</f>
        <v>Iso ER ≥ 80% LSI</v>
      </c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</row>
    <row r="28" customFormat="false" ht="15" hidden="false" customHeight="true" outlineLevel="0" collapsed="false">
      <c r="A28" s="57" t="n">
        <v>4</v>
      </c>
      <c r="B28" s="71" t="s">
        <v>122</v>
      </c>
      <c r="C28" s="71"/>
      <c r="D28" s="72" t="str">
        <f aca="false">IF(COUNTA($D$15:$D$17)=0,"No criteria defined",COUNTIFS($D$15:$D$17,"&lt;&gt;",$U$15:$U$17,"Y")&amp;" / "&amp;COUNTA($D$15:$D$17))</f>
        <v>0 / 3</v>
      </c>
      <c r="E28" s="72"/>
      <c r="F28" s="72"/>
      <c r="G28" s="72"/>
      <c r="H28" s="72"/>
      <c r="I28" s="72"/>
      <c r="J28" s="72"/>
      <c r="K28" s="68" t="str">
        <f aca="false">IF(AND(COUNTA($D$15:$D$17)&gt;0,COUNTIFS($D$15:$D$17,"&lt;&gt;",$U$15:$U$17,"Y")=COUNTA($D$15:$D$17)),"Y","N")</f>
        <v>N</v>
      </c>
      <c r="L28" s="68"/>
      <c r="M28" s="68"/>
      <c r="N28" s="73" t="str">
        <f aca="false">IF(K28="Y","—",IF(AND($D$15&lt;&gt;"",$U$15&lt;&gt;"Y"),$D$15,IF(AND($D$16&lt;&gt;"",$U$16&lt;&gt;"Y"),$D$16,IF(AND($D$17&lt;&gt;"",$U$17&lt;&gt;"Y"),$D$17,""))))</f>
        <v>Iso ER ≥ 90% LSI</v>
      </c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</row>
    <row r="29" customFormat="false" ht="15" hidden="false" customHeight="true" outlineLevel="0" collapsed="false">
      <c r="A29" s="57" t="n">
        <v>5</v>
      </c>
      <c r="B29" s="71" t="s">
        <v>128</v>
      </c>
      <c r="C29" s="71"/>
      <c r="D29" s="72" t="str">
        <f aca="false">IF(COUNTA($D$18:$D$20)=0,"No criteria defined",COUNTIFS($D$18:$D$20,"&lt;&gt;",$U$18:$U$20,"Y")&amp;" / "&amp;COUNTA($D$18:$D$20))</f>
        <v>0 / 2</v>
      </c>
      <c r="E29" s="72"/>
      <c r="F29" s="72"/>
      <c r="G29" s="72"/>
      <c r="H29" s="72"/>
      <c r="I29" s="72"/>
      <c r="J29" s="72"/>
      <c r="K29" s="68" t="str">
        <f aca="false">IF(AND(COUNTA($D$18:$D$20)&gt;0,COUNTIFS($D$18:$D$20,"&lt;&gt;",$U$18:$U$20,"Y")=COUNTA($D$18:$D$20)),"Y","N")</f>
        <v>N</v>
      </c>
      <c r="L29" s="68"/>
      <c r="M29" s="68"/>
      <c r="N29" s="73" t="str">
        <f aca="false">IF(K29="Y","—",IF(AND($D$18&lt;&gt;"",$U$18&lt;&gt;"Y"),$D$18,IF(AND($D$19&lt;&gt;"",$U$19&lt;&gt;"Y"),$D$19,IF(AND($D$20&lt;&gt;"",$U$20&lt;&gt;"Y"),$D$20,""))))</f>
        <v>Total distance ≥ 90% of baseline</v>
      </c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</row>
    <row r="30" customFormat="false" ht="15" hidden="false" customHeight="true" outlineLevel="0" collapsed="false">
      <c r="A30" s="57" t="n">
        <v>6</v>
      </c>
      <c r="B30" s="71" t="s">
        <v>134</v>
      </c>
      <c r="C30" s="71"/>
      <c r="D30" s="72" t="str">
        <f aca="false">IF(COUNTA($D$21:$D$23)=0,"No criteria defined",COUNTIFS($D$21:$D$23,"&lt;&gt;",$U$21:$U$23,"Y")&amp;" / "&amp;COUNTA($D$21:$D$23))</f>
        <v>0 / 2</v>
      </c>
      <c r="E30" s="72"/>
      <c r="F30" s="72"/>
      <c r="G30" s="72"/>
      <c r="H30" s="72"/>
      <c r="I30" s="72"/>
      <c r="J30" s="72"/>
      <c r="K30" s="68" t="str">
        <f aca="false">IF(AND(COUNTA($D$21:$D$23)&gt;0,COUNTIFS($D$21:$D$23,"&lt;&gt;",$U$21:$U$23,"Y")=COUNTA($D$21:$D$23)),"Y","N")</f>
        <v>N</v>
      </c>
      <c r="L30" s="68"/>
      <c r="M30" s="68"/>
      <c r="N30" s="73" t="str">
        <f aca="false">IF(K30="Y","—",IF(AND($D$21&lt;&gt;"",$U$21&lt;&gt;"Y"),$D$21,IF(AND($D$22&lt;&gt;"",$U$22&lt;&gt;"Y"),$D$22,IF(AND($D$23&lt;&gt;"",$U$23&lt;&gt;"Y"),$D$23,""))))</f>
        <v>Match minutes progressed</v>
      </c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</row>
    <row r="31" customFormat="false" ht="30" hidden="false" customHeight="true" outlineLevel="0" collapsed="false">
      <c r="A31" s="74" t="s">
        <v>41</v>
      </c>
      <c r="B31" s="74"/>
      <c r="C31" s="74"/>
      <c r="D31" s="74"/>
      <c r="E31" s="75" t="str">
        <f aca="false">IFERROR(INDEX($B$25:$B$30,MATCH("N",$K$25:$K$30,0)),"Rehab complete — RTP")</f>
        <v>1. Protection</v>
      </c>
      <c r="F31" s="75"/>
      <c r="G31" s="75"/>
      <c r="H31" s="75"/>
      <c r="I31" s="75"/>
      <c r="J31" s="75"/>
      <c r="K31" s="65" t="s">
        <v>142</v>
      </c>
      <c r="L31" s="65"/>
      <c r="M31" s="65"/>
      <c r="N31" s="65"/>
      <c r="O31" s="68" t="str">
        <f aca="false">COUNTIF($K$25:$K$30,"Y")&amp;" / 6"</f>
        <v>0 / 6</v>
      </c>
      <c r="P31" s="68"/>
      <c r="Q31" s="68"/>
      <c r="R31" s="69" t="str">
        <f aca="false">IF(COUNTIF($K$25:$K$30,"Y")&gt;=6,"COMPLETE",IF(COUNTIF($K$25:$K$30,"Y")=0,"NOT STARTED","IN PROGRESS"))</f>
        <v>NOT STARTED</v>
      </c>
      <c r="S31" s="76" t="s">
        <v>143</v>
      </c>
      <c r="T31" s="60" t="str">
        <f aca="false">IFERROR(_xlfn.TEXTJOIN("   ·   ",TRUE(),IF(AND(INDEX($D$6:$D$23,((MATCH("N",$K$25:$K$30,0))-1)*3+1)&lt;&gt;"",INDEX($U$6:$U$23,((MATCH("N",$K$25:$K$30,0))-1)*3+1)&lt;&gt;"Y"),INDEX($D$6:$D$23,((MATCH("N",$K$25:$K$30,0))-1)*3+1),""),IF(AND(INDEX($D$6:$D$23,((MATCH("N",$K$25:$K$30,0))-1)*3+2)&lt;&gt;"",INDEX($U$6:$U$23,((MATCH("N",$K$25:$K$30,0))-1)*3+2)&lt;&gt;"Y"),INDEX($D$6:$D$23,((MATCH("N",$K$25:$K$30,0))-1)*3+2),""),IF(AND(INDEX($D$6:$D$23,((MATCH("N",$K$25:$K$30,0))-1)*3+3)&lt;&gt;"",INDEX($U$6:$U$23,((MATCH("N",$K$25:$K$30,0))-1)*3+3)&lt;&gt;"Y"),INDEX($D$6:$D$23,((MATCH("N",$K$25:$K$30,0))-1)*3+3),"")),"")</f>
        <v>Pain controlled; protected ROM per protocol   ·   Scapular control restored</v>
      </c>
      <c r="U31" s="60"/>
      <c r="V31" s="60"/>
      <c r="W31" s="60"/>
      <c r="X31" s="60"/>
      <c r="Y31" s="60"/>
      <c r="Z31" s="60"/>
      <c r="AA31" s="60"/>
    </row>
    <row r="33" customFormat="false" ht="19.5" hidden="false" customHeight="true" outlineLevel="0" collapsed="false">
      <c r="A33" s="62" t="s">
        <v>144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</row>
    <row r="34" customFormat="false" ht="31.5" hidden="false" customHeight="true" outlineLevel="0" collapsed="false">
      <c r="A34" s="55" t="s">
        <v>52</v>
      </c>
      <c r="B34" s="55" t="s">
        <v>75</v>
      </c>
      <c r="C34" s="77" t="s">
        <v>273</v>
      </c>
      <c r="D34" s="77"/>
      <c r="E34" s="77"/>
      <c r="F34" s="77" t="s">
        <v>259</v>
      </c>
      <c r="G34" s="77"/>
      <c r="H34" s="77"/>
      <c r="I34" s="77" t="s">
        <v>274</v>
      </c>
      <c r="J34" s="77"/>
      <c r="K34" s="77"/>
      <c r="L34" s="77" t="s">
        <v>275</v>
      </c>
      <c r="M34" s="77"/>
      <c r="N34" s="77"/>
      <c r="O34" s="78" t="s">
        <v>150</v>
      </c>
      <c r="P34" s="78"/>
      <c r="Q34" s="78"/>
      <c r="R34" s="78" t="s">
        <v>150</v>
      </c>
      <c r="S34" s="78"/>
      <c r="T34" s="78"/>
      <c r="U34" s="78" t="s">
        <v>150</v>
      </c>
      <c r="V34" s="78"/>
      <c r="W34" s="78"/>
      <c r="X34" s="78" t="s">
        <v>150</v>
      </c>
      <c r="Y34" s="78"/>
      <c r="Z34" s="78"/>
      <c r="AA34" s="55" t="s">
        <v>84</v>
      </c>
    </row>
    <row r="35" customFormat="false" ht="15.75" hidden="false" customHeight="true" outlineLevel="0" collapsed="false">
      <c r="A35" s="55"/>
      <c r="B35" s="55"/>
      <c r="C35" s="55" t="s">
        <v>12</v>
      </c>
      <c r="D35" s="55" t="s">
        <v>49</v>
      </c>
      <c r="E35" s="55" t="s">
        <v>50</v>
      </c>
      <c r="F35" s="55" t="s">
        <v>12</v>
      </c>
      <c r="G35" s="55" t="s">
        <v>49</v>
      </c>
      <c r="H35" s="55" t="s">
        <v>50</v>
      </c>
      <c r="I35" s="55" t="s">
        <v>12</v>
      </c>
      <c r="J35" s="55" t="s">
        <v>49</v>
      </c>
      <c r="K35" s="55" t="s">
        <v>50</v>
      </c>
      <c r="L35" s="55" t="s">
        <v>12</v>
      </c>
      <c r="M35" s="55" t="s">
        <v>49</v>
      </c>
      <c r="N35" s="55" t="s">
        <v>50</v>
      </c>
      <c r="O35" s="55" t="s">
        <v>12</v>
      </c>
      <c r="P35" s="55" t="s">
        <v>49</v>
      </c>
      <c r="Q35" s="55" t="s">
        <v>50</v>
      </c>
      <c r="R35" s="55" t="s">
        <v>12</v>
      </c>
      <c r="S35" s="55" t="s">
        <v>49</v>
      </c>
      <c r="T35" s="55" t="s">
        <v>50</v>
      </c>
      <c r="U35" s="55" t="s">
        <v>12</v>
      </c>
      <c r="V35" s="55" t="s">
        <v>49</v>
      </c>
      <c r="W35" s="55" t="s">
        <v>50</v>
      </c>
      <c r="X35" s="55" t="s">
        <v>12</v>
      </c>
      <c r="Y35" s="55" t="s">
        <v>49</v>
      </c>
      <c r="Z35" s="55" t="s">
        <v>50</v>
      </c>
      <c r="AA35" s="55"/>
    </row>
    <row r="36" customFormat="false" ht="15" hidden="false" customHeight="false" outlineLevel="0" collapsed="false">
      <c r="A36" s="56"/>
      <c r="B36" s="57" t="str">
        <f aca="false">IF(A36="","",IF(Dashboard!$L$5="","",INT((A36-Dashboard!$L$5)/7)+1))</f>
        <v/>
      </c>
      <c r="C36" s="67"/>
      <c r="D36" s="67"/>
      <c r="E36" s="79" t="str">
        <f aca="false">IFERROR(IF(OR(C36="",D36=""),"",IF(Dashboard!$K$5="L",IF(D36=0,"",C36/D36),IF(Dashboard!$K$5="R",IF(C36=0,"",D36/C36),IF(MAX(C36,D36)=0,"",MIN(C36,D36)/MAX(C36,D36))))),"")</f>
        <v/>
      </c>
      <c r="F36" s="67"/>
      <c r="G36" s="67"/>
      <c r="H36" s="79" t="str">
        <f aca="false">IFERROR(IF(OR(F36="",G36=""),"",IF(Dashboard!$K$5="L",IF(G36=0,"",F36/G36),IF(Dashboard!$K$5="R",IF(F36=0,"",G36/F36),IF(MAX(F36,G36)=0,"",MIN(F36,G36)/MAX(F36,G36))))),"")</f>
        <v/>
      </c>
      <c r="I36" s="67"/>
      <c r="J36" s="67"/>
      <c r="K36" s="79" t="str">
        <f aca="false">IFERROR(IF(OR(I36="",J36=""),"",IF(Dashboard!$K$5="L",IF(J36=0,"",I36/J36),IF(Dashboard!$K$5="R",IF(I36=0,"",J36/I36),IF(MAX(I36,J36)=0,"",MIN(I36,J36)/MAX(I36,J36))))),"")</f>
        <v/>
      </c>
      <c r="L36" s="67"/>
      <c r="M36" s="67"/>
      <c r="N36" s="79" t="str">
        <f aca="false">IFERROR(IF(OR(L36="",M36=""),"",IF(Dashboard!$K$5="L",IF(M36=0,"",L36/M36),IF(Dashboard!$K$5="R",IF(L36=0,"",M36/L36),IF(MAX(L36,M36)=0,"",MIN(L36,M36)/MAX(L36,M36))))),"")</f>
        <v/>
      </c>
      <c r="O36" s="67"/>
      <c r="P36" s="67"/>
      <c r="Q36" s="79" t="str">
        <f aca="false">IFERROR(IF(OR(O36="",P36=""),"",IF(Dashboard!$K$5="L",IF(P36=0,"",O36/P36),IF(Dashboard!$K$5="R",IF(O36=0,"",P36/O36),IF(MAX(O36,P36)=0,"",MIN(O36,P36)/MAX(O36,P36))))),"")</f>
        <v/>
      </c>
      <c r="R36" s="67"/>
      <c r="S36" s="67"/>
      <c r="T36" s="79" t="str">
        <f aca="false">IFERROR(IF(OR(R36="",S36=""),"",IF(Dashboard!$K$5="L",IF(S36=0,"",R36/S36),IF(Dashboard!$K$5="R",IF(R36=0,"",S36/R36),IF(MAX(R36,S36)=0,"",MIN(R36,S36)/MAX(R36,S36))))),"")</f>
        <v/>
      </c>
      <c r="U36" s="67"/>
      <c r="V36" s="67"/>
      <c r="W36" s="79" t="str">
        <f aca="false">IFERROR(IF(OR(U36="",V36=""),"",IF(Dashboard!$K$5="L",IF(V36=0,"",U36/V36),IF(Dashboard!$K$5="R",IF(U36=0,"",V36/U36),IF(MAX(U36,V36)=0,"",MIN(U36,V36)/MAX(U36,V36))))),"")</f>
        <v/>
      </c>
      <c r="X36" s="67"/>
      <c r="Y36" s="67"/>
      <c r="Z36" s="79" t="str">
        <f aca="false">IFERROR(IF(OR(X36="",Y36=""),"",IF(Dashboard!$K$5="L",IF(Y36=0,"",X36/Y36),IF(Dashboard!$K$5="R",IF(X36=0,"",Y36/X36),IF(MAX(X36,Y36)=0,"",MIN(X36,Y36)/MAX(X36,Y36))))),"")</f>
        <v/>
      </c>
      <c r="AA36" s="58"/>
    </row>
    <row r="37" customFormat="false" ht="15" hidden="false" customHeight="false" outlineLevel="0" collapsed="false">
      <c r="A37" s="56"/>
      <c r="B37" s="57" t="str">
        <f aca="false">IF(A37="","",IF(Dashboard!$L$5="","",INT((A37-Dashboard!$L$5)/7)+1))</f>
        <v/>
      </c>
      <c r="C37" s="67"/>
      <c r="D37" s="67"/>
      <c r="E37" s="79" t="str">
        <f aca="false">IFERROR(IF(OR(C37="",D37=""),"",IF(Dashboard!$K$5="L",IF(D37=0,"",C37/D37),IF(Dashboard!$K$5="R",IF(C37=0,"",D37/C37),IF(MAX(C37,D37)=0,"",MIN(C37,D37)/MAX(C37,D37))))),"")</f>
        <v/>
      </c>
      <c r="F37" s="67"/>
      <c r="G37" s="67"/>
      <c r="H37" s="79" t="str">
        <f aca="false">IFERROR(IF(OR(F37="",G37=""),"",IF(Dashboard!$K$5="L",IF(G37=0,"",F37/G37),IF(Dashboard!$K$5="R",IF(F37=0,"",G37/F37),IF(MAX(F37,G37)=0,"",MIN(F37,G37)/MAX(F37,G37))))),"")</f>
        <v/>
      </c>
      <c r="I37" s="67"/>
      <c r="J37" s="67"/>
      <c r="K37" s="79" t="str">
        <f aca="false">IFERROR(IF(OR(I37="",J37=""),"",IF(Dashboard!$K$5="L",IF(J37=0,"",I37/J37),IF(Dashboard!$K$5="R",IF(I37=0,"",J37/I37),IF(MAX(I37,J37)=0,"",MIN(I37,J37)/MAX(I37,J37))))),"")</f>
        <v/>
      </c>
      <c r="L37" s="67"/>
      <c r="M37" s="67"/>
      <c r="N37" s="79" t="str">
        <f aca="false">IFERROR(IF(OR(L37="",M37=""),"",IF(Dashboard!$K$5="L",IF(M37=0,"",L37/M37),IF(Dashboard!$K$5="R",IF(L37=0,"",M37/L37),IF(MAX(L37,M37)=0,"",MIN(L37,M37)/MAX(L37,M37))))),"")</f>
        <v/>
      </c>
      <c r="O37" s="67"/>
      <c r="P37" s="67"/>
      <c r="Q37" s="79" t="str">
        <f aca="false">IFERROR(IF(OR(O37="",P37=""),"",IF(Dashboard!$K$5="L",IF(P37=0,"",O37/P37),IF(Dashboard!$K$5="R",IF(O37=0,"",P37/O37),IF(MAX(O37,P37)=0,"",MIN(O37,P37)/MAX(O37,P37))))),"")</f>
        <v/>
      </c>
      <c r="R37" s="67"/>
      <c r="S37" s="67"/>
      <c r="T37" s="79" t="str">
        <f aca="false">IFERROR(IF(OR(R37="",S37=""),"",IF(Dashboard!$K$5="L",IF(S37=0,"",R37/S37),IF(Dashboard!$K$5="R",IF(R37=0,"",S37/R37),IF(MAX(R37,S37)=0,"",MIN(R37,S37)/MAX(R37,S37))))),"")</f>
        <v/>
      </c>
      <c r="U37" s="67"/>
      <c r="V37" s="67"/>
      <c r="W37" s="79" t="str">
        <f aca="false">IFERROR(IF(OR(U37="",V37=""),"",IF(Dashboard!$K$5="L",IF(V37=0,"",U37/V37),IF(Dashboard!$K$5="R",IF(U37=0,"",V37/U37),IF(MAX(U37,V37)=0,"",MIN(U37,V37)/MAX(U37,V37))))),"")</f>
        <v/>
      </c>
      <c r="X37" s="67"/>
      <c r="Y37" s="67"/>
      <c r="Z37" s="79" t="str">
        <f aca="false">IFERROR(IF(OR(X37="",Y37=""),"",IF(Dashboard!$K$5="L",IF(Y37=0,"",X37/Y37),IF(Dashboard!$K$5="R",IF(X37=0,"",Y37/X37),IF(MAX(X37,Y37)=0,"",MIN(X37,Y37)/MAX(X37,Y37))))),"")</f>
        <v/>
      </c>
      <c r="AA37" s="58"/>
    </row>
    <row r="38" customFormat="false" ht="15" hidden="false" customHeight="false" outlineLevel="0" collapsed="false">
      <c r="A38" s="56"/>
      <c r="B38" s="57" t="str">
        <f aca="false">IF(A38="","",IF(Dashboard!$L$5="","",INT((A38-Dashboard!$L$5)/7)+1))</f>
        <v/>
      </c>
      <c r="C38" s="67"/>
      <c r="D38" s="67"/>
      <c r="E38" s="79" t="str">
        <f aca="false">IFERROR(IF(OR(C38="",D38=""),"",IF(Dashboard!$K$5="L",IF(D38=0,"",C38/D38),IF(Dashboard!$K$5="R",IF(C38=0,"",D38/C38),IF(MAX(C38,D38)=0,"",MIN(C38,D38)/MAX(C38,D38))))),"")</f>
        <v/>
      </c>
      <c r="F38" s="67"/>
      <c r="G38" s="67"/>
      <c r="H38" s="79" t="str">
        <f aca="false">IFERROR(IF(OR(F38="",G38=""),"",IF(Dashboard!$K$5="L",IF(G38=0,"",F38/G38),IF(Dashboard!$K$5="R",IF(F38=0,"",G38/F38),IF(MAX(F38,G38)=0,"",MIN(F38,G38)/MAX(F38,G38))))),"")</f>
        <v/>
      </c>
      <c r="I38" s="67"/>
      <c r="J38" s="67"/>
      <c r="K38" s="79" t="str">
        <f aca="false">IFERROR(IF(OR(I38="",J38=""),"",IF(Dashboard!$K$5="L",IF(J38=0,"",I38/J38),IF(Dashboard!$K$5="R",IF(I38=0,"",J38/I38),IF(MAX(I38,J38)=0,"",MIN(I38,J38)/MAX(I38,J38))))),"")</f>
        <v/>
      </c>
      <c r="L38" s="67"/>
      <c r="M38" s="67"/>
      <c r="N38" s="79" t="str">
        <f aca="false">IFERROR(IF(OR(L38="",M38=""),"",IF(Dashboard!$K$5="L",IF(M38=0,"",L38/M38),IF(Dashboard!$K$5="R",IF(L38=0,"",M38/L38),IF(MAX(L38,M38)=0,"",MIN(L38,M38)/MAX(L38,M38))))),"")</f>
        <v/>
      </c>
      <c r="O38" s="67"/>
      <c r="P38" s="67"/>
      <c r="Q38" s="79" t="str">
        <f aca="false">IFERROR(IF(OR(O38="",P38=""),"",IF(Dashboard!$K$5="L",IF(P38=0,"",O38/P38),IF(Dashboard!$K$5="R",IF(O38=0,"",P38/O38),IF(MAX(O38,P38)=0,"",MIN(O38,P38)/MAX(O38,P38))))),"")</f>
        <v/>
      </c>
      <c r="R38" s="67"/>
      <c r="S38" s="67"/>
      <c r="T38" s="79" t="str">
        <f aca="false">IFERROR(IF(OR(R38="",S38=""),"",IF(Dashboard!$K$5="L",IF(S38=0,"",R38/S38),IF(Dashboard!$K$5="R",IF(R38=0,"",S38/R38),IF(MAX(R38,S38)=0,"",MIN(R38,S38)/MAX(R38,S38))))),"")</f>
        <v/>
      </c>
      <c r="U38" s="67"/>
      <c r="V38" s="67"/>
      <c r="W38" s="79" t="str">
        <f aca="false">IFERROR(IF(OR(U38="",V38=""),"",IF(Dashboard!$K$5="L",IF(V38=0,"",U38/V38),IF(Dashboard!$K$5="R",IF(U38=0,"",V38/U38),IF(MAX(U38,V38)=0,"",MIN(U38,V38)/MAX(U38,V38))))),"")</f>
        <v/>
      </c>
      <c r="X38" s="67"/>
      <c r="Y38" s="67"/>
      <c r="Z38" s="79" t="str">
        <f aca="false">IFERROR(IF(OR(X38="",Y38=""),"",IF(Dashboard!$K$5="L",IF(Y38=0,"",X38/Y38),IF(Dashboard!$K$5="R",IF(X38=0,"",Y38/X38),IF(MAX(X38,Y38)=0,"",MIN(X38,Y38)/MAX(X38,Y38))))),"")</f>
        <v/>
      </c>
      <c r="AA38" s="58"/>
    </row>
    <row r="39" customFormat="false" ht="15" hidden="false" customHeight="false" outlineLevel="0" collapsed="false">
      <c r="A39" s="56"/>
      <c r="B39" s="57" t="str">
        <f aca="false">IF(A39="","",IF(Dashboard!$L$5="","",INT((A39-Dashboard!$L$5)/7)+1))</f>
        <v/>
      </c>
      <c r="C39" s="67"/>
      <c r="D39" s="67"/>
      <c r="E39" s="79" t="str">
        <f aca="false">IFERROR(IF(OR(C39="",D39=""),"",IF(Dashboard!$K$5="L",IF(D39=0,"",C39/D39),IF(Dashboard!$K$5="R",IF(C39=0,"",D39/C39),IF(MAX(C39,D39)=0,"",MIN(C39,D39)/MAX(C39,D39))))),"")</f>
        <v/>
      </c>
      <c r="F39" s="67"/>
      <c r="G39" s="67"/>
      <c r="H39" s="79" t="str">
        <f aca="false">IFERROR(IF(OR(F39="",G39=""),"",IF(Dashboard!$K$5="L",IF(G39=0,"",F39/G39),IF(Dashboard!$K$5="R",IF(F39=0,"",G39/F39),IF(MAX(F39,G39)=0,"",MIN(F39,G39)/MAX(F39,G39))))),"")</f>
        <v/>
      </c>
      <c r="I39" s="67"/>
      <c r="J39" s="67"/>
      <c r="K39" s="79" t="str">
        <f aca="false">IFERROR(IF(OR(I39="",J39=""),"",IF(Dashboard!$K$5="L",IF(J39=0,"",I39/J39),IF(Dashboard!$K$5="R",IF(I39=0,"",J39/I39),IF(MAX(I39,J39)=0,"",MIN(I39,J39)/MAX(I39,J39))))),"")</f>
        <v/>
      </c>
      <c r="L39" s="67"/>
      <c r="M39" s="67"/>
      <c r="N39" s="79" t="str">
        <f aca="false">IFERROR(IF(OR(L39="",M39=""),"",IF(Dashboard!$K$5="L",IF(M39=0,"",L39/M39),IF(Dashboard!$K$5="R",IF(L39=0,"",M39/L39),IF(MAX(L39,M39)=0,"",MIN(L39,M39)/MAX(L39,M39))))),"")</f>
        <v/>
      </c>
      <c r="O39" s="67"/>
      <c r="P39" s="67"/>
      <c r="Q39" s="79" t="str">
        <f aca="false">IFERROR(IF(OR(O39="",P39=""),"",IF(Dashboard!$K$5="L",IF(P39=0,"",O39/P39),IF(Dashboard!$K$5="R",IF(O39=0,"",P39/O39),IF(MAX(O39,P39)=0,"",MIN(O39,P39)/MAX(O39,P39))))),"")</f>
        <v/>
      </c>
      <c r="R39" s="67"/>
      <c r="S39" s="67"/>
      <c r="T39" s="79" t="str">
        <f aca="false">IFERROR(IF(OR(R39="",S39=""),"",IF(Dashboard!$K$5="L",IF(S39=0,"",R39/S39),IF(Dashboard!$K$5="R",IF(R39=0,"",S39/R39),IF(MAX(R39,S39)=0,"",MIN(R39,S39)/MAX(R39,S39))))),"")</f>
        <v/>
      </c>
      <c r="U39" s="67"/>
      <c r="V39" s="67"/>
      <c r="W39" s="79" t="str">
        <f aca="false">IFERROR(IF(OR(U39="",V39=""),"",IF(Dashboard!$K$5="L",IF(V39=0,"",U39/V39),IF(Dashboard!$K$5="R",IF(U39=0,"",V39/U39),IF(MAX(U39,V39)=0,"",MIN(U39,V39)/MAX(U39,V39))))),"")</f>
        <v/>
      </c>
      <c r="X39" s="67"/>
      <c r="Y39" s="67"/>
      <c r="Z39" s="79" t="str">
        <f aca="false">IFERROR(IF(OR(X39="",Y39=""),"",IF(Dashboard!$K$5="L",IF(Y39=0,"",X39/Y39),IF(Dashboard!$K$5="R",IF(X39=0,"",Y39/X39),IF(MAX(X39,Y39)=0,"",MIN(X39,Y39)/MAX(X39,Y39))))),"")</f>
        <v/>
      </c>
      <c r="AA39" s="58"/>
    </row>
    <row r="40" customFormat="false" ht="15" hidden="false" customHeight="false" outlineLevel="0" collapsed="false">
      <c r="A40" s="56"/>
      <c r="B40" s="57" t="str">
        <f aca="false">IF(A40="","",IF(Dashboard!$L$5="","",INT((A40-Dashboard!$L$5)/7)+1))</f>
        <v/>
      </c>
      <c r="C40" s="67"/>
      <c r="D40" s="67"/>
      <c r="E40" s="79" t="str">
        <f aca="false">IFERROR(IF(OR(C40="",D40=""),"",IF(Dashboard!$K$5="L",IF(D40=0,"",C40/D40),IF(Dashboard!$K$5="R",IF(C40=0,"",D40/C40),IF(MAX(C40,D40)=0,"",MIN(C40,D40)/MAX(C40,D40))))),"")</f>
        <v/>
      </c>
      <c r="F40" s="67"/>
      <c r="G40" s="67"/>
      <c r="H40" s="79" t="str">
        <f aca="false">IFERROR(IF(OR(F40="",G40=""),"",IF(Dashboard!$K$5="L",IF(G40=0,"",F40/G40),IF(Dashboard!$K$5="R",IF(F40=0,"",G40/F40),IF(MAX(F40,G40)=0,"",MIN(F40,G40)/MAX(F40,G40))))),"")</f>
        <v/>
      </c>
      <c r="I40" s="67"/>
      <c r="J40" s="67"/>
      <c r="K40" s="79" t="str">
        <f aca="false">IFERROR(IF(OR(I40="",J40=""),"",IF(Dashboard!$K$5="L",IF(J40=0,"",I40/J40),IF(Dashboard!$K$5="R",IF(I40=0,"",J40/I40),IF(MAX(I40,J40)=0,"",MIN(I40,J40)/MAX(I40,J40))))),"")</f>
        <v/>
      </c>
      <c r="L40" s="67"/>
      <c r="M40" s="67"/>
      <c r="N40" s="79" t="str">
        <f aca="false">IFERROR(IF(OR(L40="",M40=""),"",IF(Dashboard!$K$5="L",IF(M40=0,"",L40/M40),IF(Dashboard!$K$5="R",IF(L40=0,"",M40/L40),IF(MAX(L40,M40)=0,"",MIN(L40,M40)/MAX(L40,M40))))),"")</f>
        <v/>
      </c>
      <c r="O40" s="67"/>
      <c r="P40" s="67"/>
      <c r="Q40" s="79" t="str">
        <f aca="false">IFERROR(IF(OR(O40="",P40=""),"",IF(Dashboard!$K$5="L",IF(P40=0,"",O40/P40),IF(Dashboard!$K$5="R",IF(O40=0,"",P40/O40),IF(MAX(O40,P40)=0,"",MIN(O40,P40)/MAX(O40,P40))))),"")</f>
        <v/>
      </c>
      <c r="R40" s="67"/>
      <c r="S40" s="67"/>
      <c r="T40" s="79" t="str">
        <f aca="false">IFERROR(IF(OR(R40="",S40=""),"",IF(Dashboard!$K$5="L",IF(S40=0,"",R40/S40),IF(Dashboard!$K$5="R",IF(R40=0,"",S40/R40),IF(MAX(R40,S40)=0,"",MIN(R40,S40)/MAX(R40,S40))))),"")</f>
        <v/>
      </c>
      <c r="U40" s="67"/>
      <c r="V40" s="67"/>
      <c r="W40" s="79" t="str">
        <f aca="false">IFERROR(IF(OR(U40="",V40=""),"",IF(Dashboard!$K$5="L",IF(V40=0,"",U40/V40),IF(Dashboard!$K$5="R",IF(U40=0,"",V40/U40),IF(MAX(U40,V40)=0,"",MIN(U40,V40)/MAX(U40,V40))))),"")</f>
        <v/>
      </c>
      <c r="X40" s="67"/>
      <c r="Y40" s="67"/>
      <c r="Z40" s="79" t="str">
        <f aca="false">IFERROR(IF(OR(X40="",Y40=""),"",IF(Dashboard!$K$5="L",IF(Y40=0,"",X40/Y40),IF(Dashboard!$K$5="R",IF(X40=0,"",Y40/X40),IF(MAX(X40,Y40)=0,"",MIN(X40,Y40)/MAX(X40,Y40))))),"")</f>
        <v/>
      </c>
      <c r="AA40" s="58"/>
    </row>
    <row r="41" customFormat="false" ht="15" hidden="false" customHeight="false" outlineLevel="0" collapsed="false">
      <c r="A41" s="56"/>
      <c r="B41" s="57" t="str">
        <f aca="false">IF(A41="","",IF(Dashboard!$L$5="","",INT((A41-Dashboard!$L$5)/7)+1))</f>
        <v/>
      </c>
      <c r="C41" s="67"/>
      <c r="D41" s="67"/>
      <c r="E41" s="79" t="str">
        <f aca="false">IFERROR(IF(OR(C41="",D41=""),"",IF(Dashboard!$K$5="L",IF(D41=0,"",C41/D41),IF(Dashboard!$K$5="R",IF(C41=0,"",D41/C41),IF(MAX(C41,D41)=0,"",MIN(C41,D41)/MAX(C41,D41))))),"")</f>
        <v/>
      </c>
      <c r="F41" s="67"/>
      <c r="G41" s="67"/>
      <c r="H41" s="79" t="str">
        <f aca="false">IFERROR(IF(OR(F41="",G41=""),"",IF(Dashboard!$K$5="L",IF(G41=0,"",F41/G41),IF(Dashboard!$K$5="R",IF(F41=0,"",G41/F41),IF(MAX(F41,G41)=0,"",MIN(F41,G41)/MAX(F41,G41))))),"")</f>
        <v/>
      </c>
      <c r="I41" s="67"/>
      <c r="J41" s="67"/>
      <c r="K41" s="79" t="str">
        <f aca="false">IFERROR(IF(OR(I41="",J41=""),"",IF(Dashboard!$K$5="L",IF(J41=0,"",I41/J41),IF(Dashboard!$K$5="R",IF(I41=0,"",J41/I41),IF(MAX(I41,J41)=0,"",MIN(I41,J41)/MAX(I41,J41))))),"")</f>
        <v/>
      </c>
      <c r="L41" s="67"/>
      <c r="M41" s="67"/>
      <c r="N41" s="79" t="str">
        <f aca="false">IFERROR(IF(OR(L41="",M41=""),"",IF(Dashboard!$K$5="L",IF(M41=0,"",L41/M41),IF(Dashboard!$K$5="R",IF(L41=0,"",M41/L41),IF(MAX(L41,M41)=0,"",MIN(L41,M41)/MAX(L41,M41))))),"")</f>
        <v/>
      </c>
      <c r="O41" s="67"/>
      <c r="P41" s="67"/>
      <c r="Q41" s="79" t="str">
        <f aca="false">IFERROR(IF(OR(O41="",P41=""),"",IF(Dashboard!$K$5="L",IF(P41=0,"",O41/P41),IF(Dashboard!$K$5="R",IF(O41=0,"",P41/O41),IF(MAX(O41,P41)=0,"",MIN(O41,P41)/MAX(O41,P41))))),"")</f>
        <v/>
      </c>
      <c r="R41" s="67"/>
      <c r="S41" s="67"/>
      <c r="T41" s="79" t="str">
        <f aca="false">IFERROR(IF(OR(R41="",S41=""),"",IF(Dashboard!$K$5="L",IF(S41=0,"",R41/S41),IF(Dashboard!$K$5="R",IF(R41=0,"",S41/R41),IF(MAX(R41,S41)=0,"",MIN(R41,S41)/MAX(R41,S41))))),"")</f>
        <v/>
      </c>
      <c r="U41" s="67"/>
      <c r="V41" s="67"/>
      <c r="W41" s="79" t="str">
        <f aca="false">IFERROR(IF(OR(U41="",V41=""),"",IF(Dashboard!$K$5="L",IF(V41=0,"",U41/V41),IF(Dashboard!$K$5="R",IF(U41=0,"",V41/U41),IF(MAX(U41,V41)=0,"",MIN(U41,V41)/MAX(U41,V41))))),"")</f>
        <v/>
      </c>
      <c r="X41" s="67"/>
      <c r="Y41" s="67"/>
      <c r="Z41" s="79" t="str">
        <f aca="false">IFERROR(IF(OR(X41="",Y41=""),"",IF(Dashboard!$K$5="L",IF(Y41=0,"",X41/Y41),IF(Dashboard!$K$5="R",IF(X41=0,"",Y41/X41),IF(MAX(X41,Y41)=0,"",MIN(X41,Y41)/MAX(X41,Y41))))),"")</f>
        <v/>
      </c>
      <c r="AA41" s="58"/>
    </row>
    <row r="42" customFormat="false" ht="15" hidden="false" customHeight="false" outlineLevel="0" collapsed="false">
      <c r="A42" s="56"/>
      <c r="B42" s="57" t="str">
        <f aca="false">IF(A42="","",IF(Dashboard!$L$5="","",INT((A42-Dashboard!$L$5)/7)+1))</f>
        <v/>
      </c>
      <c r="C42" s="67"/>
      <c r="D42" s="67"/>
      <c r="E42" s="79" t="str">
        <f aca="false">IFERROR(IF(OR(C42="",D42=""),"",IF(Dashboard!$K$5="L",IF(D42=0,"",C42/D42),IF(Dashboard!$K$5="R",IF(C42=0,"",D42/C42),IF(MAX(C42,D42)=0,"",MIN(C42,D42)/MAX(C42,D42))))),"")</f>
        <v/>
      </c>
      <c r="F42" s="67"/>
      <c r="G42" s="67"/>
      <c r="H42" s="79" t="str">
        <f aca="false">IFERROR(IF(OR(F42="",G42=""),"",IF(Dashboard!$K$5="L",IF(G42=0,"",F42/G42),IF(Dashboard!$K$5="R",IF(F42=0,"",G42/F42),IF(MAX(F42,G42)=0,"",MIN(F42,G42)/MAX(F42,G42))))),"")</f>
        <v/>
      </c>
      <c r="I42" s="67"/>
      <c r="J42" s="67"/>
      <c r="K42" s="79" t="str">
        <f aca="false">IFERROR(IF(OR(I42="",J42=""),"",IF(Dashboard!$K$5="L",IF(J42=0,"",I42/J42),IF(Dashboard!$K$5="R",IF(I42=0,"",J42/I42),IF(MAX(I42,J42)=0,"",MIN(I42,J42)/MAX(I42,J42))))),"")</f>
        <v/>
      </c>
      <c r="L42" s="67"/>
      <c r="M42" s="67"/>
      <c r="N42" s="79" t="str">
        <f aca="false">IFERROR(IF(OR(L42="",M42=""),"",IF(Dashboard!$K$5="L",IF(M42=0,"",L42/M42),IF(Dashboard!$K$5="R",IF(L42=0,"",M42/L42),IF(MAX(L42,M42)=0,"",MIN(L42,M42)/MAX(L42,M42))))),"")</f>
        <v/>
      </c>
      <c r="O42" s="67"/>
      <c r="P42" s="67"/>
      <c r="Q42" s="79" t="str">
        <f aca="false">IFERROR(IF(OR(O42="",P42=""),"",IF(Dashboard!$K$5="L",IF(P42=0,"",O42/P42),IF(Dashboard!$K$5="R",IF(O42=0,"",P42/O42),IF(MAX(O42,P42)=0,"",MIN(O42,P42)/MAX(O42,P42))))),"")</f>
        <v/>
      </c>
      <c r="R42" s="67"/>
      <c r="S42" s="67"/>
      <c r="T42" s="79" t="str">
        <f aca="false">IFERROR(IF(OR(R42="",S42=""),"",IF(Dashboard!$K$5="L",IF(S42=0,"",R42/S42),IF(Dashboard!$K$5="R",IF(R42=0,"",S42/R42),IF(MAX(R42,S42)=0,"",MIN(R42,S42)/MAX(R42,S42))))),"")</f>
        <v/>
      </c>
      <c r="U42" s="67"/>
      <c r="V42" s="67"/>
      <c r="W42" s="79" t="str">
        <f aca="false">IFERROR(IF(OR(U42="",V42=""),"",IF(Dashboard!$K$5="L",IF(V42=0,"",U42/V42),IF(Dashboard!$K$5="R",IF(U42=0,"",V42/U42),IF(MAX(U42,V42)=0,"",MIN(U42,V42)/MAX(U42,V42))))),"")</f>
        <v/>
      </c>
      <c r="X42" s="67"/>
      <c r="Y42" s="67"/>
      <c r="Z42" s="79" t="str">
        <f aca="false">IFERROR(IF(OR(X42="",Y42=""),"",IF(Dashboard!$K$5="L",IF(Y42=0,"",X42/Y42),IF(Dashboard!$K$5="R",IF(X42=0,"",Y42/X42),IF(MAX(X42,Y42)=0,"",MIN(X42,Y42)/MAX(X42,Y42))))),"")</f>
        <v/>
      </c>
      <c r="AA42" s="58"/>
    </row>
    <row r="43" customFormat="false" ht="15" hidden="false" customHeight="false" outlineLevel="0" collapsed="false">
      <c r="A43" s="56"/>
      <c r="B43" s="57" t="str">
        <f aca="false">IF(A43="","",IF(Dashboard!$L$5="","",INT((A43-Dashboard!$L$5)/7)+1))</f>
        <v/>
      </c>
      <c r="C43" s="67"/>
      <c r="D43" s="67"/>
      <c r="E43" s="79" t="str">
        <f aca="false">IFERROR(IF(OR(C43="",D43=""),"",IF(Dashboard!$K$5="L",IF(D43=0,"",C43/D43),IF(Dashboard!$K$5="R",IF(C43=0,"",D43/C43),IF(MAX(C43,D43)=0,"",MIN(C43,D43)/MAX(C43,D43))))),"")</f>
        <v/>
      </c>
      <c r="F43" s="67"/>
      <c r="G43" s="67"/>
      <c r="H43" s="79" t="str">
        <f aca="false">IFERROR(IF(OR(F43="",G43=""),"",IF(Dashboard!$K$5="L",IF(G43=0,"",F43/G43),IF(Dashboard!$K$5="R",IF(F43=0,"",G43/F43),IF(MAX(F43,G43)=0,"",MIN(F43,G43)/MAX(F43,G43))))),"")</f>
        <v/>
      </c>
      <c r="I43" s="67"/>
      <c r="J43" s="67"/>
      <c r="K43" s="79" t="str">
        <f aca="false">IFERROR(IF(OR(I43="",J43=""),"",IF(Dashboard!$K$5="L",IF(J43=0,"",I43/J43),IF(Dashboard!$K$5="R",IF(I43=0,"",J43/I43),IF(MAX(I43,J43)=0,"",MIN(I43,J43)/MAX(I43,J43))))),"")</f>
        <v/>
      </c>
      <c r="L43" s="67"/>
      <c r="M43" s="67"/>
      <c r="N43" s="79" t="str">
        <f aca="false">IFERROR(IF(OR(L43="",M43=""),"",IF(Dashboard!$K$5="L",IF(M43=0,"",L43/M43),IF(Dashboard!$K$5="R",IF(L43=0,"",M43/L43),IF(MAX(L43,M43)=0,"",MIN(L43,M43)/MAX(L43,M43))))),"")</f>
        <v/>
      </c>
      <c r="O43" s="67"/>
      <c r="P43" s="67"/>
      <c r="Q43" s="79" t="str">
        <f aca="false">IFERROR(IF(OR(O43="",P43=""),"",IF(Dashboard!$K$5="L",IF(P43=0,"",O43/P43),IF(Dashboard!$K$5="R",IF(O43=0,"",P43/O43),IF(MAX(O43,P43)=0,"",MIN(O43,P43)/MAX(O43,P43))))),"")</f>
        <v/>
      </c>
      <c r="R43" s="67"/>
      <c r="S43" s="67"/>
      <c r="T43" s="79" t="str">
        <f aca="false">IFERROR(IF(OR(R43="",S43=""),"",IF(Dashboard!$K$5="L",IF(S43=0,"",R43/S43),IF(Dashboard!$K$5="R",IF(R43=0,"",S43/R43),IF(MAX(R43,S43)=0,"",MIN(R43,S43)/MAX(R43,S43))))),"")</f>
        <v/>
      </c>
      <c r="U43" s="67"/>
      <c r="V43" s="67"/>
      <c r="W43" s="79" t="str">
        <f aca="false">IFERROR(IF(OR(U43="",V43=""),"",IF(Dashboard!$K$5="L",IF(V43=0,"",U43/V43),IF(Dashboard!$K$5="R",IF(U43=0,"",V43/U43),IF(MAX(U43,V43)=0,"",MIN(U43,V43)/MAX(U43,V43))))),"")</f>
        <v/>
      </c>
      <c r="X43" s="67"/>
      <c r="Y43" s="67"/>
      <c r="Z43" s="79" t="str">
        <f aca="false">IFERROR(IF(OR(X43="",Y43=""),"",IF(Dashboard!$K$5="L",IF(Y43=0,"",X43/Y43),IF(Dashboard!$K$5="R",IF(X43=0,"",Y43/X43),IF(MAX(X43,Y43)=0,"",MIN(X43,Y43)/MAX(X43,Y43))))),"")</f>
        <v/>
      </c>
      <c r="AA43" s="58"/>
    </row>
    <row r="44" customFormat="false" ht="15" hidden="false" customHeight="false" outlineLevel="0" collapsed="false">
      <c r="A44" s="56"/>
      <c r="B44" s="57" t="str">
        <f aca="false">IF(A44="","",IF(Dashboard!$L$5="","",INT((A44-Dashboard!$L$5)/7)+1))</f>
        <v/>
      </c>
      <c r="C44" s="67"/>
      <c r="D44" s="67"/>
      <c r="E44" s="79" t="str">
        <f aca="false">IFERROR(IF(OR(C44="",D44=""),"",IF(Dashboard!$K$5="L",IF(D44=0,"",C44/D44),IF(Dashboard!$K$5="R",IF(C44=0,"",D44/C44),IF(MAX(C44,D44)=0,"",MIN(C44,D44)/MAX(C44,D44))))),"")</f>
        <v/>
      </c>
      <c r="F44" s="67"/>
      <c r="G44" s="67"/>
      <c r="H44" s="79" t="str">
        <f aca="false">IFERROR(IF(OR(F44="",G44=""),"",IF(Dashboard!$K$5="L",IF(G44=0,"",F44/G44),IF(Dashboard!$K$5="R",IF(F44=0,"",G44/F44),IF(MAX(F44,G44)=0,"",MIN(F44,G44)/MAX(F44,G44))))),"")</f>
        <v/>
      </c>
      <c r="I44" s="67"/>
      <c r="J44" s="67"/>
      <c r="K44" s="79" t="str">
        <f aca="false">IFERROR(IF(OR(I44="",J44=""),"",IF(Dashboard!$K$5="L",IF(J44=0,"",I44/J44),IF(Dashboard!$K$5="R",IF(I44=0,"",J44/I44),IF(MAX(I44,J44)=0,"",MIN(I44,J44)/MAX(I44,J44))))),"")</f>
        <v/>
      </c>
      <c r="L44" s="67"/>
      <c r="M44" s="67"/>
      <c r="N44" s="79" t="str">
        <f aca="false">IFERROR(IF(OR(L44="",M44=""),"",IF(Dashboard!$K$5="L",IF(M44=0,"",L44/M44),IF(Dashboard!$K$5="R",IF(L44=0,"",M44/L44),IF(MAX(L44,M44)=0,"",MIN(L44,M44)/MAX(L44,M44))))),"")</f>
        <v/>
      </c>
      <c r="O44" s="67"/>
      <c r="P44" s="67"/>
      <c r="Q44" s="79" t="str">
        <f aca="false">IFERROR(IF(OR(O44="",P44=""),"",IF(Dashboard!$K$5="L",IF(P44=0,"",O44/P44),IF(Dashboard!$K$5="R",IF(O44=0,"",P44/O44),IF(MAX(O44,P44)=0,"",MIN(O44,P44)/MAX(O44,P44))))),"")</f>
        <v/>
      </c>
      <c r="R44" s="67"/>
      <c r="S44" s="67"/>
      <c r="T44" s="79" t="str">
        <f aca="false">IFERROR(IF(OR(R44="",S44=""),"",IF(Dashboard!$K$5="L",IF(S44=0,"",R44/S44),IF(Dashboard!$K$5="R",IF(R44=0,"",S44/R44),IF(MAX(R44,S44)=0,"",MIN(R44,S44)/MAX(R44,S44))))),"")</f>
        <v/>
      </c>
      <c r="U44" s="67"/>
      <c r="V44" s="67"/>
      <c r="W44" s="79" t="str">
        <f aca="false">IFERROR(IF(OR(U44="",V44=""),"",IF(Dashboard!$K$5="L",IF(V44=0,"",U44/V44),IF(Dashboard!$K$5="R",IF(U44=0,"",V44/U44),IF(MAX(U44,V44)=0,"",MIN(U44,V44)/MAX(U44,V44))))),"")</f>
        <v/>
      </c>
      <c r="X44" s="67"/>
      <c r="Y44" s="67"/>
      <c r="Z44" s="79" t="str">
        <f aca="false">IFERROR(IF(OR(X44="",Y44=""),"",IF(Dashboard!$K$5="L",IF(Y44=0,"",X44/Y44),IF(Dashboard!$K$5="R",IF(X44=0,"",Y44/X44),IF(MAX(X44,Y44)=0,"",MIN(X44,Y44)/MAX(X44,Y44))))),"")</f>
        <v/>
      </c>
      <c r="AA44" s="58"/>
    </row>
    <row r="45" customFormat="false" ht="15" hidden="false" customHeight="false" outlineLevel="0" collapsed="false">
      <c r="A45" s="56"/>
      <c r="B45" s="57" t="str">
        <f aca="false">IF(A45="","",IF(Dashboard!$L$5="","",INT((A45-Dashboard!$L$5)/7)+1))</f>
        <v/>
      </c>
      <c r="C45" s="67"/>
      <c r="D45" s="67"/>
      <c r="E45" s="79" t="str">
        <f aca="false">IFERROR(IF(OR(C45="",D45=""),"",IF(Dashboard!$K$5="L",IF(D45=0,"",C45/D45),IF(Dashboard!$K$5="R",IF(C45=0,"",D45/C45),IF(MAX(C45,D45)=0,"",MIN(C45,D45)/MAX(C45,D45))))),"")</f>
        <v/>
      </c>
      <c r="F45" s="67"/>
      <c r="G45" s="67"/>
      <c r="H45" s="79" t="str">
        <f aca="false">IFERROR(IF(OR(F45="",G45=""),"",IF(Dashboard!$K$5="L",IF(G45=0,"",F45/G45),IF(Dashboard!$K$5="R",IF(F45=0,"",G45/F45),IF(MAX(F45,G45)=0,"",MIN(F45,G45)/MAX(F45,G45))))),"")</f>
        <v/>
      </c>
      <c r="I45" s="67"/>
      <c r="J45" s="67"/>
      <c r="K45" s="79" t="str">
        <f aca="false">IFERROR(IF(OR(I45="",J45=""),"",IF(Dashboard!$K$5="L",IF(J45=0,"",I45/J45),IF(Dashboard!$K$5="R",IF(I45=0,"",J45/I45),IF(MAX(I45,J45)=0,"",MIN(I45,J45)/MAX(I45,J45))))),"")</f>
        <v/>
      </c>
      <c r="L45" s="67"/>
      <c r="M45" s="67"/>
      <c r="N45" s="79" t="str">
        <f aca="false">IFERROR(IF(OR(L45="",M45=""),"",IF(Dashboard!$K$5="L",IF(M45=0,"",L45/M45),IF(Dashboard!$K$5="R",IF(L45=0,"",M45/L45),IF(MAX(L45,M45)=0,"",MIN(L45,M45)/MAX(L45,M45))))),"")</f>
        <v/>
      </c>
      <c r="O45" s="67"/>
      <c r="P45" s="67"/>
      <c r="Q45" s="79" t="str">
        <f aca="false">IFERROR(IF(OR(O45="",P45=""),"",IF(Dashboard!$K$5="L",IF(P45=0,"",O45/P45),IF(Dashboard!$K$5="R",IF(O45=0,"",P45/O45),IF(MAX(O45,P45)=0,"",MIN(O45,P45)/MAX(O45,P45))))),"")</f>
        <v/>
      </c>
      <c r="R45" s="67"/>
      <c r="S45" s="67"/>
      <c r="T45" s="79" t="str">
        <f aca="false">IFERROR(IF(OR(R45="",S45=""),"",IF(Dashboard!$K$5="L",IF(S45=0,"",R45/S45),IF(Dashboard!$K$5="R",IF(R45=0,"",S45/R45),IF(MAX(R45,S45)=0,"",MIN(R45,S45)/MAX(R45,S45))))),"")</f>
        <v/>
      </c>
      <c r="U45" s="67"/>
      <c r="V45" s="67"/>
      <c r="W45" s="79" t="str">
        <f aca="false">IFERROR(IF(OR(U45="",V45=""),"",IF(Dashboard!$K$5="L",IF(V45=0,"",U45/V45),IF(Dashboard!$K$5="R",IF(U45=0,"",V45/U45),IF(MAX(U45,V45)=0,"",MIN(U45,V45)/MAX(U45,V45))))),"")</f>
        <v/>
      </c>
      <c r="X45" s="67"/>
      <c r="Y45" s="67"/>
      <c r="Z45" s="79" t="str">
        <f aca="false">IFERROR(IF(OR(X45="",Y45=""),"",IF(Dashboard!$K$5="L",IF(Y45=0,"",X45/Y45),IF(Dashboard!$K$5="R",IF(X45=0,"",Y45/X45),IF(MAX(X45,Y45)=0,"",MIN(X45,Y45)/MAX(X45,Y45))))),"")</f>
        <v/>
      </c>
      <c r="AA45" s="58"/>
    </row>
    <row r="46" customFormat="false" ht="15" hidden="false" customHeight="false" outlineLevel="0" collapsed="false">
      <c r="A46" s="56"/>
      <c r="B46" s="57" t="str">
        <f aca="false">IF(A46="","",IF(Dashboard!$L$5="","",INT((A46-Dashboard!$L$5)/7)+1))</f>
        <v/>
      </c>
      <c r="C46" s="67"/>
      <c r="D46" s="67"/>
      <c r="E46" s="79" t="str">
        <f aca="false">IFERROR(IF(OR(C46="",D46=""),"",IF(Dashboard!$K$5="L",IF(D46=0,"",C46/D46),IF(Dashboard!$K$5="R",IF(C46=0,"",D46/C46),IF(MAX(C46,D46)=0,"",MIN(C46,D46)/MAX(C46,D46))))),"")</f>
        <v/>
      </c>
      <c r="F46" s="67"/>
      <c r="G46" s="67"/>
      <c r="H46" s="79" t="str">
        <f aca="false">IFERROR(IF(OR(F46="",G46=""),"",IF(Dashboard!$K$5="L",IF(G46=0,"",F46/G46),IF(Dashboard!$K$5="R",IF(F46=0,"",G46/F46),IF(MAX(F46,G46)=0,"",MIN(F46,G46)/MAX(F46,G46))))),"")</f>
        <v/>
      </c>
      <c r="I46" s="67"/>
      <c r="J46" s="67"/>
      <c r="K46" s="79" t="str">
        <f aca="false">IFERROR(IF(OR(I46="",J46=""),"",IF(Dashboard!$K$5="L",IF(J46=0,"",I46/J46),IF(Dashboard!$K$5="R",IF(I46=0,"",J46/I46),IF(MAX(I46,J46)=0,"",MIN(I46,J46)/MAX(I46,J46))))),"")</f>
        <v/>
      </c>
      <c r="L46" s="67"/>
      <c r="M46" s="67"/>
      <c r="N46" s="79" t="str">
        <f aca="false">IFERROR(IF(OR(L46="",M46=""),"",IF(Dashboard!$K$5="L",IF(M46=0,"",L46/M46),IF(Dashboard!$K$5="R",IF(L46=0,"",M46/L46),IF(MAX(L46,M46)=0,"",MIN(L46,M46)/MAX(L46,M46))))),"")</f>
        <v/>
      </c>
      <c r="O46" s="67"/>
      <c r="P46" s="67"/>
      <c r="Q46" s="79" t="str">
        <f aca="false">IFERROR(IF(OR(O46="",P46=""),"",IF(Dashboard!$K$5="L",IF(P46=0,"",O46/P46),IF(Dashboard!$K$5="R",IF(O46=0,"",P46/O46),IF(MAX(O46,P46)=0,"",MIN(O46,P46)/MAX(O46,P46))))),"")</f>
        <v/>
      </c>
      <c r="R46" s="67"/>
      <c r="S46" s="67"/>
      <c r="T46" s="79" t="str">
        <f aca="false">IFERROR(IF(OR(R46="",S46=""),"",IF(Dashboard!$K$5="L",IF(S46=0,"",R46/S46),IF(Dashboard!$K$5="R",IF(R46=0,"",S46/R46),IF(MAX(R46,S46)=0,"",MIN(R46,S46)/MAX(R46,S46))))),"")</f>
        <v/>
      </c>
      <c r="U46" s="67"/>
      <c r="V46" s="67"/>
      <c r="W46" s="79" t="str">
        <f aca="false">IFERROR(IF(OR(U46="",V46=""),"",IF(Dashboard!$K$5="L",IF(V46=0,"",U46/V46),IF(Dashboard!$K$5="R",IF(U46=0,"",V46/U46),IF(MAX(U46,V46)=0,"",MIN(U46,V46)/MAX(U46,V46))))),"")</f>
        <v/>
      </c>
      <c r="X46" s="67"/>
      <c r="Y46" s="67"/>
      <c r="Z46" s="79" t="str">
        <f aca="false">IFERROR(IF(OR(X46="",Y46=""),"",IF(Dashboard!$K$5="L",IF(Y46=0,"",X46/Y46),IF(Dashboard!$K$5="R",IF(X46=0,"",Y46/X46),IF(MAX(X46,Y46)=0,"",MIN(X46,Y46)/MAX(X46,Y46))))),"")</f>
        <v/>
      </c>
      <c r="AA46" s="58"/>
    </row>
    <row r="47" customFormat="false" ht="15" hidden="false" customHeight="false" outlineLevel="0" collapsed="false">
      <c r="A47" s="56"/>
      <c r="B47" s="57" t="str">
        <f aca="false">IF(A47="","",IF(Dashboard!$L$5="","",INT((A47-Dashboard!$L$5)/7)+1))</f>
        <v/>
      </c>
      <c r="C47" s="67"/>
      <c r="D47" s="67"/>
      <c r="E47" s="79" t="str">
        <f aca="false">IFERROR(IF(OR(C47="",D47=""),"",IF(Dashboard!$K$5="L",IF(D47=0,"",C47/D47),IF(Dashboard!$K$5="R",IF(C47=0,"",D47/C47),IF(MAX(C47,D47)=0,"",MIN(C47,D47)/MAX(C47,D47))))),"")</f>
        <v/>
      </c>
      <c r="F47" s="67"/>
      <c r="G47" s="67"/>
      <c r="H47" s="79" t="str">
        <f aca="false">IFERROR(IF(OR(F47="",G47=""),"",IF(Dashboard!$K$5="L",IF(G47=0,"",F47/G47),IF(Dashboard!$K$5="R",IF(F47=0,"",G47/F47),IF(MAX(F47,G47)=0,"",MIN(F47,G47)/MAX(F47,G47))))),"")</f>
        <v/>
      </c>
      <c r="I47" s="67"/>
      <c r="J47" s="67"/>
      <c r="K47" s="79" t="str">
        <f aca="false">IFERROR(IF(OR(I47="",J47=""),"",IF(Dashboard!$K$5="L",IF(J47=0,"",I47/J47),IF(Dashboard!$K$5="R",IF(I47=0,"",J47/I47),IF(MAX(I47,J47)=0,"",MIN(I47,J47)/MAX(I47,J47))))),"")</f>
        <v/>
      </c>
      <c r="L47" s="67"/>
      <c r="M47" s="67"/>
      <c r="N47" s="79" t="str">
        <f aca="false">IFERROR(IF(OR(L47="",M47=""),"",IF(Dashboard!$K$5="L",IF(M47=0,"",L47/M47),IF(Dashboard!$K$5="R",IF(L47=0,"",M47/L47),IF(MAX(L47,M47)=0,"",MIN(L47,M47)/MAX(L47,M47))))),"")</f>
        <v/>
      </c>
      <c r="O47" s="67"/>
      <c r="P47" s="67"/>
      <c r="Q47" s="79" t="str">
        <f aca="false">IFERROR(IF(OR(O47="",P47=""),"",IF(Dashboard!$K$5="L",IF(P47=0,"",O47/P47),IF(Dashboard!$K$5="R",IF(O47=0,"",P47/O47),IF(MAX(O47,P47)=0,"",MIN(O47,P47)/MAX(O47,P47))))),"")</f>
        <v/>
      </c>
      <c r="R47" s="67"/>
      <c r="S47" s="67"/>
      <c r="T47" s="79" t="str">
        <f aca="false">IFERROR(IF(OR(R47="",S47=""),"",IF(Dashboard!$K$5="L",IF(S47=0,"",R47/S47),IF(Dashboard!$K$5="R",IF(R47=0,"",S47/R47),IF(MAX(R47,S47)=0,"",MIN(R47,S47)/MAX(R47,S47))))),"")</f>
        <v/>
      </c>
      <c r="U47" s="67"/>
      <c r="V47" s="67"/>
      <c r="W47" s="79" t="str">
        <f aca="false">IFERROR(IF(OR(U47="",V47=""),"",IF(Dashboard!$K$5="L",IF(V47=0,"",U47/V47),IF(Dashboard!$K$5="R",IF(U47=0,"",V47/U47),IF(MAX(U47,V47)=0,"",MIN(U47,V47)/MAX(U47,V47))))),"")</f>
        <v/>
      </c>
      <c r="X47" s="67"/>
      <c r="Y47" s="67"/>
      <c r="Z47" s="79" t="str">
        <f aca="false">IFERROR(IF(OR(X47="",Y47=""),"",IF(Dashboard!$K$5="L",IF(Y47=0,"",X47/Y47),IF(Dashboard!$K$5="R",IF(X47=0,"",Y47/X47),IF(MAX(X47,Y47)=0,"",MIN(X47,Y47)/MAX(X47,Y47))))),"")</f>
        <v/>
      </c>
      <c r="AA47" s="58"/>
    </row>
    <row r="48" customFormat="false" ht="18" hidden="false" customHeight="true" outlineLevel="0" collapsed="false">
      <c r="A48" s="77" t="s">
        <v>151</v>
      </c>
      <c r="B48" s="77"/>
      <c r="C48" s="77" t="str">
        <f aca="false">IF(COUNT(C36:C47)=0,"",INDEX(C36:C47,SUMPRODUCT(MAX(ISNUMBER(C36:C47)*(($A$36:$A$47)=SUMPRODUCT(MAX(ISNUMBER(C36:C47)*($A$36:$A$47))))*(ROW(C36:C47)-ROW(C$36)+1)))))</f>
        <v/>
      </c>
      <c r="D48" s="77" t="str">
        <f aca="false">IF(COUNT(D36:D47)=0,"",INDEX(D36:D47,SUMPRODUCT(MAX(ISNUMBER(D36:D47)*(($A$36:$A$47)=SUMPRODUCT(MAX(ISNUMBER(D36:D47)*($A$36:$A$47))))*(ROW(D36:D47)-ROW(D$36)+1)))))</f>
        <v/>
      </c>
      <c r="E48" s="80" t="str">
        <f aca="false">IF(COUNT(E36:E47)=0,"",INDEX(E36:E47,SUMPRODUCT(MAX(ISNUMBER(E36:E47)*(($A$36:$A$47)=SUMPRODUCT(MAX(ISNUMBER(E36:E47)*($A$36:$A$47))))*(ROW(E36:E47)-ROW(E$36)+1)))))</f>
        <v/>
      </c>
      <c r="F48" s="77" t="str">
        <f aca="false">IF(COUNT(F36:F47)=0,"",INDEX(F36:F47,SUMPRODUCT(MAX(ISNUMBER(F36:F47)*(($A$36:$A$47)=SUMPRODUCT(MAX(ISNUMBER(F36:F47)*($A$36:$A$47))))*(ROW(F36:F47)-ROW(F$36)+1)))))</f>
        <v/>
      </c>
      <c r="G48" s="77" t="str">
        <f aca="false">IF(COUNT(G36:G47)=0,"",INDEX(G36:G47,SUMPRODUCT(MAX(ISNUMBER(G36:G47)*(($A$36:$A$47)=SUMPRODUCT(MAX(ISNUMBER(G36:G47)*($A$36:$A$47))))*(ROW(G36:G47)-ROW(G$36)+1)))))</f>
        <v/>
      </c>
      <c r="H48" s="80" t="str">
        <f aca="false">IF(COUNT(H36:H47)=0,"",INDEX(H36:H47,SUMPRODUCT(MAX(ISNUMBER(H36:H47)*(($A$36:$A$47)=SUMPRODUCT(MAX(ISNUMBER(H36:H47)*($A$36:$A$47))))*(ROW(H36:H47)-ROW(H$36)+1)))))</f>
        <v/>
      </c>
      <c r="I48" s="77" t="str">
        <f aca="false">IF(COUNT(I36:I47)=0,"",INDEX(I36:I47,SUMPRODUCT(MAX(ISNUMBER(I36:I47)*(($A$36:$A$47)=SUMPRODUCT(MAX(ISNUMBER(I36:I47)*($A$36:$A$47))))*(ROW(I36:I47)-ROW(I$36)+1)))))</f>
        <v/>
      </c>
      <c r="J48" s="77" t="str">
        <f aca="false">IF(COUNT(J36:J47)=0,"",INDEX(J36:J47,SUMPRODUCT(MAX(ISNUMBER(J36:J47)*(($A$36:$A$47)=SUMPRODUCT(MAX(ISNUMBER(J36:J47)*($A$36:$A$47))))*(ROW(J36:J47)-ROW(J$36)+1)))))</f>
        <v/>
      </c>
      <c r="K48" s="80" t="str">
        <f aca="false">IF(COUNT(K36:K47)=0,"",INDEX(K36:K47,SUMPRODUCT(MAX(ISNUMBER(K36:K47)*(($A$36:$A$47)=SUMPRODUCT(MAX(ISNUMBER(K36:K47)*($A$36:$A$47))))*(ROW(K36:K47)-ROW(K$36)+1)))))</f>
        <v/>
      </c>
      <c r="L48" s="77" t="str">
        <f aca="false">IF(COUNT(L36:L47)=0,"",INDEX(L36:L47,SUMPRODUCT(MAX(ISNUMBER(L36:L47)*(($A$36:$A$47)=SUMPRODUCT(MAX(ISNUMBER(L36:L47)*($A$36:$A$47))))*(ROW(L36:L47)-ROW(L$36)+1)))))</f>
        <v/>
      </c>
      <c r="M48" s="77" t="str">
        <f aca="false">IF(COUNT(M36:M47)=0,"",INDEX(M36:M47,SUMPRODUCT(MAX(ISNUMBER(M36:M47)*(($A$36:$A$47)=SUMPRODUCT(MAX(ISNUMBER(M36:M47)*($A$36:$A$47))))*(ROW(M36:M47)-ROW(M$36)+1)))))</f>
        <v/>
      </c>
      <c r="N48" s="80" t="str">
        <f aca="false">IF(COUNT(N36:N47)=0,"",INDEX(N36:N47,SUMPRODUCT(MAX(ISNUMBER(N36:N47)*(($A$36:$A$47)=SUMPRODUCT(MAX(ISNUMBER(N36:N47)*($A$36:$A$47))))*(ROW(N36:N47)-ROW(N$36)+1)))))</f>
        <v/>
      </c>
      <c r="O48" s="77" t="str">
        <f aca="false">IF(COUNT(O36:O47)=0,"",INDEX(O36:O47,SUMPRODUCT(MAX(ISNUMBER(O36:O47)*(($A$36:$A$47)=SUMPRODUCT(MAX(ISNUMBER(O36:O47)*($A$36:$A$47))))*(ROW(O36:O47)-ROW(O$36)+1)))))</f>
        <v/>
      </c>
      <c r="P48" s="77" t="str">
        <f aca="false">IF(COUNT(P36:P47)=0,"",INDEX(P36:P47,SUMPRODUCT(MAX(ISNUMBER(P36:P47)*(($A$36:$A$47)=SUMPRODUCT(MAX(ISNUMBER(P36:P47)*($A$36:$A$47))))*(ROW(P36:P47)-ROW(P$36)+1)))))</f>
        <v/>
      </c>
      <c r="Q48" s="80" t="str">
        <f aca="false">IF(COUNT(Q36:Q47)=0,"",INDEX(Q36:Q47,SUMPRODUCT(MAX(ISNUMBER(Q36:Q47)*(($A$36:$A$47)=SUMPRODUCT(MAX(ISNUMBER(Q36:Q47)*($A$36:$A$47))))*(ROW(Q36:Q47)-ROW(Q$36)+1)))))</f>
        <v/>
      </c>
      <c r="R48" s="77" t="str">
        <f aca="false">IF(COUNT(R36:R47)=0,"",INDEX(R36:R47,SUMPRODUCT(MAX(ISNUMBER(R36:R47)*(($A$36:$A$47)=SUMPRODUCT(MAX(ISNUMBER(R36:R47)*($A$36:$A$47))))*(ROW(R36:R47)-ROW(R$36)+1)))))</f>
        <v/>
      </c>
      <c r="S48" s="77" t="str">
        <f aca="false">IF(COUNT(S36:S47)=0,"",INDEX(S36:S47,SUMPRODUCT(MAX(ISNUMBER(S36:S47)*(($A$36:$A$47)=SUMPRODUCT(MAX(ISNUMBER(S36:S47)*($A$36:$A$47))))*(ROW(S36:S47)-ROW(S$36)+1)))))</f>
        <v/>
      </c>
      <c r="T48" s="80" t="str">
        <f aca="false">IF(COUNT(T36:T47)=0,"",INDEX(T36:T47,SUMPRODUCT(MAX(ISNUMBER(T36:T47)*(($A$36:$A$47)=SUMPRODUCT(MAX(ISNUMBER(T36:T47)*($A$36:$A$47))))*(ROW(T36:T47)-ROW(T$36)+1)))))</f>
        <v/>
      </c>
      <c r="U48" s="77" t="str">
        <f aca="false">IF(COUNT(U36:U47)=0,"",INDEX(U36:U47,SUMPRODUCT(MAX(ISNUMBER(U36:U47)*(($A$36:$A$47)=SUMPRODUCT(MAX(ISNUMBER(U36:U47)*($A$36:$A$47))))*(ROW(U36:U47)-ROW(U$36)+1)))))</f>
        <v/>
      </c>
      <c r="V48" s="77" t="str">
        <f aca="false">IF(COUNT(V36:V47)=0,"",INDEX(V36:V47,SUMPRODUCT(MAX(ISNUMBER(V36:V47)*(($A$36:$A$47)=SUMPRODUCT(MAX(ISNUMBER(V36:V47)*($A$36:$A$47))))*(ROW(V36:V47)-ROW(V$36)+1)))))</f>
        <v/>
      </c>
      <c r="W48" s="80" t="str">
        <f aca="false">IF(COUNT(W36:W47)=0,"",INDEX(W36:W47,SUMPRODUCT(MAX(ISNUMBER(W36:W47)*(($A$36:$A$47)=SUMPRODUCT(MAX(ISNUMBER(W36:W47)*($A$36:$A$47))))*(ROW(W36:W47)-ROW(W$36)+1)))))</f>
        <v/>
      </c>
      <c r="X48" s="77" t="str">
        <f aca="false">IF(COUNT(X36:X47)=0,"",INDEX(X36:X47,SUMPRODUCT(MAX(ISNUMBER(X36:X47)*(($A$36:$A$47)=SUMPRODUCT(MAX(ISNUMBER(X36:X47)*($A$36:$A$47))))*(ROW(X36:X47)-ROW(X$36)+1)))))</f>
        <v/>
      </c>
      <c r="Y48" s="77" t="str">
        <f aca="false">IF(COUNT(Y36:Y47)=0,"",INDEX(Y36:Y47,SUMPRODUCT(MAX(ISNUMBER(Y36:Y47)*(($A$36:$A$47)=SUMPRODUCT(MAX(ISNUMBER(Y36:Y47)*($A$36:$A$47))))*(ROW(Y36:Y47)-ROW(Y$36)+1)))))</f>
        <v/>
      </c>
      <c r="Z48" s="80" t="str">
        <f aca="false">IF(COUNT(Z36:Z47)=0,"",INDEX(Z36:Z47,SUMPRODUCT(MAX(ISNUMBER(Z36:Z47)*(($A$36:$A$47)=SUMPRODUCT(MAX(ISNUMBER(Z36:Z47)*($A$36:$A$47))))*(ROW(Z36:Z47)-ROW(Z$36)+1)))))</f>
        <v/>
      </c>
      <c r="AA48" s="81" t="s">
        <v>152</v>
      </c>
    </row>
    <row r="49" customFormat="false" ht="15" hidden="false" customHeight="true" outlineLevel="0" collapsed="false">
      <c r="A49" s="65" t="s">
        <v>153</v>
      </c>
      <c r="B49" s="65"/>
      <c r="C49" s="70" t="str">
        <f aca="false">IF(OR(COUNT(C36:C47)=0,SUMPRODUCT(MAX(ISNUMBER(C36:C47)*($A$36:$A$47)))=0),"",SUMPRODUCT(MAX(ISNUMBER(C36:C47)*($A$36:$A$47))))</f>
        <v/>
      </c>
      <c r="D49" s="70"/>
      <c r="E49" s="70"/>
      <c r="F49" s="70" t="str">
        <f aca="false">IF(OR(COUNT(F36:F47)=0,SUMPRODUCT(MAX(ISNUMBER(F36:F47)*($A$36:$A$47)))=0),"",SUMPRODUCT(MAX(ISNUMBER(F36:F47)*($A$36:$A$47))))</f>
        <v/>
      </c>
      <c r="G49" s="70"/>
      <c r="H49" s="70"/>
      <c r="I49" s="70" t="str">
        <f aca="false">IF(OR(COUNT(I36:I47)=0,SUMPRODUCT(MAX(ISNUMBER(I36:I47)*($A$36:$A$47)))=0),"",SUMPRODUCT(MAX(ISNUMBER(I36:I47)*($A$36:$A$47))))</f>
        <v/>
      </c>
      <c r="J49" s="70"/>
      <c r="K49" s="70"/>
      <c r="L49" s="70" t="str">
        <f aca="false">IF(OR(COUNT(L36:L47)=0,SUMPRODUCT(MAX(ISNUMBER(L36:L47)*($A$36:$A$47)))=0),"",SUMPRODUCT(MAX(ISNUMBER(L36:L47)*($A$36:$A$47))))</f>
        <v/>
      </c>
      <c r="M49" s="70"/>
      <c r="N49" s="70"/>
      <c r="O49" s="70" t="str">
        <f aca="false">IF(OR(COUNT(O36:O47)=0,SUMPRODUCT(MAX(ISNUMBER(O36:O47)*($A$36:$A$47)))=0),"",SUMPRODUCT(MAX(ISNUMBER(O36:O47)*($A$36:$A$47))))</f>
        <v/>
      </c>
      <c r="P49" s="70"/>
      <c r="Q49" s="70"/>
      <c r="R49" s="70" t="str">
        <f aca="false">IF(OR(COUNT(R36:R47)=0,SUMPRODUCT(MAX(ISNUMBER(R36:R47)*($A$36:$A$47)))=0),"",SUMPRODUCT(MAX(ISNUMBER(R36:R47)*($A$36:$A$47))))</f>
        <v/>
      </c>
      <c r="S49" s="70"/>
      <c r="T49" s="70"/>
      <c r="U49" s="70" t="str">
        <f aca="false">IF(OR(COUNT(U36:U47)=0,SUMPRODUCT(MAX(ISNUMBER(U36:U47)*($A$36:$A$47)))=0),"",SUMPRODUCT(MAX(ISNUMBER(U36:U47)*($A$36:$A$47))))</f>
        <v/>
      </c>
      <c r="V49" s="70"/>
      <c r="W49" s="70"/>
      <c r="X49" s="70" t="str">
        <f aca="false">IF(OR(COUNT(X36:X47)=0,SUMPRODUCT(MAX(ISNUMBER(X36:X47)*($A$36:$A$47)))=0),"",SUMPRODUCT(MAX(ISNUMBER(X36:X47)*($A$36:$A$47))))</f>
        <v/>
      </c>
      <c r="Y49" s="70"/>
      <c r="Z49" s="70"/>
      <c r="AA49" s="82"/>
    </row>
    <row r="51" customFormat="false" ht="19.5" hidden="false" customHeight="true" outlineLevel="0" collapsed="false">
      <c r="A51" s="62" t="s">
        <v>276</v>
      </c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</row>
    <row r="52" customFormat="false" ht="31.5" hidden="false" customHeight="true" outlineLevel="0" collapsed="false">
      <c r="A52" s="55" t="s">
        <v>52</v>
      </c>
      <c r="B52" s="55" t="s">
        <v>75</v>
      </c>
      <c r="C52" s="77" t="s">
        <v>261</v>
      </c>
      <c r="D52" s="77"/>
      <c r="E52" s="77"/>
      <c r="F52" s="77" t="s">
        <v>263</v>
      </c>
      <c r="G52" s="77"/>
      <c r="H52" s="77"/>
      <c r="I52" s="77" t="s">
        <v>266</v>
      </c>
      <c r="J52" s="77"/>
      <c r="K52" s="77"/>
      <c r="L52" s="77" t="s">
        <v>270</v>
      </c>
      <c r="M52" s="77"/>
      <c r="N52" s="77"/>
      <c r="O52" s="78" t="s">
        <v>150</v>
      </c>
      <c r="P52" s="78"/>
      <c r="Q52" s="78"/>
      <c r="R52" s="78" t="s">
        <v>150</v>
      </c>
      <c r="S52" s="78"/>
      <c r="T52" s="78"/>
      <c r="U52" s="78" t="s">
        <v>150</v>
      </c>
      <c r="V52" s="78"/>
      <c r="W52" s="78"/>
      <c r="X52" s="78" t="s">
        <v>150</v>
      </c>
      <c r="Y52" s="78"/>
      <c r="Z52" s="78"/>
      <c r="AA52" s="55" t="s">
        <v>84</v>
      </c>
    </row>
    <row r="53" customFormat="false" ht="15.75" hidden="false" customHeight="true" outlineLevel="0" collapsed="false">
      <c r="A53" s="55"/>
      <c r="B53" s="55"/>
      <c r="C53" s="55" t="s">
        <v>12</v>
      </c>
      <c r="D53" s="55" t="s">
        <v>49</v>
      </c>
      <c r="E53" s="55" t="s">
        <v>50</v>
      </c>
      <c r="F53" s="55" t="s">
        <v>12</v>
      </c>
      <c r="G53" s="55" t="s">
        <v>49</v>
      </c>
      <c r="H53" s="55" t="s">
        <v>50</v>
      </c>
      <c r="I53" s="55" t="s">
        <v>12</v>
      </c>
      <c r="J53" s="55" t="s">
        <v>49</v>
      </c>
      <c r="K53" s="55" t="s">
        <v>50</v>
      </c>
      <c r="L53" s="55" t="s">
        <v>12</v>
      </c>
      <c r="M53" s="55" t="s">
        <v>49</v>
      </c>
      <c r="N53" s="55" t="s">
        <v>50</v>
      </c>
      <c r="O53" s="55" t="s">
        <v>12</v>
      </c>
      <c r="P53" s="55" t="s">
        <v>49</v>
      </c>
      <c r="Q53" s="55" t="s">
        <v>50</v>
      </c>
      <c r="R53" s="55" t="s">
        <v>12</v>
      </c>
      <c r="S53" s="55" t="s">
        <v>49</v>
      </c>
      <c r="T53" s="55" t="s">
        <v>50</v>
      </c>
      <c r="U53" s="55" t="s">
        <v>12</v>
      </c>
      <c r="V53" s="55" t="s">
        <v>49</v>
      </c>
      <c r="W53" s="55" t="s">
        <v>50</v>
      </c>
      <c r="X53" s="55" t="s">
        <v>12</v>
      </c>
      <c r="Y53" s="55" t="s">
        <v>49</v>
      </c>
      <c r="Z53" s="55" t="s">
        <v>50</v>
      </c>
      <c r="AA53" s="55"/>
    </row>
    <row r="54" customFormat="false" ht="15" hidden="false" customHeight="false" outlineLevel="0" collapsed="false">
      <c r="A54" s="56"/>
      <c r="B54" s="57" t="str">
        <f aca="false">IF(A54="","",IF(Dashboard!$L$5="","",INT((A54-Dashboard!$L$5)/7)+1))</f>
        <v/>
      </c>
      <c r="C54" s="67"/>
      <c r="D54" s="67"/>
      <c r="E54" s="79" t="str">
        <f aca="false">IFERROR(IF(OR(C54="",D54=""),"",IF(Dashboard!$K$5="L",IF(D54=0,"",C54/D54),IF(Dashboard!$K$5="R",IF(C54=0,"",D54/C54),IF(MAX(C54,D54)=0,"",MIN(C54,D54)/MAX(C54,D54))))),"")</f>
        <v/>
      </c>
      <c r="F54" s="67"/>
      <c r="G54" s="67"/>
      <c r="H54" s="79" t="str">
        <f aca="false">IFERROR(IF(OR(F54="",G54=""),"",IF(Dashboard!$K$5="L",IF(G54=0,"",F54/G54),IF(Dashboard!$K$5="R",IF(F54=0,"",G54/F54),IF(MAX(F54,G54)=0,"",MIN(F54,G54)/MAX(F54,G54))))),"")</f>
        <v/>
      </c>
      <c r="I54" s="67"/>
      <c r="J54" s="67"/>
      <c r="K54" s="79" t="str">
        <f aca="false">IFERROR(IF(OR(I54="",J54=""),"",IF(Dashboard!$K$5="L",IF(J54=0,"",I54/J54),IF(Dashboard!$K$5="R",IF(I54=0,"",J54/I54),IF(MAX(I54,J54)=0,"",MIN(I54,J54)/MAX(I54,J54))))),"")</f>
        <v/>
      </c>
      <c r="L54" s="67"/>
      <c r="M54" s="67"/>
      <c r="N54" s="79" t="str">
        <f aca="false">IFERROR(IF(OR(L54="",M54=""),"",IF(Dashboard!$K$5="L",IF(M54=0,"",L54/M54),IF(Dashboard!$K$5="R",IF(L54=0,"",M54/L54),IF(MAX(L54,M54)=0,"",MIN(L54,M54)/MAX(L54,M54))))),"")</f>
        <v/>
      </c>
      <c r="O54" s="67"/>
      <c r="P54" s="67"/>
      <c r="Q54" s="79" t="str">
        <f aca="false">IFERROR(IF(OR(O54="",P54=""),"",IF(Dashboard!$K$5="L",IF(P54=0,"",O54/P54),IF(Dashboard!$K$5="R",IF(O54=0,"",P54/O54),IF(MAX(O54,P54)=0,"",MIN(O54,P54)/MAX(O54,P54))))),"")</f>
        <v/>
      </c>
      <c r="R54" s="67"/>
      <c r="S54" s="67"/>
      <c r="T54" s="79" t="str">
        <f aca="false">IFERROR(IF(OR(R54="",S54=""),"",IF(Dashboard!$K$5="L",IF(S54=0,"",R54/S54),IF(Dashboard!$K$5="R",IF(R54=0,"",S54/R54),IF(MAX(R54,S54)=0,"",MIN(R54,S54)/MAX(R54,S54))))),"")</f>
        <v/>
      </c>
      <c r="U54" s="67"/>
      <c r="V54" s="67"/>
      <c r="W54" s="79" t="str">
        <f aca="false">IFERROR(IF(OR(U54="",V54=""),"",IF(Dashboard!$K$5="L",IF(V54=0,"",U54/V54),IF(Dashboard!$K$5="R",IF(U54=0,"",V54/U54),IF(MAX(U54,V54)=0,"",MIN(U54,V54)/MAX(U54,V54))))),"")</f>
        <v/>
      </c>
      <c r="X54" s="67"/>
      <c r="Y54" s="67"/>
      <c r="Z54" s="79" t="str">
        <f aca="false">IFERROR(IF(OR(X54="",Y54=""),"",IF(Dashboard!$K$5="L",IF(Y54=0,"",X54/Y54),IF(Dashboard!$K$5="R",IF(X54=0,"",Y54/X54),IF(MAX(X54,Y54)=0,"",MIN(X54,Y54)/MAX(X54,Y54))))),"")</f>
        <v/>
      </c>
      <c r="AA54" s="58"/>
    </row>
    <row r="55" customFormat="false" ht="15" hidden="false" customHeight="false" outlineLevel="0" collapsed="false">
      <c r="A55" s="56"/>
      <c r="B55" s="57" t="str">
        <f aca="false">IF(A55="","",IF(Dashboard!$L$5="","",INT((A55-Dashboard!$L$5)/7)+1))</f>
        <v/>
      </c>
      <c r="C55" s="67"/>
      <c r="D55" s="67"/>
      <c r="E55" s="79" t="str">
        <f aca="false">IFERROR(IF(OR(C55="",D55=""),"",IF(Dashboard!$K$5="L",IF(D55=0,"",C55/D55),IF(Dashboard!$K$5="R",IF(C55=0,"",D55/C55),IF(MAX(C55,D55)=0,"",MIN(C55,D55)/MAX(C55,D55))))),"")</f>
        <v/>
      </c>
      <c r="F55" s="67"/>
      <c r="G55" s="67"/>
      <c r="H55" s="79" t="str">
        <f aca="false">IFERROR(IF(OR(F55="",G55=""),"",IF(Dashboard!$K$5="L",IF(G55=0,"",F55/G55),IF(Dashboard!$K$5="R",IF(F55=0,"",G55/F55),IF(MAX(F55,G55)=0,"",MIN(F55,G55)/MAX(F55,G55))))),"")</f>
        <v/>
      </c>
      <c r="I55" s="67"/>
      <c r="J55" s="67"/>
      <c r="K55" s="79" t="str">
        <f aca="false">IFERROR(IF(OR(I55="",J55=""),"",IF(Dashboard!$K$5="L",IF(J55=0,"",I55/J55),IF(Dashboard!$K$5="R",IF(I55=0,"",J55/I55),IF(MAX(I55,J55)=0,"",MIN(I55,J55)/MAX(I55,J55))))),"")</f>
        <v/>
      </c>
      <c r="L55" s="67"/>
      <c r="M55" s="67"/>
      <c r="N55" s="79" t="str">
        <f aca="false">IFERROR(IF(OR(L55="",M55=""),"",IF(Dashboard!$K$5="L",IF(M55=0,"",L55/M55),IF(Dashboard!$K$5="R",IF(L55=0,"",M55/L55),IF(MAX(L55,M55)=0,"",MIN(L55,M55)/MAX(L55,M55))))),"")</f>
        <v/>
      </c>
      <c r="O55" s="67"/>
      <c r="P55" s="67"/>
      <c r="Q55" s="79" t="str">
        <f aca="false">IFERROR(IF(OR(O55="",P55=""),"",IF(Dashboard!$K$5="L",IF(P55=0,"",O55/P55),IF(Dashboard!$K$5="R",IF(O55=0,"",P55/O55),IF(MAX(O55,P55)=0,"",MIN(O55,P55)/MAX(O55,P55))))),"")</f>
        <v/>
      </c>
      <c r="R55" s="67"/>
      <c r="S55" s="67"/>
      <c r="T55" s="79" t="str">
        <f aca="false">IFERROR(IF(OR(R55="",S55=""),"",IF(Dashboard!$K$5="L",IF(S55=0,"",R55/S55),IF(Dashboard!$K$5="R",IF(R55=0,"",S55/R55),IF(MAX(R55,S55)=0,"",MIN(R55,S55)/MAX(R55,S55))))),"")</f>
        <v/>
      </c>
      <c r="U55" s="67"/>
      <c r="V55" s="67"/>
      <c r="W55" s="79" t="str">
        <f aca="false">IFERROR(IF(OR(U55="",V55=""),"",IF(Dashboard!$K$5="L",IF(V55=0,"",U55/V55),IF(Dashboard!$K$5="R",IF(U55=0,"",V55/U55),IF(MAX(U55,V55)=0,"",MIN(U55,V55)/MAX(U55,V55))))),"")</f>
        <v/>
      </c>
      <c r="X55" s="67"/>
      <c r="Y55" s="67"/>
      <c r="Z55" s="79" t="str">
        <f aca="false">IFERROR(IF(OR(X55="",Y55=""),"",IF(Dashboard!$K$5="L",IF(Y55=0,"",X55/Y55),IF(Dashboard!$K$5="R",IF(X55=0,"",Y55/X55),IF(MAX(X55,Y55)=0,"",MIN(X55,Y55)/MAX(X55,Y55))))),"")</f>
        <v/>
      </c>
      <c r="AA55" s="58"/>
    </row>
    <row r="56" customFormat="false" ht="15" hidden="false" customHeight="false" outlineLevel="0" collapsed="false">
      <c r="A56" s="56"/>
      <c r="B56" s="57" t="str">
        <f aca="false">IF(A56="","",IF(Dashboard!$L$5="","",INT((A56-Dashboard!$L$5)/7)+1))</f>
        <v/>
      </c>
      <c r="C56" s="67"/>
      <c r="D56" s="67"/>
      <c r="E56" s="79" t="str">
        <f aca="false">IFERROR(IF(OR(C56="",D56=""),"",IF(Dashboard!$K$5="L",IF(D56=0,"",C56/D56),IF(Dashboard!$K$5="R",IF(C56=0,"",D56/C56),IF(MAX(C56,D56)=0,"",MIN(C56,D56)/MAX(C56,D56))))),"")</f>
        <v/>
      </c>
      <c r="F56" s="67"/>
      <c r="G56" s="67"/>
      <c r="H56" s="79" t="str">
        <f aca="false">IFERROR(IF(OR(F56="",G56=""),"",IF(Dashboard!$K$5="L",IF(G56=0,"",F56/G56),IF(Dashboard!$K$5="R",IF(F56=0,"",G56/F56),IF(MAX(F56,G56)=0,"",MIN(F56,G56)/MAX(F56,G56))))),"")</f>
        <v/>
      </c>
      <c r="I56" s="67"/>
      <c r="J56" s="67"/>
      <c r="K56" s="79" t="str">
        <f aca="false">IFERROR(IF(OR(I56="",J56=""),"",IF(Dashboard!$K$5="L",IF(J56=0,"",I56/J56),IF(Dashboard!$K$5="R",IF(I56=0,"",J56/I56),IF(MAX(I56,J56)=0,"",MIN(I56,J56)/MAX(I56,J56))))),"")</f>
        <v/>
      </c>
      <c r="L56" s="67"/>
      <c r="M56" s="67"/>
      <c r="N56" s="79" t="str">
        <f aca="false">IFERROR(IF(OR(L56="",M56=""),"",IF(Dashboard!$K$5="L",IF(M56=0,"",L56/M56),IF(Dashboard!$K$5="R",IF(L56=0,"",M56/L56),IF(MAX(L56,M56)=0,"",MIN(L56,M56)/MAX(L56,M56))))),"")</f>
        <v/>
      </c>
      <c r="O56" s="67"/>
      <c r="P56" s="67"/>
      <c r="Q56" s="79" t="str">
        <f aca="false">IFERROR(IF(OR(O56="",P56=""),"",IF(Dashboard!$K$5="L",IF(P56=0,"",O56/P56),IF(Dashboard!$K$5="R",IF(O56=0,"",P56/O56),IF(MAX(O56,P56)=0,"",MIN(O56,P56)/MAX(O56,P56))))),"")</f>
        <v/>
      </c>
      <c r="R56" s="67"/>
      <c r="S56" s="67"/>
      <c r="T56" s="79" t="str">
        <f aca="false">IFERROR(IF(OR(R56="",S56=""),"",IF(Dashboard!$K$5="L",IF(S56=0,"",R56/S56),IF(Dashboard!$K$5="R",IF(R56=0,"",S56/R56),IF(MAX(R56,S56)=0,"",MIN(R56,S56)/MAX(R56,S56))))),"")</f>
        <v/>
      </c>
      <c r="U56" s="67"/>
      <c r="V56" s="67"/>
      <c r="W56" s="79" t="str">
        <f aca="false">IFERROR(IF(OR(U56="",V56=""),"",IF(Dashboard!$K$5="L",IF(V56=0,"",U56/V56),IF(Dashboard!$K$5="R",IF(U56=0,"",V56/U56),IF(MAX(U56,V56)=0,"",MIN(U56,V56)/MAX(U56,V56))))),"")</f>
        <v/>
      </c>
      <c r="X56" s="67"/>
      <c r="Y56" s="67"/>
      <c r="Z56" s="79" t="str">
        <f aca="false">IFERROR(IF(OR(X56="",Y56=""),"",IF(Dashboard!$K$5="L",IF(Y56=0,"",X56/Y56),IF(Dashboard!$K$5="R",IF(X56=0,"",Y56/X56),IF(MAX(X56,Y56)=0,"",MIN(X56,Y56)/MAX(X56,Y56))))),"")</f>
        <v/>
      </c>
      <c r="AA56" s="58"/>
    </row>
    <row r="57" customFormat="false" ht="15" hidden="false" customHeight="false" outlineLevel="0" collapsed="false">
      <c r="A57" s="56"/>
      <c r="B57" s="57" t="str">
        <f aca="false">IF(A57="","",IF(Dashboard!$L$5="","",INT((A57-Dashboard!$L$5)/7)+1))</f>
        <v/>
      </c>
      <c r="C57" s="67"/>
      <c r="D57" s="67"/>
      <c r="E57" s="79" t="str">
        <f aca="false">IFERROR(IF(OR(C57="",D57=""),"",IF(Dashboard!$K$5="L",IF(D57=0,"",C57/D57),IF(Dashboard!$K$5="R",IF(C57=0,"",D57/C57),IF(MAX(C57,D57)=0,"",MIN(C57,D57)/MAX(C57,D57))))),"")</f>
        <v/>
      </c>
      <c r="F57" s="67"/>
      <c r="G57" s="67"/>
      <c r="H57" s="79" t="str">
        <f aca="false">IFERROR(IF(OR(F57="",G57=""),"",IF(Dashboard!$K$5="L",IF(G57=0,"",F57/G57),IF(Dashboard!$K$5="R",IF(F57=0,"",G57/F57),IF(MAX(F57,G57)=0,"",MIN(F57,G57)/MAX(F57,G57))))),"")</f>
        <v/>
      </c>
      <c r="I57" s="67"/>
      <c r="J57" s="67"/>
      <c r="K57" s="79" t="str">
        <f aca="false">IFERROR(IF(OR(I57="",J57=""),"",IF(Dashboard!$K$5="L",IF(J57=0,"",I57/J57),IF(Dashboard!$K$5="R",IF(I57=0,"",J57/I57),IF(MAX(I57,J57)=0,"",MIN(I57,J57)/MAX(I57,J57))))),"")</f>
        <v/>
      </c>
      <c r="L57" s="67"/>
      <c r="M57" s="67"/>
      <c r="N57" s="79" t="str">
        <f aca="false">IFERROR(IF(OR(L57="",M57=""),"",IF(Dashboard!$K$5="L",IF(M57=0,"",L57/M57),IF(Dashboard!$K$5="R",IF(L57=0,"",M57/L57),IF(MAX(L57,M57)=0,"",MIN(L57,M57)/MAX(L57,M57))))),"")</f>
        <v/>
      </c>
      <c r="O57" s="67"/>
      <c r="P57" s="67"/>
      <c r="Q57" s="79" t="str">
        <f aca="false">IFERROR(IF(OR(O57="",P57=""),"",IF(Dashboard!$K$5="L",IF(P57=0,"",O57/P57),IF(Dashboard!$K$5="R",IF(O57=0,"",P57/O57),IF(MAX(O57,P57)=0,"",MIN(O57,P57)/MAX(O57,P57))))),"")</f>
        <v/>
      </c>
      <c r="R57" s="67"/>
      <c r="S57" s="67"/>
      <c r="T57" s="79" t="str">
        <f aca="false">IFERROR(IF(OR(R57="",S57=""),"",IF(Dashboard!$K$5="L",IF(S57=0,"",R57/S57),IF(Dashboard!$K$5="R",IF(R57=0,"",S57/R57),IF(MAX(R57,S57)=0,"",MIN(R57,S57)/MAX(R57,S57))))),"")</f>
        <v/>
      </c>
      <c r="U57" s="67"/>
      <c r="V57" s="67"/>
      <c r="W57" s="79" t="str">
        <f aca="false">IFERROR(IF(OR(U57="",V57=""),"",IF(Dashboard!$K$5="L",IF(V57=0,"",U57/V57),IF(Dashboard!$K$5="R",IF(U57=0,"",V57/U57),IF(MAX(U57,V57)=0,"",MIN(U57,V57)/MAX(U57,V57))))),"")</f>
        <v/>
      </c>
      <c r="X57" s="67"/>
      <c r="Y57" s="67"/>
      <c r="Z57" s="79" t="str">
        <f aca="false">IFERROR(IF(OR(X57="",Y57=""),"",IF(Dashboard!$K$5="L",IF(Y57=0,"",X57/Y57),IF(Dashboard!$K$5="R",IF(X57=0,"",Y57/X57),IF(MAX(X57,Y57)=0,"",MIN(X57,Y57)/MAX(X57,Y57))))),"")</f>
        <v/>
      </c>
      <c r="AA57" s="58"/>
    </row>
    <row r="58" customFormat="false" ht="15" hidden="false" customHeight="false" outlineLevel="0" collapsed="false">
      <c r="A58" s="56"/>
      <c r="B58" s="57" t="str">
        <f aca="false">IF(A58="","",IF(Dashboard!$L$5="","",INT((A58-Dashboard!$L$5)/7)+1))</f>
        <v/>
      </c>
      <c r="C58" s="67"/>
      <c r="D58" s="67"/>
      <c r="E58" s="79" t="str">
        <f aca="false">IFERROR(IF(OR(C58="",D58=""),"",IF(Dashboard!$K$5="L",IF(D58=0,"",C58/D58),IF(Dashboard!$K$5="R",IF(C58=0,"",D58/C58),IF(MAX(C58,D58)=0,"",MIN(C58,D58)/MAX(C58,D58))))),"")</f>
        <v/>
      </c>
      <c r="F58" s="67"/>
      <c r="G58" s="67"/>
      <c r="H58" s="79" t="str">
        <f aca="false">IFERROR(IF(OR(F58="",G58=""),"",IF(Dashboard!$K$5="L",IF(G58=0,"",F58/G58),IF(Dashboard!$K$5="R",IF(F58=0,"",G58/F58),IF(MAX(F58,G58)=0,"",MIN(F58,G58)/MAX(F58,G58))))),"")</f>
        <v/>
      </c>
      <c r="I58" s="67"/>
      <c r="J58" s="67"/>
      <c r="K58" s="79" t="str">
        <f aca="false">IFERROR(IF(OR(I58="",J58=""),"",IF(Dashboard!$K$5="L",IF(J58=0,"",I58/J58),IF(Dashboard!$K$5="R",IF(I58=0,"",J58/I58),IF(MAX(I58,J58)=0,"",MIN(I58,J58)/MAX(I58,J58))))),"")</f>
        <v/>
      </c>
      <c r="L58" s="67"/>
      <c r="M58" s="67"/>
      <c r="N58" s="79" t="str">
        <f aca="false">IFERROR(IF(OR(L58="",M58=""),"",IF(Dashboard!$K$5="L",IF(M58=0,"",L58/M58),IF(Dashboard!$K$5="R",IF(L58=0,"",M58/L58),IF(MAX(L58,M58)=0,"",MIN(L58,M58)/MAX(L58,M58))))),"")</f>
        <v/>
      </c>
      <c r="O58" s="67"/>
      <c r="P58" s="67"/>
      <c r="Q58" s="79" t="str">
        <f aca="false">IFERROR(IF(OR(O58="",P58=""),"",IF(Dashboard!$K$5="L",IF(P58=0,"",O58/P58),IF(Dashboard!$K$5="R",IF(O58=0,"",P58/O58),IF(MAX(O58,P58)=0,"",MIN(O58,P58)/MAX(O58,P58))))),"")</f>
        <v/>
      </c>
      <c r="R58" s="67"/>
      <c r="S58" s="67"/>
      <c r="T58" s="79" t="str">
        <f aca="false">IFERROR(IF(OR(R58="",S58=""),"",IF(Dashboard!$K$5="L",IF(S58=0,"",R58/S58),IF(Dashboard!$K$5="R",IF(R58=0,"",S58/R58),IF(MAX(R58,S58)=0,"",MIN(R58,S58)/MAX(R58,S58))))),"")</f>
        <v/>
      </c>
      <c r="U58" s="67"/>
      <c r="V58" s="67"/>
      <c r="W58" s="79" t="str">
        <f aca="false">IFERROR(IF(OR(U58="",V58=""),"",IF(Dashboard!$K$5="L",IF(V58=0,"",U58/V58),IF(Dashboard!$K$5="R",IF(U58=0,"",V58/U58),IF(MAX(U58,V58)=0,"",MIN(U58,V58)/MAX(U58,V58))))),"")</f>
        <v/>
      </c>
      <c r="X58" s="67"/>
      <c r="Y58" s="67"/>
      <c r="Z58" s="79" t="str">
        <f aca="false">IFERROR(IF(OR(X58="",Y58=""),"",IF(Dashboard!$K$5="L",IF(Y58=0,"",X58/Y58),IF(Dashboard!$K$5="R",IF(X58=0,"",Y58/X58),IF(MAX(X58,Y58)=0,"",MIN(X58,Y58)/MAX(X58,Y58))))),"")</f>
        <v/>
      </c>
      <c r="AA58" s="58"/>
    </row>
    <row r="59" customFormat="false" ht="15" hidden="false" customHeight="false" outlineLevel="0" collapsed="false">
      <c r="A59" s="56"/>
      <c r="B59" s="57" t="str">
        <f aca="false">IF(A59="","",IF(Dashboard!$L$5="","",INT((A59-Dashboard!$L$5)/7)+1))</f>
        <v/>
      </c>
      <c r="C59" s="67"/>
      <c r="D59" s="67"/>
      <c r="E59" s="79" t="str">
        <f aca="false">IFERROR(IF(OR(C59="",D59=""),"",IF(Dashboard!$K$5="L",IF(D59=0,"",C59/D59),IF(Dashboard!$K$5="R",IF(C59=0,"",D59/C59),IF(MAX(C59,D59)=0,"",MIN(C59,D59)/MAX(C59,D59))))),"")</f>
        <v/>
      </c>
      <c r="F59" s="67"/>
      <c r="G59" s="67"/>
      <c r="H59" s="79" t="str">
        <f aca="false">IFERROR(IF(OR(F59="",G59=""),"",IF(Dashboard!$K$5="L",IF(G59=0,"",F59/G59),IF(Dashboard!$K$5="R",IF(F59=0,"",G59/F59),IF(MAX(F59,G59)=0,"",MIN(F59,G59)/MAX(F59,G59))))),"")</f>
        <v/>
      </c>
      <c r="I59" s="67"/>
      <c r="J59" s="67"/>
      <c r="K59" s="79" t="str">
        <f aca="false">IFERROR(IF(OR(I59="",J59=""),"",IF(Dashboard!$K$5="L",IF(J59=0,"",I59/J59),IF(Dashboard!$K$5="R",IF(I59=0,"",J59/I59),IF(MAX(I59,J59)=0,"",MIN(I59,J59)/MAX(I59,J59))))),"")</f>
        <v/>
      </c>
      <c r="L59" s="67"/>
      <c r="M59" s="67"/>
      <c r="N59" s="79" t="str">
        <f aca="false">IFERROR(IF(OR(L59="",M59=""),"",IF(Dashboard!$K$5="L",IF(M59=0,"",L59/M59),IF(Dashboard!$K$5="R",IF(L59=0,"",M59/L59),IF(MAX(L59,M59)=0,"",MIN(L59,M59)/MAX(L59,M59))))),"")</f>
        <v/>
      </c>
      <c r="O59" s="67"/>
      <c r="P59" s="67"/>
      <c r="Q59" s="79" t="str">
        <f aca="false">IFERROR(IF(OR(O59="",P59=""),"",IF(Dashboard!$K$5="L",IF(P59=0,"",O59/P59),IF(Dashboard!$K$5="R",IF(O59=0,"",P59/O59),IF(MAX(O59,P59)=0,"",MIN(O59,P59)/MAX(O59,P59))))),"")</f>
        <v/>
      </c>
      <c r="R59" s="67"/>
      <c r="S59" s="67"/>
      <c r="T59" s="79" t="str">
        <f aca="false">IFERROR(IF(OR(R59="",S59=""),"",IF(Dashboard!$K$5="L",IF(S59=0,"",R59/S59),IF(Dashboard!$K$5="R",IF(R59=0,"",S59/R59),IF(MAX(R59,S59)=0,"",MIN(R59,S59)/MAX(R59,S59))))),"")</f>
        <v/>
      </c>
      <c r="U59" s="67"/>
      <c r="V59" s="67"/>
      <c r="W59" s="79" t="str">
        <f aca="false">IFERROR(IF(OR(U59="",V59=""),"",IF(Dashboard!$K$5="L",IF(V59=0,"",U59/V59),IF(Dashboard!$K$5="R",IF(U59=0,"",V59/U59),IF(MAX(U59,V59)=0,"",MIN(U59,V59)/MAX(U59,V59))))),"")</f>
        <v/>
      </c>
      <c r="X59" s="67"/>
      <c r="Y59" s="67"/>
      <c r="Z59" s="79" t="str">
        <f aca="false">IFERROR(IF(OR(X59="",Y59=""),"",IF(Dashboard!$K$5="L",IF(Y59=0,"",X59/Y59),IF(Dashboard!$K$5="R",IF(X59=0,"",Y59/X59),IF(MAX(X59,Y59)=0,"",MIN(X59,Y59)/MAX(X59,Y59))))),"")</f>
        <v/>
      </c>
      <c r="AA59" s="58"/>
    </row>
    <row r="60" customFormat="false" ht="15" hidden="false" customHeight="false" outlineLevel="0" collapsed="false">
      <c r="A60" s="56"/>
      <c r="B60" s="57" t="str">
        <f aca="false">IF(A60="","",IF(Dashboard!$L$5="","",INT((A60-Dashboard!$L$5)/7)+1))</f>
        <v/>
      </c>
      <c r="C60" s="67"/>
      <c r="D60" s="67"/>
      <c r="E60" s="79" t="str">
        <f aca="false">IFERROR(IF(OR(C60="",D60=""),"",IF(Dashboard!$K$5="L",IF(D60=0,"",C60/D60),IF(Dashboard!$K$5="R",IF(C60=0,"",D60/C60),IF(MAX(C60,D60)=0,"",MIN(C60,D60)/MAX(C60,D60))))),"")</f>
        <v/>
      </c>
      <c r="F60" s="67"/>
      <c r="G60" s="67"/>
      <c r="H60" s="79" t="str">
        <f aca="false">IFERROR(IF(OR(F60="",G60=""),"",IF(Dashboard!$K$5="L",IF(G60=0,"",F60/G60),IF(Dashboard!$K$5="R",IF(F60=0,"",G60/F60),IF(MAX(F60,G60)=0,"",MIN(F60,G60)/MAX(F60,G60))))),"")</f>
        <v/>
      </c>
      <c r="I60" s="67"/>
      <c r="J60" s="67"/>
      <c r="K60" s="79" t="str">
        <f aca="false">IFERROR(IF(OR(I60="",J60=""),"",IF(Dashboard!$K$5="L",IF(J60=0,"",I60/J60),IF(Dashboard!$K$5="R",IF(I60=0,"",J60/I60),IF(MAX(I60,J60)=0,"",MIN(I60,J60)/MAX(I60,J60))))),"")</f>
        <v/>
      </c>
      <c r="L60" s="67"/>
      <c r="M60" s="67"/>
      <c r="N60" s="79" t="str">
        <f aca="false">IFERROR(IF(OR(L60="",M60=""),"",IF(Dashboard!$K$5="L",IF(M60=0,"",L60/M60),IF(Dashboard!$K$5="R",IF(L60=0,"",M60/L60),IF(MAX(L60,M60)=0,"",MIN(L60,M60)/MAX(L60,M60))))),"")</f>
        <v/>
      </c>
      <c r="O60" s="67"/>
      <c r="P60" s="67"/>
      <c r="Q60" s="79" t="str">
        <f aca="false">IFERROR(IF(OR(O60="",P60=""),"",IF(Dashboard!$K$5="L",IF(P60=0,"",O60/P60),IF(Dashboard!$K$5="R",IF(O60=0,"",P60/O60),IF(MAX(O60,P60)=0,"",MIN(O60,P60)/MAX(O60,P60))))),"")</f>
        <v/>
      </c>
      <c r="R60" s="67"/>
      <c r="S60" s="67"/>
      <c r="T60" s="79" t="str">
        <f aca="false">IFERROR(IF(OR(R60="",S60=""),"",IF(Dashboard!$K$5="L",IF(S60=0,"",R60/S60),IF(Dashboard!$K$5="R",IF(R60=0,"",S60/R60),IF(MAX(R60,S60)=0,"",MIN(R60,S60)/MAX(R60,S60))))),"")</f>
        <v/>
      </c>
      <c r="U60" s="67"/>
      <c r="V60" s="67"/>
      <c r="W60" s="79" t="str">
        <f aca="false">IFERROR(IF(OR(U60="",V60=""),"",IF(Dashboard!$K$5="L",IF(V60=0,"",U60/V60),IF(Dashboard!$K$5="R",IF(U60=0,"",V60/U60),IF(MAX(U60,V60)=0,"",MIN(U60,V60)/MAX(U60,V60))))),"")</f>
        <v/>
      </c>
      <c r="X60" s="67"/>
      <c r="Y60" s="67"/>
      <c r="Z60" s="79" t="str">
        <f aca="false">IFERROR(IF(OR(X60="",Y60=""),"",IF(Dashboard!$K$5="L",IF(Y60=0,"",X60/Y60),IF(Dashboard!$K$5="R",IF(X60=0,"",Y60/X60),IF(MAX(X60,Y60)=0,"",MIN(X60,Y60)/MAX(X60,Y60))))),"")</f>
        <v/>
      </c>
      <c r="AA60" s="58"/>
    </row>
    <row r="61" customFormat="false" ht="15" hidden="false" customHeight="false" outlineLevel="0" collapsed="false">
      <c r="A61" s="56"/>
      <c r="B61" s="57" t="str">
        <f aca="false">IF(A61="","",IF(Dashboard!$L$5="","",INT((A61-Dashboard!$L$5)/7)+1))</f>
        <v/>
      </c>
      <c r="C61" s="67"/>
      <c r="D61" s="67"/>
      <c r="E61" s="79" t="str">
        <f aca="false">IFERROR(IF(OR(C61="",D61=""),"",IF(Dashboard!$K$5="L",IF(D61=0,"",C61/D61),IF(Dashboard!$K$5="R",IF(C61=0,"",D61/C61),IF(MAX(C61,D61)=0,"",MIN(C61,D61)/MAX(C61,D61))))),"")</f>
        <v/>
      </c>
      <c r="F61" s="67"/>
      <c r="G61" s="67"/>
      <c r="H61" s="79" t="str">
        <f aca="false">IFERROR(IF(OR(F61="",G61=""),"",IF(Dashboard!$K$5="L",IF(G61=0,"",F61/G61),IF(Dashboard!$K$5="R",IF(F61=0,"",G61/F61),IF(MAX(F61,G61)=0,"",MIN(F61,G61)/MAX(F61,G61))))),"")</f>
        <v/>
      </c>
      <c r="I61" s="67"/>
      <c r="J61" s="67"/>
      <c r="K61" s="79" t="str">
        <f aca="false">IFERROR(IF(OR(I61="",J61=""),"",IF(Dashboard!$K$5="L",IF(J61=0,"",I61/J61),IF(Dashboard!$K$5="R",IF(I61=0,"",J61/I61),IF(MAX(I61,J61)=0,"",MIN(I61,J61)/MAX(I61,J61))))),"")</f>
        <v/>
      </c>
      <c r="L61" s="67"/>
      <c r="M61" s="67"/>
      <c r="N61" s="79" t="str">
        <f aca="false">IFERROR(IF(OR(L61="",M61=""),"",IF(Dashboard!$K$5="L",IF(M61=0,"",L61/M61),IF(Dashboard!$K$5="R",IF(L61=0,"",M61/L61),IF(MAX(L61,M61)=0,"",MIN(L61,M61)/MAX(L61,M61))))),"")</f>
        <v/>
      </c>
      <c r="O61" s="67"/>
      <c r="P61" s="67"/>
      <c r="Q61" s="79" t="str">
        <f aca="false">IFERROR(IF(OR(O61="",P61=""),"",IF(Dashboard!$K$5="L",IF(P61=0,"",O61/P61),IF(Dashboard!$K$5="R",IF(O61=0,"",P61/O61),IF(MAX(O61,P61)=0,"",MIN(O61,P61)/MAX(O61,P61))))),"")</f>
        <v/>
      </c>
      <c r="R61" s="67"/>
      <c r="S61" s="67"/>
      <c r="T61" s="79" t="str">
        <f aca="false">IFERROR(IF(OR(R61="",S61=""),"",IF(Dashboard!$K$5="L",IF(S61=0,"",R61/S61),IF(Dashboard!$K$5="R",IF(R61=0,"",S61/R61),IF(MAX(R61,S61)=0,"",MIN(R61,S61)/MAX(R61,S61))))),"")</f>
        <v/>
      </c>
      <c r="U61" s="67"/>
      <c r="V61" s="67"/>
      <c r="W61" s="79" t="str">
        <f aca="false">IFERROR(IF(OR(U61="",V61=""),"",IF(Dashboard!$K$5="L",IF(V61=0,"",U61/V61),IF(Dashboard!$K$5="R",IF(U61=0,"",V61/U61),IF(MAX(U61,V61)=0,"",MIN(U61,V61)/MAX(U61,V61))))),"")</f>
        <v/>
      </c>
      <c r="X61" s="67"/>
      <c r="Y61" s="67"/>
      <c r="Z61" s="79" t="str">
        <f aca="false">IFERROR(IF(OR(X61="",Y61=""),"",IF(Dashboard!$K$5="L",IF(Y61=0,"",X61/Y61),IF(Dashboard!$K$5="R",IF(X61=0,"",Y61/X61),IF(MAX(X61,Y61)=0,"",MIN(X61,Y61)/MAX(X61,Y61))))),"")</f>
        <v/>
      </c>
      <c r="AA61" s="58"/>
    </row>
    <row r="62" customFormat="false" ht="15" hidden="false" customHeight="false" outlineLevel="0" collapsed="false">
      <c r="A62" s="56"/>
      <c r="B62" s="57" t="str">
        <f aca="false">IF(A62="","",IF(Dashboard!$L$5="","",INT((A62-Dashboard!$L$5)/7)+1))</f>
        <v/>
      </c>
      <c r="C62" s="67"/>
      <c r="D62" s="67"/>
      <c r="E62" s="79" t="str">
        <f aca="false">IFERROR(IF(OR(C62="",D62=""),"",IF(Dashboard!$K$5="L",IF(D62=0,"",C62/D62),IF(Dashboard!$K$5="R",IF(C62=0,"",D62/C62),IF(MAX(C62,D62)=0,"",MIN(C62,D62)/MAX(C62,D62))))),"")</f>
        <v/>
      </c>
      <c r="F62" s="67"/>
      <c r="G62" s="67"/>
      <c r="H62" s="79" t="str">
        <f aca="false">IFERROR(IF(OR(F62="",G62=""),"",IF(Dashboard!$K$5="L",IF(G62=0,"",F62/G62),IF(Dashboard!$K$5="R",IF(F62=0,"",G62/F62),IF(MAX(F62,G62)=0,"",MIN(F62,G62)/MAX(F62,G62))))),"")</f>
        <v/>
      </c>
      <c r="I62" s="67"/>
      <c r="J62" s="67"/>
      <c r="K62" s="79" t="str">
        <f aca="false">IFERROR(IF(OR(I62="",J62=""),"",IF(Dashboard!$K$5="L",IF(J62=0,"",I62/J62),IF(Dashboard!$K$5="R",IF(I62=0,"",J62/I62),IF(MAX(I62,J62)=0,"",MIN(I62,J62)/MAX(I62,J62))))),"")</f>
        <v/>
      </c>
      <c r="L62" s="67"/>
      <c r="M62" s="67"/>
      <c r="N62" s="79" t="str">
        <f aca="false">IFERROR(IF(OR(L62="",M62=""),"",IF(Dashboard!$K$5="L",IF(M62=0,"",L62/M62),IF(Dashboard!$K$5="R",IF(L62=0,"",M62/L62),IF(MAX(L62,M62)=0,"",MIN(L62,M62)/MAX(L62,M62))))),"")</f>
        <v/>
      </c>
      <c r="O62" s="67"/>
      <c r="P62" s="67"/>
      <c r="Q62" s="79" t="str">
        <f aca="false">IFERROR(IF(OR(O62="",P62=""),"",IF(Dashboard!$K$5="L",IF(P62=0,"",O62/P62),IF(Dashboard!$K$5="R",IF(O62=0,"",P62/O62),IF(MAX(O62,P62)=0,"",MIN(O62,P62)/MAX(O62,P62))))),"")</f>
        <v/>
      </c>
      <c r="R62" s="67"/>
      <c r="S62" s="67"/>
      <c r="T62" s="79" t="str">
        <f aca="false">IFERROR(IF(OR(R62="",S62=""),"",IF(Dashboard!$K$5="L",IF(S62=0,"",R62/S62),IF(Dashboard!$K$5="R",IF(R62=0,"",S62/R62),IF(MAX(R62,S62)=0,"",MIN(R62,S62)/MAX(R62,S62))))),"")</f>
        <v/>
      </c>
      <c r="U62" s="67"/>
      <c r="V62" s="67"/>
      <c r="W62" s="79" t="str">
        <f aca="false">IFERROR(IF(OR(U62="",V62=""),"",IF(Dashboard!$K$5="L",IF(V62=0,"",U62/V62),IF(Dashboard!$K$5="R",IF(U62=0,"",V62/U62),IF(MAX(U62,V62)=0,"",MIN(U62,V62)/MAX(U62,V62))))),"")</f>
        <v/>
      </c>
      <c r="X62" s="67"/>
      <c r="Y62" s="67"/>
      <c r="Z62" s="79" t="str">
        <f aca="false">IFERROR(IF(OR(X62="",Y62=""),"",IF(Dashboard!$K$5="L",IF(Y62=0,"",X62/Y62),IF(Dashboard!$K$5="R",IF(X62=0,"",Y62/X62),IF(MAX(X62,Y62)=0,"",MIN(X62,Y62)/MAX(X62,Y62))))),"")</f>
        <v/>
      </c>
      <c r="AA62" s="58"/>
    </row>
    <row r="63" customFormat="false" ht="15" hidden="false" customHeight="false" outlineLevel="0" collapsed="false">
      <c r="A63" s="56"/>
      <c r="B63" s="57" t="str">
        <f aca="false">IF(A63="","",IF(Dashboard!$L$5="","",INT((A63-Dashboard!$L$5)/7)+1))</f>
        <v/>
      </c>
      <c r="C63" s="67"/>
      <c r="D63" s="67"/>
      <c r="E63" s="79" t="str">
        <f aca="false">IFERROR(IF(OR(C63="",D63=""),"",IF(Dashboard!$K$5="L",IF(D63=0,"",C63/D63),IF(Dashboard!$K$5="R",IF(C63=0,"",D63/C63),IF(MAX(C63,D63)=0,"",MIN(C63,D63)/MAX(C63,D63))))),"")</f>
        <v/>
      </c>
      <c r="F63" s="67"/>
      <c r="G63" s="67"/>
      <c r="H63" s="79" t="str">
        <f aca="false">IFERROR(IF(OR(F63="",G63=""),"",IF(Dashboard!$K$5="L",IF(G63=0,"",F63/G63),IF(Dashboard!$K$5="R",IF(F63=0,"",G63/F63),IF(MAX(F63,G63)=0,"",MIN(F63,G63)/MAX(F63,G63))))),"")</f>
        <v/>
      </c>
      <c r="I63" s="67"/>
      <c r="J63" s="67"/>
      <c r="K63" s="79" t="str">
        <f aca="false">IFERROR(IF(OR(I63="",J63=""),"",IF(Dashboard!$K$5="L",IF(J63=0,"",I63/J63),IF(Dashboard!$K$5="R",IF(I63=0,"",J63/I63),IF(MAX(I63,J63)=0,"",MIN(I63,J63)/MAX(I63,J63))))),"")</f>
        <v/>
      </c>
      <c r="L63" s="67"/>
      <c r="M63" s="67"/>
      <c r="N63" s="79" t="str">
        <f aca="false">IFERROR(IF(OR(L63="",M63=""),"",IF(Dashboard!$K$5="L",IF(M63=0,"",L63/M63),IF(Dashboard!$K$5="R",IF(L63=0,"",M63/L63),IF(MAX(L63,M63)=0,"",MIN(L63,M63)/MAX(L63,M63))))),"")</f>
        <v/>
      </c>
      <c r="O63" s="67"/>
      <c r="P63" s="67"/>
      <c r="Q63" s="79" t="str">
        <f aca="false">IFERROR(IF(OR(O63="",P63=""),"",IF(Dashboard!$K$5="L",IF(P63=0,"",O63/P63),IF(Dashboard!$K$5="R",IF(O63=0,"",P63/O63),IF(MAX(O63,P63)=0,"",MIN(O63,P63)/MAX(O63,P63))))),"")</f>
        <v/>
      </c>
      <c r="R63" s="67"/>
      <c r="S63" s="67"/>
      <c r="T63" s="79" t="str">
        <f aca="false">IFERROR(IF(OR(R63="",S63=""),"",IF(Dashboard!$K$5="L",IF(S63=0,"",R63/S63),IF(Dashboard!$K$5="R",IF(R63=0,"",S63/R63),IF(MAX(R63,S63)=0,"",MIN(R63,S63)/MAX(R63,S63))))),"")</f>
        <v/>
      </c>
      <c r="U63" s="67"/>
      <c r="V63" s="67"/>
      <c r="W63" s="79" t="str">
        <f aca="false">IFERROR(IF(OR(U63="",V63=""),"",IF(Dashboard!$K$5="L",IF(V63=0,"",U63/V63),IF(Dashboard!$K$5="R",IF(U63=0,"",V63/U63),IF(MAX(U63,V63)=0,"",MIN(U63,V63)/MAX(U63,V63))))),"")</f>
        <v/>
      </c>
      <c r="X63" s="67"/>
      <c r="Y63" s="67"/>
      <c r="Z63" s="79" t="str">
        <f aca="false">IFERROR(IF(OR(X63="",Y63=""),"",IF(Dashboard!$K$5="L",IF(Y63=0,"",X63/Y63),IF(Dashboard!$K$5="R",IF(X63=0,"",Y63/X63),IF(MAX(X63,Y63)=0,"",MIN(X63,Y63)/MAX(X63,Y63))))),"")</f>
        <v/>
      </c>
      <c r="AA63" s="58"/>
    </row>
    <row r="64" customFormat="false" ht="15" hidden="false" customHeight="false" outlineLevel="0" collapsed="false">
      <c r="A64" s="56"/>
      <c r="B64" s="57" t="str">
        <f aca="false">IF(A64="","",IF(Dashboard!$L$5="","",INT((A64-Dashboard!$L$5)/7)+1))</f>
        <v/>
      </c>
      <c r="C64" s="67"/>
      <c r="D64" s="67"/>
      <c r="E64" s="79" t="str">
        <f aca="false">IFERROR(IF(OR(C64="",D64=""),"",IF(Dashboard!$K$5="L",IF(D64=0,"",C64/D64),IF(Dashboard!$K$5="R",IF(C64=0,"",D64/C64),IF(MAX(C64,D64)=0,"",MIN(C64,D64)/MAX(C64,D64))))),"")</f>
        <v/>
      </c>
      <c r="F64" s="67"/>
      <c r="G64" s="67"/>
      <c r="H64" s="79" t="str">
        <f aca="false">IFERROR(IF(OR(F64="",G64=""),"",IF(Dashboard!$K$5="L",IF(G64=0,"",F64/G64),IF(Dashboard!$K$5="R",IF(F64=0,"",G64/F64),IF(MAX(F64,G64)=0,"",MIN(F64,G64)/MAX(F64,G64))))),"")</f>
        <v/>
      </c>
      <c r="I64" s="67"/>
      <c r="J64" s="67"/>
      <c r="K64" s="79" t="str">
        <f aca="false">IFERROR(IF(OR(I64="",J64=""),"",IF(Dashboard!$K$5="L",IF(J64=0,"",I64/J64),IF(Dashboard!$K$5="R",IF(I64=0,"",J64/I64),IF(MAX(I64,J64)=0,"",MIN(I64,J64)/MAX(I64,J64))))),"")</f>
        <v/>
      </c>
      <c r="L64" s="67"/>
      <c r="M64" s="67"/>
      <c r="N64" s="79" t="str">
        <f aca="false">IFERROR(IF(OR(L64="",M64=""),"",IF(Dashboard!$K$5="L",IF(M64=0,"",L64/M64),IF(Dashboard!$K$5="R",IF(L64=0,"",M64/L64),IF(MAX(L64,M64)=0,"",MIN(L64,M64)/MAX(L64,M64))))),"")</f>
        <v/>
      </c>
      <c r="O64" s="67"/>
      <c r="P64" s="67"/>
      <c r="Q64" s="79" t="str">
        <f aca="false">IFERROR(IF(OR(O64="",P64=""),"",IF(Dashboard!$K$5="L",IF(P64=0,"",O64/P64),IF(Dashboard!$K$5="R",IF(O64=0,"",P64/O64),IF(MAX(O64,P64)=0,"",MIN(O64,P64)/MAX(O64,P64))))),"")</f>
        <v/>
      </c>
      <c r="R64" s="67"/>
      <c r="S64" s="67"/>
      <c r="T64" s="79" t="str">
        <f aca="false">IFERROR(IF(OR(R64="",S64=""),"",IF(Dashboard!$K$5="L",IF(S64=0,"",R64/S64),IF(Dashboard!$K$5="R",IF(R64=0,"",S64/R64),IF(MAX(R64,S64)=0,"",MIN(R64,S64)/MAX(R64,S64))))),"")</f>
        <v/>
      </c>
      <c r="U64" s="67"/>
      <c r="V64" s="67"/>
      <c r="W64" s="79" t="str">
        <f aca="false">IFERROR(IF(OR(U64="",V64=""),"",IF(Dashboard!$K$5="L",IF(V64=0,"",U64/V64),IF(Dashboard!$K$5="R",IF(U64=0,"",V64/U64),IF(MAX(U64,V64)=0,"",MIN(U64,V64)/MAX(U64,V64))))),"")</f>
        <v/>
      </c>
      <c r="X64" s="67"/>
      <c r="Y64" s="67"/>
      <c r="Z64" s="79" t="str">
        <f aca="false">IFERROR(IF(OR(X64="",Y64=""),"",IF(Dashboard!$K$5="L",IF(Y64=0,"",X64/Y64),IF(Dashboard!$K$5="R",IF(X64=0,"",Y64/X64),IF(MAX(X64,Y64)=0,"",MIN(X64,Y64)/MAX(X64,Y64))))),"")</f>
        <v/>
      </c>
      <c r="AA64" s="58"/>
    </row>
    <row r="65" customFormat="false" ht="15" hidden="false" customHeight="false" outlineLevel="0" collapsed="false">
      <c r="A65" s="56"/>
      <c r="B65" s="57" t="str">
        <f aca="false">IF(A65="","",IF(Dashboard!$L$5="","",INT((A65-Dashboard!$L$5)/7)+1))</f>
        <v/>
      </c>
      <c r="C65" s="67"/>
      <c r="D65" s="67"/>
      <c r="E65" s="79" t="str">
        <f aca="false">IFERROR(IF(OR(C65="",D65=""),"",IF(Dashboard!$K$5="L",IF(D65=0,"",C65/D65),IF(Dashboard!$K$5="R",IF(C65=0,"",D65/C65),IF(MAX(C65,D65)=0,"",MIN(C65,D65)/MAX(C65,D65))))),"")</f>
        <v/>
      </c>
      <c r="F65" s="67"/>
      <c r="G65" s="67"/>
      <c r="H65" s="79" t="str">
        <f aca="false">IFERROR(IF(OR(F65="",G65=""),"",IF(Dashboard!$K$5="L",IF(G65=0,"",F65/G65),IF(Dashboard!$K$5="R",IF(F65=0,"",G65/F65),IF(MAX(F65,G65)=0,"",MIN(F65,G65)/MAX(F65,G65))))),"")</f>
        <v/>
      </c>
      <c r="I65" s="67"/>
      <c r="J65" s="67"/>
      <c r="K65" s="79" t="str">
        <f aca="false">IFERROR(IF(OR(I65="",J65=""),"",IF(Dashboard!$K$5="L",IF(J65=0,"",I65/J65),IF(Dashboard!$K$5="R",IF(I65=0,"",J65/I65),IF(MAX(I65,J65)=0,"",MIN(I65,J65)/MAX(I65,J65))))),"")</f>
        <v/>
      </c>
      <c r="L65" s="67"/>
      <c r="M65" s="67"/>
      <c r="N65" s="79" t="str">
        <f aca="false">IFERROR(IF(OR(L65="",M65=""),"",IF(Dashboard!$K$5="L",IF(M65=0,"",L65/M65),IF(Dashboard!$K$5="R",IF(L65=0,"",M65/L65),IF(MAX(L65,M65)=0,"",MIN(L65,M65)/MAX(L65,M65))))),"")</f>
        <v/>
      </c>
      <c r="O65" s="67"/>
      <c r="P65" s="67"/>
      <c r="Q65" s="79" t="str">
        <f aca="false">IFERROR(IF(OR(O65="",P65=""),"",IF(Dashboard!$K$5="L",IF(P65=0,"",O65/P65),IF(Dashboard!$K$5="R",IF(O65=0,"",P65/O65),IF(MAX(O65,P65)=0,"",MIN(O65,P65)/MAX(O65,P65))))),"")</f>
        <v/>
      </c>
      <c r="R65" s="67"/>
      <c r="S65" s="67"/>
      <c r="T65" s="79" t="str">
        <f aca="false">IFERROR(IF(OR(R65="",S65=""),"",IF(Dashboard!$K$5="L",IF(S65=0,"",R65/S65),IF(Dashboard!$K$5="R",IF(R65=0,"",S65/R65),IF(MAX(R65,S65)=0,"",MIN(R65,S65)/MAX(R65,S65))))),"")</f>
        <v/>
      </c>
      <c r="U65" s="67"/>
      <c r="V65" s="67"/>
      <c r="W65" s="79" t="str">
        <f aca="false">IFERROR(IF(OR(U65="",V65=""),"",IF(Dashboard!$K$5="L",IF(V65=0,"",U65/V65),IF(Dashboard!$K$5="R",IF(U65=0,"",V65/U65),IF(MAX(U65,V65)=0,"",MIN(U65,V65)/MAX(U65,V65))))),"")</f>
        <v/>
      </c>
      <c r="X65" s="67"/>
      <c r="Y65" s="67"/>
      <c r="Z65" s="79" t="str">
        <f aca="false">IFERROR(IF(OR(X65="",Y65=""),"",IF(Dashboard!$K$5="L",IF(Y65=0,"",X65/Y65),IF(Dashboard!$K$5="R",IF(X65=0,"",Y65/X65),IF(MAX(X65,Y65)=0,"",MIN(X65,Y65)/MAX(X65,Y65))))),"")</f>
        <v/>
      </c>
      <c r="AA65" s="58"/>
    </row>
    <row r="66" customFormat="false" ht="18" hidden="false" customHeight="true" outlineLevel="0" collapsed="false">
      <c r="A66" s="77" t="s">
        <v>151</v>
      </c>
      <c r="B66" s="77"/>
      <c r="C66" s="77" t="str">
        <f aca="false">IF(COUNT(C54:C65)=0,"",INDEX(C54:C65,SUMPRODUCT(MAX(ISNUMBER(C54:C65)*(($A$54:$A$65)=SUMPRODUCT(MAX(ISNUMBER(C54:C65)*($A$54:$A$65))))*(ROW(C54:C65)-ROW(C$54)+1)))))</f>
        <v/>
      </c>
      <c r="D66" s="77" t="str">
        <f aca="false">IF(COUNT(D54:D65)=0,"",INDEX(D54:D65,SUMPRODUCT(MAX(ISNUMBER(D54:D65)*(($A$54:$A$65)=SUMPRODUCT(MAX(ISNUMBER(D54:D65)*($A$54:$A$65))))*(ROW(D54:D65)-ROW(D$54)+1)))))</f>
        <v/>
      </c>
      <c r="E66" s="80" t="str">
        <f aca="false">IF(COUNT(E54:E65)=0,"",INDEX(E54:E65,SUMPRODUCT(MAX(ISNUMBER(E54:E65)*(($A$54:$A$65)=SUMPRODUCT(MAX(ISNUMBER(E54:E65)*($A$54:$A$65))))*(ROW(E54:E65)-ROW(E$54)+1)))))</f>
        <v/>
      </c>
      <c r="F66" s="77" t="str">
        <f aca="false">IF(COUNT(F54:F65)=0,"",INDEX(F54:F65,SUMPRODUCT(MAX(ISNUMBER(F54:F65)*(($A$54:$A$65)=SUMPRODUCT(MAX(ISNUMBER(F54:F65)*($A$54:$A$65))))*(ROW(F54:F65)-ROW(F$54)+1)))))</f>
        <v/>
      </c>
      <c r="G66" s="77" t="str">
        <f aca="false">IF(COUNT(G54:G65)=0,"",INDEX(G54:G65,SUMPRODUCT(MAX(ISNUMBER(G54:G65)*(($A$54:$A$65)=SUMPRODUCT(MAX(ISNUMBER(G54:G65)*($A$54:$A$65))))*(ROW(G54:G65)-ROW(G$54)+1)))))</f>
        <v/>
      </c>
      <c r="H66" s="80" t="str">
        <f aca="false">IF(COUNT(H54:H65)=0,"",INDEX(H54:H65,SUMPRODUCT(MAX(ISNUMBER(H54:H65)*(($A$54:$A$65)=SUMPRODUCT(MAX(ISNUMBER(H54:H65)*($A$54:$A$65))))*(ROW(H54:H65)-ROW(H$54)+1)))))</f>
        <v/>
      </c>
      <c r="I66" s="77" t="str">
        <f aca="false">IF(COUNT(I54:I65)=0,"",INDEX(I54:I65,SUMPRODUCT(MAX(ISNUMBER(I54:I65)*(($A$54:$A$65)=SUMPRODUCT(MAX(ISNUMBER(I54:I65)*($A$54:$A$65))))*(ROW(I54:I65)-ROW(I$54)+1)))))</f>
        <v/>
      </c>
      <c r="J66" s="77" t="str">
        <f aca="false">IF(COUNT(J54:J65)=0,"",INDEX(J54:J65,SUMPRODUCT(MAX(ISNUMBER(J54:J65)*(($A$54:$A$65)=SUMPRODUCT(MAX(ISNUMBER(J54:J65)*($A$54:$A$65))))*(ROW(J54:J65)-ROW(J$54)+1)))))</f>
        <v/>
      </c>
      <c r="K66" s="80" t="str">
        <f aca="false">IF(COUNT(K54:K65)=0,"",INDEX(K54:K65,SUMPRODUCT(MAX(ISNUMBER(K54:K65)*(($A$54:$A$65)=SUMPRODUCT(MAX(ISNUMBER(K54:K65)*($A$54:$A$65))))*(ROW(K54:K65)-ROW(K$54)+1)))))</f>
        <v/>
      </c>
      <c r="L66" s="77" t="str">
        <f aca="false">IF(COUNT(L54:L65)=0,"",INDEX(L54:L65,SUMPRODUCT(MAX(ISNUMBER(L54:L65)*(($A$54:$A$65)=SUMPRODUCT(MAX(ISNUMBER(L54:L65)*($A$54:$A$65))))*(ROW(L54:L65)-ROW(L$54)+1)))))</f>
        <v/>
      </c>
      <c r="M66" s="77" t="str">
        <f aca="false">IF(COUNT(M54:M65)=0,"",INDEX(M54:M65,SUMPRODUCT(MAX(ISNUMBER(M54:M65)*(($A$54:$A$65)=SUMPRODUCT(MAX(ISNUMBER(M54:M65)*($A$54:$A$65))))*(ROW(M54:M65)-ROW(M$54)+1)))))</f>
        <v/>
      </c>
      <c r="N66" s="80" t="str">
        <f aca="false">IF(COUNT(N54:N65)=0,"",INDEX(N54:N65,SUMPRODUCT(MAX(ISNUMBER(N54:N65)*(($A$54:$A$65)=SUMPRODUCT(MAX(ISNUMBER(N54:N65)*($A$54:$A$65))))*(ROW(N54:N65)-ROW(N$54)+1)))))</f>
        <v/>
      </c>
      <c r="O66" s="77" t="str">
        <f aca="false">IF(COUNT(O54:O65)=0,"",INDEX(O54:O65,SUMPRODUCT(MAX(ISNUMBER(O54:O65)*(($A$54:$A$65)=SUMPRODUCT(MAX(ISNUMBER(O54:O65)*($A$54:$A$65))))*(ROW(O54:O65)-ROW(O$54)+1)))))</f>
        <v/>
      </c>
      <c r="P66" s="77" t="str">
        <f aca="false">IF(COUNT(P54:P65)=0,"",INDEX(P54:P65,SUMPRODUCT(MAX(ISNUMBER(P54:P65)*(($A$54:$A$65)=SUMPRODUCT(MAX(ISNUMBER(P54:P65)*($A$54:$A$65))))*(ROW(P54:P65)-ROW(P$54)+1)))))</f>
        <v/>
      </c>
      <c r="Q66" s="80" t="str">
        <f aca="false">IF(COUNT(Q54:Q65)=0,"",INDEX(Q54:Q65,SUMPRODUCT(MAX(ISNUMBER(Q54:Q65)*(($A$54:$A$65)=SUMPRODUCT(MAX(ISNUMBER(Q54:Q65)*($A$54:$A$65))))*(ROW(Q54:Q65)-ROW(Q$54)+1)))))</f>
        <v/>
      </c>
      <c r="R66" s="77" t="str">
        <f aca="false">IF(COUNT(R54:R65)=0,"",INDEX(R54:R65,SUMPRODUCT(MAX(ISNUMBER(R54:R65)*(($A$54:$A$65)=SUMPRODUCT(MAX(ISNUMBER(R54:R65)*($A$54:$A$65))))*(ROW(R54:R65)-ROW(R$54)+1)))))</f>
        <v/>
      </c>
      <c r="S66" s="77" t="str">
        <f aca="false">IF(COUNT(S54:S65)=0,"",INDEX(S54:S65,SUMPRODUCT(MAX(ISNUMBER(S54:S65)*(($A$54:$A$65)=SUMPRODUCT(MAX(ISNUMBER(S54:S65)*($A$54:$A$65))))*(ROW(S54:S65)-ROW(S$54)+1)))))</f>
        <v/>
      </c>
      <c r="T66" s="80" t="str">
        <f aca="false">IF(COUNT(T54:T65)=0,"",INDEX(T54:T65,SUMPRODUCT(MAX(ISNUMBER(T54:T65)*(($A$54:$A$65)=SUMPRODUCT(MAX(ISNUMBER(T54:T65)*($A$54:$A$65))))*(ROW(T54:T65)-ROW(T$54)+1)))))</f>
        <v/>
      </c>
      <c r="U66" s="77" t="str">
        <f aca="false">IF(COUNT(U54:U65)=0,"",INDEX(U54:U65,SUMPRODUCT(MAX(ISNUMBER(U54:U65)*(($A$54:$A$65)=SUMPRODUCT(MAX(ISNUMBER(U54:U65)*($A$54:$A$65))))*(ROW(U54:U65)-ROW(U$54)+1)))))</f>
        <v/>
      </c>
      <c r="V66" s="77" t="str">
        <f aca="false">IF(COUNT(V54:V65)=0,"",INDEX(V54:V65,SUMPRODUCT(MAX(ISNUMBER(V54:V65)*(($A$54:$A$65)=SUMPRODUCT(MAX(ISNUMBER(V54:V65)*($A$54:$A$65))))*(ROW(V54:V65)-ROW(V$54)+1)))))</f>
        <v/>
      </c>
      <c r="W66" s="80" t="str">
        <f aca="false">IF(COUNT(W54:W65)=0,"",INDEX(W54:W65,SUMPRODUCT(MAX(ISNUMBER(W54:W65)*(($A$54:$A$65)=SUMPRODUCT(MAX(ISNUMBER(W54:W65)*($A$54:$A$65))))*(ROW(W54:W65)-ROW(W$54)+1)))))</f>
        <v/>
      </c>
      <c r="X66" s="77" t="str">
        <f aca="false">IF(COUNT(X54:X65)=0,"",INDEX(X54:X65,SUMPRODUCT(MAX(ISNUMBER(X54:X65)*(($A$54:$A$65)=SUMPRODUCT(MAX(ISNUMBER(X54:X65)*($A$54:$A$65))))*(ROW(X54:X65)-ROW(X$54)+1)))))</f>
        <v/>
      </c>
      <c r="Y66" s="77" t="str">
        <f aca="false">IF(COUNT(Y54:Y65)=0,"",INDEX(Y54:Y65,SUMPRODUCT(MAX(ISNUMBER(Y54:Y65)*(($A$54:$A$65)=SUMPRODUCT(MAX(ISNUMBER(Y54:Y65)*($A$54:$A$65))))*(ROW(Y54:Y65)-ROW(Y$54)+1)))))</f>
        <v/>
      </c>
      <c r="Z66" s="80" t="str">
        <f aca="false">IF(COUNT(Z54:Z65)=0,"",INDEX(Z54:Z65,SUMPRODUCT(MAX(ISNUMBER(Z54:Z65)*(($A$54:$A$65)=SUMPRODUCT(MAX(ISNUMBER(Z54:Z65)*($A$54:$A$65))))*(ROW(Z54:Z65)-ROW(Z$54)+1)))))</f>
        <v/>
      </c>
      <c r="AA66" s="81" t="s">
        <v>152</v>
      </c>
    </row>
    <row r="67" customFormat="false" ht="15" hidden="false" customHeight="true" outlineLevel="0" collapsed="false">
      <c r="A67" s="65" t="s">
        <v>153</v>
      </c>
      <c r="B67" s="65"/>
      <c r="C67" s="70" t="str">
        <f aca="false">IF(OR(COUNT(C54:C65)=0,SUMPRODUCT(MAX(ISNUMBER(C54:C65)*($A$54:$A$65)))=0),"",SUMPRODUCT(MAX(ISNUMBER(C54:C65)*($A$54:$A$65))))</f>
        <v/>
      </c>
      <c r="D67" s="70"/>
      <c r="E67" s="70"/>
      <c r="F67" s="70" t="str">
        <f aca="false">IF(OR(COUNT(F54:F65)=0,SUMPRODUCT(MAX(ISNUMBER(F54:F65)*($A$54:$A$65)))=0),"",SUMPRODUCT(MAX(ISNUMBER(F54:F65)*($A$54:$A$65))))</f>
        <v/>
      </c>
      <c r="G67" s="70"/>
      <c r="H67" s="70"/>
      <c r="I67" s="70" t="str">
        <f aca="false">IF(OR(COUNT(I54:I65)=0,SUMPRODUCT(MAX(ISNUMBER(I54:I65)*($A$54:$A$65)))=0),"",SUMPRODUCT(MAX(ISNUMBER(I54:I65)*($A$54:$A$65))))</f>
        <v/>
      </c>
      <c r="J67" s="70"/>
      <c r="K67" s="70"/>
      <c r="L67" s="70" t="str">
        <f aca="false">IF(OR(COUNT(L54:L65)=0,SUMPRODUCT(MAX(ISNUMBER(L54:L65)*($A$54:$A$65)))=0),"",SUMPRODUCT(MAX(ISNUMBER(L54:L65)*($A$54:$A$65))))</f>
        <v/>
      </c>
      <c r="M67" s="70"/>
      <c r="N67" s="70"/>
      <c r="O67" s="70" t="str">
        <f aca="false">IF(OR(COUNT(O54:O65)=0,SUMPRODUCT(MAX(ISNUMBER(O54:O65)*($A$54:$A$65)))=0),"",SUMPRODUCT(MAX(ISNUMBER(O54:O65)*($A$54:$A$65))))</f>
        <v/>
      </c>
      <c r="P67" s="70"/>
      <c r="Q67" s="70"/>
      <c r="R67" s="70" t="str">
        <f aca="false">IF(OR(COUNT(R54:R65)=0,SUMPRODUCT(MAX(ISNUMBER(R54:R65)*($A$54:$A$65)))=0),"",SUMPRODUCT(MAX(ISNUMBER(R54:R65)*($A$54:$A$65))))</f>
        <v/>
      </c>
      <c r="S67" s="70"/>
      <c r="T67" s="70"/>
      <c r="U67" s="70" t="str">
        <f aca="false">IF(OR(COUNT(U54:U65)=0,SUMPRODUCT(MAX(ISNUMBER(U54:U65)*($A$54:$A$65)))=0),"",SUMPRODUCT(MAX(ISNUMBER(U54:U65)*($A$54:$A$65))))</f>
        <v/>
      </c>
      <c r="V67" s="70"/>
      <c r="W67" s="70"/>
      <c r="X67" s="70" t="str">
        <f aca="false">IF(OR(COUNT(X54:X65)=0,SUMPRODUCT(MAX(ISNUMBER(X54:X65)*($A$54:$A$65)))=0),"",SUMPRODUCT(MAX(ISNUMBER(X54:X65)*($A$54:$A$65))))</f>
        <v/>
      </c>
      <c r="Y67" s="70"/>
      <c r="Z67" s="70"/>
      <c r="AA67" s="82"/>
    </row>
    <row r="69" customFormat="false" ht="19.5" hidden="false" customHeight="true" outlineLevel="0" collapsed="false">
      <c r="A69" s="62" t="s">
        <v>159</v>
      </c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</row>
    <row r="70" customFormat="false" ht="31.5" hidden="false" customHeight="true" outlineLevel="0" collapsed="false">
      <c r="A70" s="55" t="s">
        <v>52</v>
      </c>
      <c r="B70" s="55" t="s">
        <v>75</v>
      </c>
      <c r="C70" s="77" t="s">
        <v>160</v>
      </c>
      <c r="D70" s="77"/>
      <c r="E70" s="77"/>
      <c r="F70" s="77" t="s">
        <v>125</v>
      </c>
      <c r="G70" s="77"/>
      <c r="H70" s="77"/>
      <c r="I70" s="77" t="s">
        <v>127</v>
      </c>
      <c r="J70" s="77"/>
      <c r="K70" s="77"/>
      <c r="L70" s="77" t="s">
        <v>161</v>
      </c>
      <c r="M70" s="77"/>
      <c r="N70" s="77"/>
      <c r="O70" s="77" t="s">
        <v>162</v>
      </c>
      <c r="P70" s="77"/>
      <c r="Q70" s="77"/>
      <c r="R70" s="77" t="s">
        <v>163</v>
      </c>
      <c r="S70" s="77"/>
      <c r="T70" s="77"/>
      <c r="U70" s="77" t="s">
        <v>164</v>
      </c>
      <c r="V70" s="77"/>
      <c r="W70" s="77"/>
      <c r="X70" s="77" t="s">
        <v>165</v>
      </c>
      <c r="Y70" s="77"/>
      <c r="Z70" s="77"/>
      <c r="AA70" s="55" t="s">
        <v>84</v>
      </c>
    </row>
    <row r="71" customFormat="false" ht="15.75" hidden="false" customHeight="true" outlineLevel="0" collapsed="false">
      <c r="A71" s="55"/>
      <c r="B71" s="55"/>
      <c r="C71" s="55" t="s">
        <v>166</v>
      </c>
      <c r="D71" s="55" t="s">
        <v>167</v>
      </c>
      <c r="E71" s="55" t="s">
        <v>167</v>
      </c>
      <c r="F71" s="55" t="s">
        <v>12</v>
      </c>
      <c r="G71" s="55" t="s">
        <v>49</v>
      </c>
      <c r="H71" s="55" t="s">
        <v>50</v>
      </c>
      <c r="I71" s="55" t="s">
        <v>12</v>
      </c>
      <c r="J71" s="55" t="s">
        <v>49</v>
      </c>
      <c r="K71" s="55" t="s">
        <v>50</v>
      </c>
      <c r="L71" s="55" t="s">
        <v>12</v>
      </c>
      <c r="M71" s="55" t="s">
        <v>49</v>
      </c>
      <c r="N71" s="55" t="s">
        <v>50</v>
      </c>
      <c r="O71" s="55" t="s">
        <v>12</v>
      </c>
      <c r="P71" s="55" t="s">
        <v>49</v>
      </c>
      <c r="Q71" s="55" t="s">
        <v>50</v>
      </c>
      <c r="R71" s="55" t="s">
        <v>166</v>
      </c>
      <c r="S71" s="55" t="s">
        <v>167</v>
      </c>
      <c r="T71" s="55" t="s">
        <v>167</v>
      </c>
      <c r="U71" s="55" t="s">
        <v>12</v>
      </c>
      <c r="V71" s="55" t="s">
        <v>49</v>
      </c>
      <c r="W71" s="55" t="s">
        <v>50</v>
      </c>
      <c r="X71" s="55" t="s">
        <v>166</v>
      </c>
      <c r="Y71" s="55" t="s">
        <v>167</v>
      </c>
      <c r="Z71" s="55" t="s">
        <v>167</v>
      </c>
      <c r="AA71" s="55"/>
    </row>
    <row r="72" customFormat="false" ht="15" hidden="false" customHeight="false" outlineLevel="0" collapsed="false">
      <c r="A72" s="56"/>
      <c r="B72" s="57" t="str">
        <f aca="false">IF(A72="","",IF(Dashboard!$L$5="","",INT((A72-Dashboard!$L$5)/7)+1))</f>
        <v/>
      </c>
      <c r="C72" s="67"/>
      <c r="D72" s="83"/>
      <c r="E72" s="84" t="str">
        <f aca="false">IFERROR(IF(OR(C72="",D72=""),"",IF(Dashboard!$K$5="L",IF(D72=0,"",C72/D72),IF(Dashboard!$K$5="R",IF(C72=0,"",D72/C72),IF(MAX(C72,D72)=0,"",MIN(C72,D72)/MAX(C72,D72))))),"")</f>
        <v/>
      </c>
      <c r="F72" s="67"/>
      <c r="G72" s="67"/>
      <c r="H72" s="79" t="str">
        <f aca="false">IFERROR(IF(OR(F72="",G72=""),"",IF(Dashboard!$K$5="L",IF(G72=0,"",F72/G72),IF(Dashboard!$K$5="R",IF(F72=0,"",G72/F72),IF(MAX(F72,G72)=0,"",MIN(F72,G72)/MAX(F72,G72))))),"")</f>
        <v/>
      </c>
      <c r="I72" s="67"/>
      <c r="J72" s="67"/>
      <c r="K72" s="79" t="str">
        <f aca="false">IFERROR(IF(OR(I72="",J72=""),"",IF(Dashboard!$K$5="L",IF(J72=0,"",I72/J72),IF(Dashboard!$K$5="R",IF(I72=0,"",J72/I72),IF(MAX(I72,J72)=0,"",MIN(I72,J72)/MAX(I72,J72))))),"")</f>
        <v/>
      </c>
      <c r="L72" s="67"/>
      <c r="M72" s="67"/>
      <c r="N72" s="79" t="str">
        <f aca="false">IFERROR(IF(OR(L72="",M72=""),"",IF(Dashboard!$K$5="L",IF(M72=0,"",L72/M72),IF(Dashboard!$K$5="R",IF(L72=0,"",M72/L72),IF(MAX(L72,M72)=0,"",MIN(L72,M72)/MAX(L72,M72))))),"")</f>
        <v/>
      </c>
      <c r="O72" s="67"/>
      <c r="P72" s="67"/>
      <c r="Q72" s="79" t="str">
        <f aca="false">IFERROR(IF(OR(O72="",P72=""),"",IF(Dashboard!$K$5="L",IF(P72=0,"",O72/P72),IF(Dashboard!$K$5="R",IF(O72=0,"",P72/O72),IF(MAX(O72,P72)=0,"",MIN(O72,P72)/MAX(O72,P72))))),"")</f>
        <v/>
      </c>
      <c r="R72" s="67"/>
      <c r="S72" s="83"/>
      <c r="T72" s="84" t="str">
        <f aca="false">IFERROR(IF(OR(R72="",S72=""),"",IF(Dashboard!$K$5="L",IF(S72=0,"",R72/S72),IF(Dashboard!$K$5="R",IF(R72=0,"",S72/R72),IF(MAX(R72,S72)=0,"",MIN(R72,S72)/MAX(R72,S72))))),"")</f>
        <v/>
      </c>
      <c r="U72" s="67"/>
      <c r="V72" s="67"/>
      <c r="W72" s="79" t="str">
        <f aca="false">IFERROR(IF(OR(U72="",V72=""),"",IF(Dashboard!$K$5="L",IF(V72=0,"",U72/V72),IF(Dashboard!$K$5="R",IF(U72=0,"",V72/U72),IF(MAX(U72,V72)=0,"",MIN(U72,V72)/MAX(U72,V72))))),"")</f>
        <v/>
      </c>
      <c r="X72" s="67"/>
      <c r="Y72" s="83"/>
      <c r="Z72" s="84" t="str">
        <f aca="false">IFERROR(IF(OR(X72="",Y72=""),"",IF(Dashboard!$K$5="L",IF(Y72=0,"",X72/Y72),IF(Dashboard!$K$5="R",IF(X72=0,"",Y72/X72),IF(MAX(X72,Y72)=0,"",MIN(X72,Y72)/MAX(X72,Y72))))),"")</f>
        <v/>
      </c>
      <c r="AA72" s="58"/>
    </row>
    <row r="73" customFormat="false" ht="15" hidden="false" customHeight="false" outlineLevel="0" collapsed="false">
      <c r="A73" s="56"/>
      <c r="B73" s="57" t="str">
        <f aca="false">IF(A73="","",IF(Dashboard!$L$5="","",INT((A73-Dashboard!$L$5)/7)+1))</f>
        <v/>
      </c>
      <c r="C73" s="67"/>
      <c r="D73" s="83"/>
      <c r="E73" s="84" t="str">
        <f aca="false">IFERROR(IF(OR(C73="",D73=""),"",IF(Dashboard!$K$5="L",IF(D73=0,"",C73/D73),IF(Dashboard!$K$5="R",IF(C73=0,"",D73/C73),IF(MAX(C73,D73)=0,"",MIN(C73,D73)/MAX(C73,D73))))),"")</f>
        <v/>
      </c>
      <c r="F73" s="67"/>
      <c r="G73" s="67"/>
      <c r="H73" s="79" t="str">
        <f aca="false">IFERROR(IF(OR(F73="",G73=""),"",IF(Dashboard!$K$5="L",IF(G73=0,"",F73/G73),IF(Dashboard!$K$5="R",IF(F73=0,"",G73/F73),IF(MAX(F73,G73)=0,"",MIN(F73,G73)/MAX(F73,G73))))),"")</f>
        <v/>
      </c>
      <c r="I73" s="67"/>
      <c r="J73" s="67"/>
      <c r="K73" s="79" t="str">
        <f aca="false">IFERROR(IF(OR(I73="",J73=""),"",IF(Dashboard!$K$5="L",IF(J73=0,"",I73/J73),IF(Dashboard!$K$5="R",IF(I73=0,"",J73/I73),IF(MAX(I73,J73)=0,"",MIN(I73,J73)/MAX(I73,J73))))),"")</f>
        <v/>
      </c>
      <c r="L73" s="67"/>
      <c r="M73" s="67"/>
      <c r="N73" s="79" t="str">
        <f aca="false">IFERROR(IF(OR(L73="",M73=""),"",IF(Dashboard!$K$5="L",IF(M73=0,"",L73/M73),IF(Dashboard!$K$5="R",IF(L73=0,"",M73/L73),IF(MAX(L73,M73)=0,"",MIN(L73,M73)/MAX(L73,M73))))),"")</f>
        <v/>
      </c>
      <c r="O73" s="67"/>
      <c r="P73" s="67"/>
      <c r="Q73" s="79" t="str">
        <f aca="false">IFERROR(IF(OR(O73="",P73=""),"",IF(Dashboard!$K$5="L",IF(P73=0,"",O73/P73),IF(Dashboard!$K$5="R",IF(O73=0,"",P73/O73),IF(MAX(O73,P73)=0,"",MIN(O73,P73)/MAX(O73,P73))))),"")</f>
        <v/>
      </c>
      <c r="R73" s="67"/>
      <c r="S73" s="83"/>
      <c r="T73" s="84" t="str">
        <f aca="false">IFERROR(IF(OR(R73="",S73=""),"",IF(Dashboard!$K$5="L",IF(S73=0,"",R73/S73),IF(Dashboard!$K$5="R",IF(R73=0,"",S73/R73),IF(MAX(R73,S73)=0,"",MIN(R73,S73)/MAX(R73,S73))))),"")</f>
        <v/>
      </c>
      <c r="U73" s="67"/>
      <c r="V73" s="67"/>
      <c r="W73" s="79" t="str">
        <f aca="false">IFERROR(IF(OR(U73="",V73=""),"",IF(Dashboard!$K$5="L",IF(V73=0,"",U73/V73),IF(Dashboard!$K$5="R",IF(U73=0,"",V73/U73),IF(MAX(U73,V73)=0,"",MIN(U73,V73)/MAX(U73,V73))))),"")</f>
        <v/>
      </c>
      <c r="X73" s="67"/>
      <c r="Y73" s="83"/>
      <c r="Z73" s="84" t="str">
        <f aca="false">IFERROR(IF(OR(X73="",Y73=""),"",IF(Dashboard!$K$5="L",IF(Y73=0,"",X73/Y73),IF(Dashboard!$K$5="R",IF(X73=0,"",Y73/X73),IF(MAX(X73,Y73)=0,"",MIN(X73,Y73)/MAX(X73,Y73))))),"")</f>
        <v/>
      </c>
      <c r="AA73" s="58"/>
    </row>
    <row r="74" customFormat="false" ht="15" hidden="false" customHeight="false" outlineLevel="0" collapsed="false">
      <c r="A74" s="56"/>
      <c r="B74" s="57" t="str">
        <f aca="false">IF(A74="","",IF(Dashboard!$L$5="","",INT((A74-Dashboard!$L$5)/7)+1))</f>
        <v/>
      </c>
      <c r="C74" s="67"/>
      <c r="D74" s="83"/>
      <c r="E74" s="84" t="str">
        <f aca="false">IFERROR(IF(OR(C74="",D74=""),"",IF(Dashboard!$K$5="L",IF(D74=0,"",C74/D74),IF(Dashboard!$K$5="R",IF(C74=0,"",D74/C74),IF(MAX(C74,D74)=0,"",MIN(C74,D74)/MAX(C74,D74))))),"")</f>
        <v/>
      </c>
      <c r="F74" s="67"/>
      <c r="G74" s="67"/>
      <c r="H74" s="79" t="str">
        <f aca="false">IFERROR(IF(OR(F74="",G74=""),"",IF(Dashboard!$K$5="L",IF(G74=0,"",F74/G74),IF(Dashboard!$K$5="R",IF(F74=0,"",G74/F74),IF(MAX(F74,G74)=0,"",MIN(F74,G74)/MAX(F74,G74))))),"")</f>
        <v/>
      </c>
      <c r="I74" s="67"/>
      <c r="J74" s="67"/>
      <c r="K74" s="79" t="str">
        <f aca="false">IFERROR(IF(OR(I74="",J74=""),"",IF(Dashboard!$K$5="L",IF(J74=0,"",I74/J74),IF(Dashboard!$K$5="R",IF(I74=0,"",J74/I74),IF(MAX(I74,J74)=0,"",MIN(I74,J74)/MAX(I74,J74))))),"")</f>
        <v/>
      </c>
      <c r="L74" s="67"/>
      <c r="M74" s="67"/>
      <c r="N74" s="79" t="str">
        <f aca="false">IFERROR(IF(OR(L74="",M74=""),"",IF(Dashboard!$K$5="L",IF(M74=0,"",L74/M74),IF(Dashboard!$K$5="R",IF(L74=0,"",M74/L74),IF(MAX(L74,M74)=0,"",MIN(L74,M74)/MAX(L74,M74))))),"")</f>
        <v/>
      </c>
      <c r="O74" s="67"/>
      <c r="P74" s="67"/>
      <c r="Q74" s="79" t="str">
        <f aca="false">IFERROR(IF(OR(O74="",P74=""),"",IF(Dashboard!$K$5="L",IF(P74=0,"",O74/P74),IF(Dashboard!$K$5="R",IF(O74=0,"",P74/O74),IF(MAX(O74,P74)=0,"",MIN(O74,P74)/MAX(O74,P74))))),"")</f>
        <v/>
      </c>
      <c r="R74" s="67"/>
      <c r="S74" s="83"/>
      <c r="T74" s="84" t="str">
        <f aca="false">IFERROR(IF(OR(R74="",S74=""),"",IF(Dashboard!$K$5="L",IF(S74=0,"",R74/S74),IF(Dashboard!$K$5="R",IF(R74=0,"",S74/R74),IF(MAX(R74,S74)=0,"",MIN(R74,S74)/MAX(R74,S74))))),"")</f>
        <v/>
      </c>
      <c r="U74" s="67"/>
      <c r="V74" s="67"/>
      <c r="W74" s="79" t="str">
        <f aca="false">IFERROR(IF(OR(U74="",V74=""),"",IF(Dashboard!$K$5="L",IF(V74=0,"",U74/V74),IF(Dashboard!$K$5="R",IF(U74=0,"",V74/U74),IF(MAX(U74,V74)=0,"",MIN(U74,V74)/MAX(U74,V74))))),"")</f>
        <v/>
      </c>
      <c r="X74" s="67"/>
      <c r="Y74" s="83"/>
      <c r="Z74" s="84" t="str">
        <f aca="false">IFERROR(IF(OR(X74="",Y74=""),"",IF(Dashboard!$K$5="L",IF(Y74=0,"",X74/Y74),IF(Dashboard!$K$5="R",IF(X74=0,"",Y74/X74),IF(MAX(X74,Y74)=0,"",MIN(X74,Y74)/MAX(X74,Y74))))),"")</f>
        <v/>
      </c>
      <c r="AA74" s="58"/>
    </row>
    <row r="75" customFormat="false" ht="15" hidden="false" customHeight="false" outlineLevel="0" collapsed="false">
      <c r="A75" s="56"/>
      <c r="B75" s="57" t="str">
        <f aca="false">IF(A75="","",IF(Dashboard!$L$5="","",INT((A75-Dashboard!$L$5)/7)+1))</f>
        <v/>
      </c>
      <c r="C75" s="67"/>
      <c r="D75" s="83"/>
      <c r="E75" s="84" t="str">
        <f aca="false">IFERROR(IF(OR(C75="",D75=""),"",IF(Dashboard!$K$5="L",IF(D75=0,"",C75/D75),IF(Dashboard!$K$5="R",IF(C75=0,"",D75/C75),IF(MAX(C75,D75)=0,"",MIN(C75,D75)/MAX(C75,D75))))),"")</f>
        <v/>
      </c>
      <c r="F75" s="67"/>
      <c r="G75" s="67"/>
      <c r="H75" s="79" t="str">
        <f aca="false">IFERROR(IF(OR(F75="",G75=""),"",IF(Dashboard!$K$5="L",IF(G75=0,"",F75/G75),IF(Dashboard!$K$5="R",IF(F75=0,"",G75/F75),IF(MAX(F75,G75)=0,"",MIN(F75,G75)/MAX(F75,G75))))),"")</f>
        <v/>
      </c>
      <c r="I75" s="67"/>
      <c r="J75" s="67"/>
      <c r="K75" s="79" t="str">
        <f aca="false">IFERROR(IF(OR(I75="",J75=""),"",IF(Dashboard!$K$5="L",IF(J75=0,"",I75/J75),IF(Dashboard!$K$5="R",IF(I75=0,"",J75/I75),IF(MAX(I75,J75)=0,"",MIN(I75,J75)/MAX(I75,J75))))),"")</f>
        <v/>
      </c>
      <c r="L75" s="67"/>
      <c r="M75" s="67"/>
      <c r="N75" s="79" t="str">
        <f aca="false">IFERROR(IF(OR(L75="",M75=""),"",IF(Dashboard!$K$5="L",IF(M75=0,"",L75/M75),IF(Dashboard!$K$5="R",IF(L75=0,"",M75/L75),IF(MAX(L75,M75)=0,"",MIN(L75,M75)/MAX(L75,M75))))),"")</f>
        <v/>
      </c>
      <c r="O75" s="67"/>
      <c r="P75" s="67"/>
      <c r="Q75" s="79" t="str">
        <f aca="false">IFERROR(IF(OR(O75="",P75=""),"",IF(Dashboard!$K$5="L",IF(P75=0,"",O75/P75),IF(Dashboard!$K$5="R",IF(O75=0,"",P75/O75),IF(MAX(O75,P75)=0,"",MIN(O75,P75)/MAX(O75,P75))))),"")</f>
        <v/>
      </c>
      <c r="R75" s="67"/>
      <c r="S75" s="83"/>
      <c r="T75" s="84" t="str">
        <f aca="false">IFERROR(IF(OR(R75="",S75=""),"",IF(Dashboard!$K$5="L",IF(S75=0,"",R75/S75),IF(Dashboard!$K$5="R",IF(R75=0,"",S75/R75),IF(MAX(R75,S75)=0,"",MIN(R75,S75)/MAX(R75,S75))))),"")</f>
        <v/>
      </c>
      <c r="U75" s="67"/>
      <c r="V75" s="67"/>
      <c r="W75" s="79" t="str">
        <f aca="false">IFERROR(IF(OR(U75="",V75=""),"",IF(Dashboard!$K$5="L",IF(V75=0,"",U75/V75),IF(Dashboard!$K$5="R",IF(U75=0,"",V75/U75),IF(MAX(U75,V75)=0,"",MIN(U75,V75)/MAX(U75,V75))))),"")</f>
        <v/>
      </c>
      <c r="X75" s="67"/>
      <c r="Y75" s="83"/>
      <c r="Z75" s="84" t="str">
        <f aca="false">IFERROR(IF(OR(X75="",Y75=""),"",IF(Dashboard!$K$5="L",IF(Y75=0,"",X75/Y75),IF(Dashboard!$K$5="R",IF(X75=0,"",Y75/X75),IF(MAX(X75,Y75)=0,"",MIN(X75,Y75)/MAX(X75,Y75))))),"")</f>
        <v/>
      </c>
      <c r="AA75" s="58"/>
    </row>
    <row r="76" customFormat="false" ht="15" hidden="false" customHeight="false" outlineLevel="0" collapsed="false">
      <c r="A76" s="56"/>
      <c r="B76" s="57" t="str">
        <f aca="false">IF(A76="","",IF(Dashboard!$L$5="","",INT((A76-Dashboard!$L$5)/7)+1))</f>
        <v/>
      </c>
      <c r="C76" s="67"/>
      <c r="D76" s="83"/>
      <c r="E76" s="84" t="str">
        <f aca="false">IFERROR(IF(OR(C76="",D76=""),"",IF(Dashboard!$K$5="L",IF(D76=0,"",C76/D76),IF(Dashboard!$K$5="R",IF(C76=0,"",D76/C76),IF(MAX(C76,D76)=0,"",MIN(C76,D76)/MAX(C76,D76))))),"")</f>
        <v/>
      </c>
      <c r="F76" s="67"/>
      <c r="G76" s="67"/>
      <c r="H76" s="79" t="str">
        <f aca="false">IFERROR(IF(OR(F76="",G76=""),"",IF(Dashboard!$K$5="L",IF(G76=0,"",F76/G76),IF(Dashboard!$K$5="R",IF(F76=0,"",G76/F76),IF(MAX(F76,G76)=0,"",MIN(F76,G76)/MAX(F76,G76))))),"")</f>
        <v/>
      </c>
      <c r="I76" s="67"/>
      <c r="J76" s="67"/>
      <c r="K76" s="79" t="str">
        <f aca="false">IFERROR(IF(OR(I76="",J76=""),"",IF(Dashboard!$K$5="L",IF(J76=0,"",I76/J76),IF(Dashboard!$K$5="R",IF(I76=0,"",J76/I76),IF(MAX(I76,J76)=0,"",MIN(I76,J76)/MAX(I76,J76))))),"")</f>
        <v/>
      </c>
      <c r="L76" s="67"/>
      <c r="M76" s="67"/>
      <c r="N76" s="79" t="str">
        <f aca="false">IFERROR(IF(OR(L76="",M76=""),"",IF(Dashboard!$K$5="L",IF(M76=0,"",L76/M76),IF(Dashboard!$K$5="R",IF(L76=0,"",M76/L76),IF(MAX(L76,M76)=0,"",MIN(L76,M76)/MAX(L76,M76))))),"")</f>
        <v/>
      </c>
      <c r="O76" s="67"/>
      <c r="P76" s="67"/>
      <c r="Q76" s="79" t="str">
        <f aca="false">IFERROR(IF(OR(O76="",P76=""),"",IF(Dashboard!$K$5="L",IF(P76=0,"",O76/P76),IF(Dashboard!$K$5="R",IF(O76=0,"",P76/O76),IF(MAX(O76,P76)=0,"",MIN(O76,P76)/MAX(O76,P76))))),"")</f>
        <v/>
      </c>
      <c r="R76" s="67"/>
      <c r="S76" s="83"/>
      <c r="T76" s="84" t="str">
        <f aca="false">IFERROR(IF(OR(R76="",S76=""),"",IF(Dashboard!$K$5="L",IF(S76=0,"",R76/S76),IF(Dashboard!$K$5="R",IF(R76=0,"",S76/R76),IF(MAX(R76,S76)=0,"",MIN(R76,S76)/MAX(R76,S76))))),"")</f>
        <v/>
      </c>
      <c r="U76" s="67"/>
      <c r="V76" s="67"/>
      <c r="W76" s="79" t="str">
        <f aca="false">IFERROR(IF(OR(U76="",V76=""),"",IF(Dashboard!$K$5="L",IF(V76=0,"",U76/V76),IF(Dashboard!$K$5="R",IF(U76=0,"",V76/U76),IF(MAX(U76,V76)=0,"",MIN(U76,V76)/MAX(U76,V76))))),"")</f>
        <v/>
      </c>
      <c r="X76" s="67"/>
      <c r="Y76" s="83"/>
      <c r="Z76" s="84" t="str">
        <f aca="false">IFERROR(IF(OR(X76="",Y76=""),"",IF(Dashboard!$K$5="L",IF(Y76=0,"",X76/Y76),IF(Dashboard!$K$5="R",IF(X76=0,"",Y76/X76),IF(MAX(X76,Y76)=0,"",MIN(X76,Y76)/MAX(X76,Y76))))),"")</f>
        <v/>
      </c>
      <c r="AA76" s="58"/>
    </row>
    <row r="77" customFormat="false" ht="15" hidden="false" customHeight="false" outlineLevel="0" collapsed="false">
      <c r="A77" s="56"/>
      <c r="B77" s="57" t="str">
        <f aca="false">IF(A77="","",IF(Dashboard!$L$5="","",INT((A77-Dashboard!$L$5)/7)+1))</f>
        <v/>
      </c>
      <c r="C77" s="67"/>
      <c r="D77" s="83"/>
      <c r="E77" s="84" t="str">
        <f aca="false">IFERROR(IF(OR(C77="",D77=""),"",IF(Dashboard!$K$5="L",IF(D77=0,"",C77/D77),IF(Dashboard!$K$5="R",IF(C77=0,"",D77/C77),IF(MAX(C77,D77)=0,"",MIN(C77,D77)/MAX(C77,D77))))),"")</f>
        <v/>
      </c>
      <c r="F77" s="67"/>
      <c r="G77" s="67"/>
      <c r="H77" s="79" t="str">
        <f aca="false">IFERROR(IF(OR(F77="",G77=""),"",IF(Dashboard!$K$5="L",IF(G77=0,"",F77/G77),IF(Dashboard!$K$5="R",IF(F77=0,"",G77/F77),IF(MAX(F77,G77)=0,"",MIN(F77,G77)/MAX(F77,G77))))),"")</f>
        <v/>
      </c>
      <c r="I77" s="67"/>
      <c r="J77" s="67"/>
      <c r="K77" s="79" t="str">
        <f aca="false">IFERROR(IF(OR(I77="",J77=""),"",IF(Dashboard!$K$5="L",IF(J77=0,"",I77/J77),IF(Dashboard!$K$5="R",IF(I77=0,"",J77/I77),IF(MAX(I77,J77)=0,"",MIN(I77,J77)/MAX(I77,J77))))),"")</f>
        <v/>
      </c>
      <c r="L77" s="67"/>
      <c r="M77" s="67"/>
      <c r="N77" s="79" t="str">
        <f aca="false">IFERROR(IF(OR(L77="",M77=""),"",IF(Dashboard!$K$5="L",IF(M77=0,"",L77/M77),IF(Dashboard!$K$5="R",IF(L77=0,"",M77/L77),IF(MAX(L77,M77)=0,"",MIN(L77,M77)/MAX(L77,M77))))),"")</f>
        <v/>
      </c>
      <c r="O77" s="67"/>
      <c r="P77" s="67"/>
      <c r="Q77" s="79" t="str">
        <f aca="false">IFERROR(IF(OR(O77="",P77=""),"",IF(Dashboard!$K$5="L",IF(P77=0,"",O77/P77),IF(Dashboard!$K$5="R",IF(O77=0,"",P77/O77),IF(MAX(O77,P77)=0,"",MIN(O77,P77)/MAX(O77,P77))))),"")</f>
        <v/>
      </c>
      <c r="R77" s="67"/>
      <c r="S77" s="83"/>
      <c r="T77" s="84" t="str">
        <f aca="false">IFERROR(IF(OR(R77="",S77=""),"",IF(Dashboard!$K$5="L",IF(S77=0,"",R77/S77),IF(Dashboard!$K$5="R",IF(R77=0,"",S77/R77),IF(MAX(R77,S77)=0,"",MIN(R77,S77)/MAX(R77,S77))))),"")</f>
        <v/>
      </c>
      <c r="U77" s="67"/>
      <c r="V77" s="67"/>
      <c r="W77" s="79" t="str">
        <f aca="false">IFERROR(IF(OR(U77="",V77=""),"",IF(Dashboard!$K$5="L",IF(V77=0,"",U77/V77),IF(Dashboard!$K$5="R",IF(U77=0,"",V77/U77),IF(MAX(U77,V77)=0,"",MIN(U77,V77)/MAX(U77,V77))))),"")</f>
        <v/>
      </c>
      <c r="X77" s="67"/>
      <c r="Y77" s="83"/>
      <c r="Z77" s="84" t="str">
        <f aca="false">IFERROR(IF(OR(X77="",Y77=""),"",IF(Dashboard!$K$5="L",IF(Y77=0,"",X77/Y77),IF(Dashboard!$K$5="R",IF(X77=0,"",Y77/X77),IF(MAX(X77,Y77)=0,"",MIN(X77,Y77)/MAX(X77,Y77))))),"")</f>
        <v/>
      </c>
      <c r="AA77" s="58"/>
    </row>
    <row r="78" customFormat="false" ht="15" hidden="false" customHeight="false" outlineLevel="0" collapsed="false">
      <c r="A78" s="56"/>
      <c r="B78" s="57" t="str">
        <f aca="false">IF(A78="","",IF(Dashboard!$L$5="","",INT((A78-Dashboard!$L$5)/7)+1))</f>
        <v/>
      </c>
      <c r="C78" s="67"/>
      <c r="D78" s="83"/>
      <c r="E78" s="84" t="str">
        <f aca="false">IFERROR(IF(OR(C78="",D78=""),"",IF(Dashboard!$K$5="L",IF(D78=0,"",C78/D78),IF(Dashboard!$K$5="R",IF(C78=0,"",D78/C78),IF(MAX(C78,D78)=0,"",MIN(C78,D78)/MAX(C78,D78))))),"")</f>
        <v/>
      </c>
      <c r="F78" s="67"/>
      <c r="G78" s="67"/>
      <c r="H78" s="79" t="str">
        <f aca="false">IFERROR(IF(OR(F78="",G78=""),"",IF(Dashboard!$K$5="L",IF(G78=0,"",F78/G78),IF(Dashboard!$K$5="R",IF(F78=0,"",G78/F78),IF(MAX(F78,G78)=0,"",MIN(F78,G78)/MAX(F78,G78))))),"")</f>
        <v/>
      </c>
      <c r="I78" s="67"/>
      <c r="J78" s="67"/>
      <c r="K78" s="79" t="str">
        <f aca="false">IFERROR(IF(OR(I78="",J78=""),"",IF(Dashboard!$K$5="L",IF(J78=0,"",I78/J78),IF(Dashboard!$K$5="R",IF(I78=0,"",J78/I78),IF(MAX(I78,J78)=0,"",MIN(I78,J78)/MAX(I78,J78))))),"")</f>
        <v/>
      </c>
      <c r="L78" s="67"/>
      <c r="M78" s="67"/>
      <c r="N78" s="79" t="str">
        <f aca="false">IFERROR(IF(OR(L78="",M78=""),"",IF(Dashboard!$K$5="L",IF(M78=0,"",L78/M78),IF(Dashboard!$K$5="R",IF(L78=0,"",M78/L78),IF(MAX(L78,M78)=0,"",MIN(L78,M78)/MAX(L78,M78))))),"")</f>
        <v/>
      </c>
      <c r="O78" s="67"/>
      <c r="P78" s="67"/>
      <c r="Q78" s="79" t="str">
        <f aca="false">IFERROR(IF(OR(O78="",P78=""),"",IF(Dashboard!$K$5="L",IF(P78=0,"",O78/P78),IF(Dashboard!$K$5="R",IF(O78=0,"",P78/O78),IF(MAX(O78,P78)=0,"",MIN(O78,P78)/MAX(O78,P78))))),"")</f>
        <v/>
      </c>
      <c r="R78" s="67"/>
      <c r="S78" s="83"/>
      <c r="T78" s="84" t="str">
        <f aca="false">IFERROR(IF(OR(R78="",S78=""),"",IF(Dashboard!$K$5="L",IF(S78=0,"",R78/S78),IF(Dashboard!$K$5="R",IF(R78=0,"",S78/R78),IF(MAX(R78,S78)=0,"",MIN(R78,S78)/MAX(R78,S78))))),"")</f>
        <v/>
      </c>
      <c r="U78" s="67"/>
      <c r="V78" s="67"/>
      <c r="W78" s="79" t="str">
        <f aca="false">IFERROR(IF(OR(U78="",V78=""),"",IF(Dashboard!$K$5="L",IF(V78=0,"",U78/V78),IF(Dashboard!$K$5="R",IF(U78=0,"",V78/U78),IF(MAX(U78,V78)=0,"",MIN(U78,V78)/MAX(U78,V78))))),"")</f>
        <v/>
      </c>
      <c r="X78" s="67"/>
      <c r="Y78" s="83"/>
      <c r="Z78" s="84" t="str">
        <f aca="false">IFERROR(IF(OR(X78="",Y78=""),"",IF(Dashboard!$K$5="L",IF(Y78=0,"",X78/Y78),IF(Dashboard!$K$5="R",IF(X78=0,"",Y78/X78),IF(MAX(X78,Y78)=0,"",MIN(X78,Y78)/MAX(X78,Y78))))),"")</f>
        <v/>
      </c>
      <c r="AA78" s="58"/>
    </row>
    <row r="79" customFormat="false" ht="15" hidden="false" customHeight="false" outlineLevel="0" collapsed="false">
      <c r="A79" s="56"/>
      <c r="B79" s="57" t="str">
        <f aca="false">IF(A79="","",IF(Dashboard!$L$5="","",INT((A79-Dashboard!$L$5)/7)+1))</f>
        <v/>
      </c>
      <c r="C79" s="67"/>
      <c r="D79" s="83"/>
      <c r="E79" s="84" t="str">
        <f aca="false">IFERROR(IF(OR(C79="",D79=""),"",IF(Dashboard!$K$5="L",IF(D79=0,"",C79/D79),IF(Dashboard!$K$5="R",IF(C79=0,"",D79/C79),IF(MAX(C79,D79)=0,"",MIN(C79,D79)/MAX(C79,D79))))),"")</f>
        <v/>
      </c>
      <c r="F79" s="67"/>
      <c r="G79" s="67"/>
      <c r="H79" s="79" t="str">
        <f aca="false">IFERROR(IF(OR(F79="",G79=""),"",IF(Dashboard!$K$5="L",IF(G79=0,"",F79/G79),IF(Dashboard!$K$5="R",IF(F79=0,"",G79/F79),IF(MAX(F79,G79)=0,"",MIN(F79,G79)/MAX(F79,G79))))),"")</f>
        <v/>
      </c>
      <c r="I79" s="67"/>
      <c r="J79" s="67"/>
      <c r="K79" s="79" t="str">
        <f aca="false">IFERROR(IF(OR(I79="",J79=""),"",IF(Dashboard!$K$5="L",IF(J79=0,"",I79/J79),IF(Dashboard!$K$5="R",IF(I79=0,"",J79/I79),IF(MAX(I79,J79)=0,"",MIN(I79,J79)/MAX(I79,J79))))),"")</f>
        <v/>
      </c>
      <c r="L79" s="67"/>
      <c r="M79" s="67"/>
      <c r="N79" s="79" t="str">
        <f aca="false">IFERROR(IF(OR(L79="",M79=""),"",IF(Dashboard!$K$5="L",IF(M79=0,"",L79/M79),IF(Dashboard!$K$5="R",IF(L79=0,"",M79/L79),IF(MAX(L79,M79)=0,"",MIN(L79,M79)/MAX(L79,M79))))),"")</f>
        <v/>
      </c>
      <c r="O79" s="67"/>
      <c r="P79" s="67"/>
      <c r="Q79" s="79" t="str">
        <f aca="false">IFERROR(IF(OR(O79="",P79=""),"",IF(Dashboard!$K$5="L",IF(P79=0,"",O79/P79),IF(Dashboard!$K$5="R",IF(O79=0,"",P79/O79),IF(MAX(O79,P79)=0,"",MIN(O79,P79)/MAX(O79,P79))))),"")</f>
        <v/>
      </c>
      <c r="R79" s="67"/>
      <c r="S79" s="83"/>
      <c r="T79" s="84" t="str">
        <f aca="false">IFERROR(IF(OR(R79="",S79=""),"",IF(Dashboard!$K$5="L",IF(S79=0,"",R79/S79),IF(Dashboard!$K$5="R",IF(R79=0,"",S79/R79),IF(MAX(R79,S79)=0,"",MIN(R79,S79)/MAX(R79,S79))))),"")</f>
        <v/>
      </c>
      <c r="U79" s="67"/>
      <c r="V79" s="67"/>
      <c r="W79" s="79" t="str">
        <f aca="false">IFERROR(IF(OR(U79="",V79=""),"",IF(Dashboard!$K$5="L",IF(V79=0,"",U79/V79),IF(Dashboard!$K$5="R",IF(U79=0,"",V79/U79),IF(MAX(U79,V79)=0,"",MIN(U79,V79)/MAX(U79,V79))))),"")</f>
        <v/>
      </c>
      <c r="X79" s="67"/>
      <c r="Y79" s="83"/>
      <c r="Z79" s="84" t="str">
        <f aca="false">IFERROR(IF(OR(X79="",Y79=""),"",IF(Dashboard!$K$5="L",IF(Y79=0,"",X79/Y79),IF(Dashboard!$K$5="R",IF(X79=0,"",Y79/X79),IF(MAX(X79,Y79)=0,"",MIN(X79,Y79)/MAX(X79,Y79))))),"")</f>
        <v/>
      </c>
      <c r="AA79" s="58"/>
    </row>
    <row r="80" customFormat="false" ht="15" hidden="false" customHeight="false" outlineLevel="0" collapsed="false">
      <c r="A80" s="56"/>
      <c r="B80" s="57" t="str">
        <f aca="false">IF(A80="","",IF(Dashboard!$L$5="","",INT((A80-Dashboard!$L$5)/7)+1))</f>
        <v/>
      </c>
      <c r="C80" s="67"/>
      <c r="D80" s="83"/>
      <c r="E80" s="84" t="str">
        <f aca="false">IFERROR(IF(OR(C80="",D80=""),"",IF(Dashboard!$K$5="L",IF(D80=0,"",C80/D80),IF(Dashboard!$K$5="R",IF(C80=0,"",D80/C80),IF(MAX(C80,D80)=0,"",MIN(C80,D80)/MAX(C80,D80))))),"")</f>
        <v/>
      </c>
      <c r="F80" s="67"/>
      <c r="G80" s="67"/>
      <c r="H80" s="79" t="str">
        <f aca="false">IFERROR(IF(OR(F80="",G80=""),"",IF(Dashboard!$K$5="L",IF(G80=0,"",F80/G80),IF(Dashboard!$K$5="R",IF(F80=0,"",G80/F80),IF(MAX(F80,G80)=0,"",MIN(F80,G80)/MAX(F80,G80))))),"")</f>
        <v/>
      </c>
      <c r="I80" s="67"/>
      <c r="J80" s="67"/>
      <c r="K80" s="79" t="str">
        <f aca="false">IFERROR(IF(OR(I80="",J80=""),"",IF(Dashboard!$K$5="L",IF(J80=0,"",I80/J80),IF(Dashboard!$K$5="R",IF(I80=0,"",J80/I80),IF(MAX(I80,J80)=0,"",MIN(I80,J80)/MAX(I80,J80))))),"")</f>
        <v/>
      </c>
      <c r="L80" s="67"/>
      <c r="M80" s="67"/>
      <c r="N80" s="79" t="str">
        <f aca="false">IFERROR(IF(OR(L80="",M80=""),"",IF(Dashboard!$K$5="L",IF(M80=0,"",L80/M80),IF(Dashboard!$K$5="R",IF(L80=0,"",M80/L80),IF(MAX(L80,M80)=0,"",MIN(L80,M80)/MAX(L80,M80))))),"")</f>
        <v/>
      </c>
      <c r="O80" s="67"/>
      <c r="P80" s="67"/>
      <c r="Q80" s="79" t="str">
        <f aca="false">IFERROR(IF(OR(O80="",P80=""),"",IF(Dashboard!$K$5="L",IF(P80=0,"",O80/P80),IF(Dashboard!$K$5="R",IF(O80=0,"",P80/O80),IF(MAX(O80,P80)=0,"",MIN(O80,P80)/MAX(O80,P80))))),"")</f>
        <v/>
      </c>
      <c r="R80" s="67"/>
      <c r="S80" s="83"/>
      <c r="T80" s="84" t="str">
        <f aca="false">IFERROR(IF(OR(R80="",S80=""),"",IF(Dashboard!$K$5="L",IF(S80=0,"",R80/S80),IF(Dashboard!$K$5="R",IF(R80=0,"",S80/R80),IF(MAX(R80,S80)=0,"",MIN(R80,S80)/MAX(R80,S80))))),"")</f>
        <v/>
      </c>
      <c r="U80" s="67"/>
      <c r="V80" s="67"/>
      <c r="W80" s="79" t="str">
        <f aca="false">IFERROR(IF(OR(U80="",V80=""),"",IF(Dashboard!$K$5="L",IF(V80=0,"",U80/V80),IF(Dashboard!$K$5="R",IF(U80=0,"",V80/U80),IF(MAX(U80,V80)=0,"",MIN(U80,V80)/MAX(U80,V80))))),"")</f>
        <v/>
      </c>
      <c r="X80" s="67"/>
      <c r="Y80" s="83"/>
      <c r="Z80" s="84" t="str">
        <f aca="false">IFERROR(IF(OR(X80="",Y80=""),"",IF(Dashboard!$K$5="L",IF(Y80=0,"",X80/Y80),IF(Dashboard!$K$5="R",IF(X80=0,"",Y80/X80),IF(MAX(X80,Y80)=0,"",MIN(X80,Y80)/MAX(X80,Y80))))),"")</f>
        <v/>
      </c>
      <c r="AA80" s="58"/>
    </row>
    <row r="81" customFormat="false" ht="15" hidden="false" customHeight="false" outlineLevel="0" collapsed="false">
      <c r="A81" s="56"/>
      <c r="B81" s="57" t="str">
        <f aca="false">IF(A81="","",IF(Dashboard!$L$5="","",INT((A81-Dashboard!$L$5)/7)+1))</f>
        <v/>
      </c>
      <c r="C81" s="67"/>
      <c r="D81" s="83"/>
      <c r="E81" s="84" t="str">
        <f aca="false">IFERROR(IF(OR(C81="",D81=""),"",IF(Dashboard!$K$5="L",IF(D81=0,"",C81/D81),IF(Dashboard!$K$5="R",IF(C81=0,"",D81/C81),IF(MAX(C81,D81)=0,"",MIN(C81,D81)/MAX(C81,D81))))),"")</f>
        <v/>
      </c>
      <c r="F81" s="67"/>
      <c r="G81" s="67"/>
      <c r="H81" s="79" t="str">
        <f aca="false">IFERROR(IF(OR(F81="",G81=""),"",IF(Dashboard!$K$5="L",IF(G81=0,"",F81/G81),IF(Dashboard!$K$5="R",IF(F81=0,"",G81/F81),IF(MAX(F81,G81)=0,"",MIN(F81,G81)/MAX(F81,G81))))),"")</f>
        <v/>
      </c>
      <c r="I81" s="67"/>
      <c r="J81" s="67"/>
      <c r="K81" s="79" t="str">
        <f aca="false">IFERROR(IF(OR(I81="",J81=""),"",IF(Dashboard!$K$5="L",IF(J81=0,"",I81/J81),IF(Dashboard!$K$5="R",IF(I81=0,"",J81/I81),IF(MAX(I81,J81)=0,"",MIN(I81,J81)/MAX(I81,J81))))),"")</f>
        <v/>
      </c>
      <c r="L81" s="67"/>
      <c r="M81" s="67"/>
      <c r="N81" s="79" t="str">
        <f aca="false">IFERROR(IF(OR(L81="",M81=""),"",IF(Dashboard!$K$5="L",IF(M81=0,"",L81/M81),IF(Dashboard!$K$5="R",IF(L81=0,"",M81/L81),IF(MAX(L81,M81)=0,"",MIN(L81,M81)/MAX(L81,M81))))),"")</f>
        <v/>
      </c>
      <c r="O81" s="67"/>
      <c r="P81" s="67"/>
      <c r="Q81" s="79" t="str">
        <f aca="false">IFERROR(IF(OR(O81="",P81=""),"",IF(Dashboard!$K$5="L",IF(P81=0,"",O81/P81),IF(Dashboard!$K$5="R",IF(O81=0,"",P81/O81),IF(MAX(O81,P81)=0,"",MIN(O81,P81)/MAX(O81,P81))))),"")</f>
        <v/>
      </c>
      <c r="R81" s="67"/>
      <c r="S81" s="83"/>
      <c r="T81" s="84" t="str">
        <f aca="false">IFERROR(IF(OR(R81="",S81=""),"",IF(Dashboard!$K$5="L",IF(S81=0,"",R81/S81),IF(Dashboard!$K$5="R",IF(R81=0,"",S81/R81),IF(MAX(R81,S81)=0,"",MIN(R81,S81)/MAX(R81,S81))))),"")</f>
        <v/>
      </c>
      <c r="U81" s="67"/>
      <c r="V81" s="67"/>
      <c r="W81" s="79" t="str">
        <f aca="false">IFERROR(IF(OR(U81="",V81=""),"",IF(Dashboard!$K$5="L",IF(V81=0,"",U81/V81),IF(Dashboard!$K$5="R",IF(U81=0,"",V81/U81),IF(MAX(U81,V81)=0,"",MIN(U81,V81)/MAX(U81,V81))))),"")</f>
        <v/>
      </c>
      <c r="X81" s="67"/>
      <c r="Y81" s="83"/>
      <c r="Z81" s="84" t="str">
        <f aca="false">IFERROR(IF(OR(X81="",Y81=""),"",IF(Dashboard!$K$5="L",IF(Y81=0,"",X81/Y81),IF(Dashboard!$K$5="R",IF(X81=0,"",Y81/X81),IF(MAX(X81,Y81)=0,"",MIN(X81,Y81)/MAX(X81,Y81))))),"")</f>
        <v/>
      </c>
      <c r="AA81" s="58"/>
    </row>
    <row r="82" customFormat="false" ht="15" hidden="false" customHeight="false" outlineLevel="0" collapsed="false">
      <c r="A82" s="56"/>
      <c r="B82" s="57" t="str">
        <f aca="false">IF(A82="","",IF(Dashboard!$L$5="","",INT((A82-Dashboard!$L$5)/7)+1))</f>
        <v/>
      </c>
      <c r="C82" s="67"/>
      <c r="D82" s="83"/>
      <c r="E82" s="84" t="str">
        <f aca="false">IFERROR(IF(OR(C82="",D82=""),"",IF(Dashboard!$K$5="L",IF(D82=0,"",C82/D82),IF(Dashboard!$K$5="R",IF(C82=0,"",D82/C82),IF(MAX(C82,D82)=0,"",MIN(C82,D82)/MAX(C82,D82))))),"")</f>
        <v/>
      </c>
      <c r="F82" s="67"/>
      <c r="G82" s="67"/>
      <c r="H82" s="79" t="str">
        <f aca="false">IFERROR(IF(OR(F82="",G82=""),"",IF(Dashboard!$K$5="L",IF(G82=0,"",F82/G82),IF(Dashboard!$K$5="R",IF(F82=0,"",G82/F82),IF(MAX(F82,G82)=0,"",MIN(F82,G82)/MAX(F82,G82))))),"")</f>
        <v/>
      </c>
      <c r="I82" s="67"/>
      <c r="J82" s="67"/>
      <c r="K82" s="79" t="str">
        <f aca="false">IFERROR(IF(OR(I82="",J82=""),"",IF(Dashboard!$K$5="L",IF(J82=0,"",I82/J82),IF(Dashboard!$K$5="R",IF(I82=0,"",J82/I82),IF(MAX(I82,J82)=0,"",MIN(I82,J82)/MAX(I82,J82))))),"")</f>
        <v/>
      </c>
      <c r="L82" s="67"/>
      <c r="M82" s="67"/>
      <c r="N82" s="79" t="str">
        <f aca="false">IFERROR(IF(OR(L82="",M82=""),"",IF(Dashboard!$K$5="L",IF(M82=0,"",L82/M82),IF(Dashboard!$K$5="R",IF(L82=0,"",M82/L82),IF(MAX(L82,M82)=0,"",MIN(L82,M82)/MAX(L82,M82))))),"")</f>
        <v/>
      </c>
      <c r="O82" s="67"/>
      <c r="P82" s="67"/>
      <c r="Q82" s="79" t="str">
        <f aca="false">IFERROR(IF(OR(O82="",P82=""),"",IF(Dashboard!$K$5="L",IF(P82=0,"",O82/P82),IF(Dashboard!$K$5="R",IF(O82=0,"",P82/O82),IF(MAX(O82,P82)=0,"",MIN(O82,P82)/MAX(O82,P82))))),"")</f>
        <v/>
      </c>
      <c r="R82" s="67"/>
      <c r="S82" s="83"/>
      <c r="T82" s="84" t="str">
        <f aca="false">IFERROR(IF(OR(R82="",S82=""),"",IF(Dashboard!$K$5="L",IF(S82=0,"",R82/S82),IF(Dashboard!$K$5="R",IF(R82=0,"",S82/R82),IF(MAX(R82,S82)=0,"",MIN(R82,S82)/MAX(R82,S82))))),"")</f>
        <v/>
      </c>
      <c r="U82" s="67"/>
      <c r="V82" s="67"/>
      <c r="W82" s="79" t="str">
        <f aca="false">IFERROR(IF(OR(U82="",V82=""),"",IF(Dashboard!$K$5="L",IF(V82=0,"",U82/V82),IF(Dashboard!$K$5="R",IF(U82=0,"",V82/U82),IF(MAX(U82,V82)=0,"",MIN(U82,V82)/MAX(U82,V82))))),"")</f>
        <v/>
      </c>
      <c r="X82" s="67"/>
      <c r="Y82" s="83"/>
      <c r="Z82" s="84" t="str">
        <f aca="false">IFERROR(IF(OR(X82="",Y82=""),"",IF(Dashboard!$K$5="L",IF(Y82=0,"",X82/Y82),IF(Dashboard!$K$5="R",IF(X82=0,"",Y82/X82),IF(MAX(X82,Y82)=0,"",MIN(X82,Y82)/MAX(X82,Y82))))),"")</f>
        <v/>
      </c>
      <c r="AA82" s="58"/>
    </row>
    <row r="83" customFormat="false" ht="15" hidden="false" customHeight="false" outlineLevel="0" collapsed="false">
      <c r="A83" s="56"/>
      <c r="B83" s="57" t="str">
        <f aca="false">IF(A83="","",IF(Dashboard!$L$5="","",INT((A83-Dashboard!$L$5)/7)+1))</f>
        <v/>
      </c>
      <c r="C83" s="67"/>
      <c r="D83" s="83"/>
      <c r="E83" s="84" t="str">
        <f aca="false">IFERROR(IF(OR(C83="",D83=""),"",IF(Dashboard!$K$5="L",IF(D83=0,"",C83/D83),IF(Dashboard!$K$5="R",IF(C83=0,"",D83/C83),IF(MAX(C83,D83)=0,"",MIN(C83,D83)/MAX(C83,D83))))),"")</f>
        <v/>
      </c>
      <c r="F83" s="67"/>
      <c r="G83" s="67"/>
      <c r="H83" s="79" t="str">
        <f aca="false">IFERROR(IF(OR(F83="",G83=""),"",IF(Dashboard!$K$5="L",IF(G83=0,"",F83/G83),IF(Dashboard!$K$5="R",IF(F83=0,"",G83/F83),IF(MAX(F83,G83)=0,"",MIN(F83,G83)/MAX(F83,G83))))),"")</f>
        <v/>
      </c>
      <c r="I83" s="67"/>
      <c r="J83" s="67"/>
      <c r="K83" s="79" t="str">
        <f aca="false">IFERROR(IF(OR(I83="",J83=""),"",IF(Dashboard!$K$5="L",IF(J83=0,"",I83/J83),IF(Dashboard!$K$5="R",IF(I83=0,"",J83/I83),IF(MAX(I83,J83)=0,"",MIN(I83,J83)/MAX(I83,J83))))),"")</f>
        <v/>
      </c>
      <c r="L83" s="67"/>
      <c r="M83" s="67"/>
      <c r="N83" s="79" t="str">
        <f aca="false">IFERROR(IF(OR(L83="",M83=""),"",IF(Dashboard!$K$5="L",IF(M83=0,"",L83/M83),IF(Dashboard!$K$5="R",IF(L83=0,"",M83/L83),IF(MAX(L83,M83)=0,"",MIN(L83,M83)/MAX(L83,M83))))),"")</f>
        <v/>
      </c>
      <c r="O83" s="67"/>
      <c r="P83" s="67"/>
      <c r="Q83" s="79" t="str">
        <f aca="false">IFERROR(IF(OR(O83="",P83=""),"",IF(Dashboard!$K$5="L",IF(P83=0,"",O83/P83),IF(Dashboard!$K$5="R",IF(O83=0,"",P83/O83),IF(MAX(O83,P83)=0,"",MIN(O83,P83)/MAX(O83,P83))))),"")</f>
        <v/>
      </c>
      <c r="R83" s="67"/>
      <c r="S83" s="83"/>
      <c r="T83" s="84" t="str">
        <f aca="false">IFERROR(IF(OR(R83="",S83=""),"",IF(Dashboard!$K$5="L",IF(S83=0,"",R83/S83),IF(Dashboard!$K$5="R",IF(R83=0,"",S83/R83),IF(MAX(R83,S83)=0,"",MIN(R83,S83)/MAX(R83,S83))))),"")</f>
        <v/>
      </c>
      <c r="U83" s="67"/>
      <c r="V83" s="67"/>
      <c r="W83" s="79" t="str">
        <f aca="false">IFERROR(IF(OR(U83="",V83=""),"",IF(Dashboard!$K$5="L",IF(V83=0,"",U83/V83),IF(Dashboard!$K$5="R",IF(U83=0,"",V83/U83),IF(MAX(U83,V83)=0,"",MIN(U83,V83)/MAX(U83,V83))))),"")</f>
        <v/>
      </c>
      <c r="X83" s="67"/>
      <c r="Y83" s="83"/>
      <c r="Z83" s="84" t="str">
        <f aca="false">IFERROR(IF(OR(X83="",Y83=""),"",IF(Dashboard!$K$5="L",IF(Y83=0,"",X83/Y83),IF(Dashboard!$K$5="R",IF(X83=0,"",Y83/X83),IF(MAX(X83,Y83)=0,"",MIN(X83,Y83)/MAX(X83,Y83))))),"")</f>
        <v/>
      </c>
      <c r="AA83" s="58"/>
    </row>
    <row r="84" customFormat="false" ht="18" hidden="false" customHeight="true" outlineLevel="0" collapsed="false">
      <c r="A84" s="77" t="s">
        <v>151</v>
      </c>
      <c r="B84" s="77"/>
      <c r="C84" s="77" t="str">
        <f aca="false">IF(COUNT(C72:C83)=0,"",INDEX(C72:C83,SUMPRODUCT(MAX(ISNUMBER(C72:C83)*(($A$72:$A$83)=SUMPRODUCT(MAX(ISNUMBER(C72:C83)*($A$72:$A$83))))*(ROW(C72:C83)-ROW(C$72)+1)))))</f>
        <v/>
      </c>
      <c r="D84" s="77" t="str">
        <f aca="false">IF(COUNT(D72:D83)=0,"",INDEX(D72:D83,SUMPRODUCT(MAX(ISNUMBER(D72:D83)*(($A$72:$A$83)=SUMPRODUCT(MAX(ISNUMBER(D72:D83)*($A$72:$A$83))))*(ROW(D72:D83)-ROW(D$72)+1)))))</f>
        <v/>
      </c>
      <c r="E84" s="80" t="str">
        <f aca="false">IF(COUNT(E72:E83)=0,"",INDEX(E72:E83,SUMPRODUCT(MAX(ISNUMBER(E72:E83)*(($A$72:$A$83)=SUMPRODUCT(MAX(ISNUMBER(E72:E83)*($A$72:$A$83))))*(ROW(E72:E83)-ROW(E$72)+1)))))</f>
        <v/>
      </c>
      <c r="F84" s="77" t="str">
        <f aca="false">IF(COUNT(F72:F83)=0,"",INDEX(F72:F83,SUMPRODUCT(MAX(ISNUMBER(F72:F83)*(($A$72:$A$83)=SUMPRODUCT(MAX(ISNUMBER(F72:F83)*($A$72:$A$83))))*(ROW(F72:F83)-ROW(F$72)+1)))))</f>
        <v/>
      </c>
      <c r="G84" s="77" t="str">
        <f aca="false">IF(COUNT(G72:G83)=0,"",INDEX(G72:G83,SUMPRODUCT(MAX(ISNUMBER(G72:G83)*(($A$72:$A$83)=SUMPRODUCT(MAX(ISNUMBER(G72:G83)*($A$72:$A$83))))*(ROW(G72:G83)-ROW(G$72)+1)))))</f>
        <v/>
      </c>
      <c r="H84" s="80" t="str">
        <f aca="false">IF(COUNT(H72:H83)=0,"",INDEX(H72:H83,SUMPRODUCT(MAX(ISNUMBER(H72:H83)*(($A$72:$A$83)=SUMPRODUCT(MAX(ISNUMBER(H72:H83)*($A$72:$A$83))))*(ROW(H72:H83)-ROW(H$72)+1)))))</f>
        <v/>
      </c>
      <c r="I84" s="77" t="str">
        <f aca="false">IF(COUNT(I72:I83)=0,"",INDEX(I72:I83,SUMPRODUCT(MAX(ISNUMBER(I72:I83)*(($A$72:$A$83)=SUMPRODUCT(MAX(ISNUMBER(I72:I83)*($A$72:$A$83))))*(ROW(I72:I83)-ROW(I$72)+1)))))</f>
        <v/>
      </c>
      <c r="J84" s="77" t="str">
        <f aca="false">IF(COUNT(J72:J83)=0,"",INDEX(J72:J83,SUMPRODUCT(MAX(ISNUMBER(J72:J83)*(($A$72:$A$83)=SUMPRODUCT(MAX(ISNUMBER(J72:J83)*($A$72:$A$83))))*(ROW(J72:J83)-ROW(J$72)+1)))))</f>
        <v/>
      </c>
      <c r="K84" s="80" t="str">
        <f aca="false">IF(COUNT(K72:K83)=0,"",INDEX(K72:K83,SUMPRODUCT(MAX(ISNUMBER(K72:K83)*(($A$72:$A$83)=SUMPRODUCT(MAX(ISNUMBER(K72:K83)*($A$72:$A$83))))*(ROW(K72:K83)-ROW(K$72)+1)))))</f>
        <v/>
      </c>
      <c r="L84" s="77" t="str">
        <f aca="false">IF(COUNT(L72:L83)=0,"",INDEX(L72:L83,SUMPRODUCT(MAX(ISNUMBER(L72:L83)*(($A$72:$A$83)=SUMPRODUCT(MAX(ISNUMBER(L72:L83)*($A$72:$A$83))))*(ROW(L72:L83)-ROW(L$72)+1)))))</f>
        <v/>
      </c>
      <c r="M84" s="77" t="str">
        <f aca="false">IF(COUNT(M72:M83)=0,"",INDEX(M72:M83,SUMPRODUCT(MAX(ISNUMBER(M72:M83)*(($A$72:$A$83)=SUMPRODUCT(MAX(ISNUMBER(M72:M83)*($A$72:$A$83))))*(ROW(M72:M83)-ROW(M$72)+1)))))</f>
        <v/>
      </c>
      <c r="N84" s="80" t="str">
        <f aca="false">IF(COUNT(N72:N83)=0,"",INDEX(N72:N83,SUMPRODUCT(MAX(ISNUMBER(N72:N83)*(($A$72:$A$83)=SUMPRODUCT(MAX(ISNUMBER(N72:N83)*($A$72:$A$83))))*(ROW(N72:N83)-ROW(N$72)+1)))))</f>
        <v/>
      </c>
      <c r="O84" s="77" t="str">
        <f aca="false">IF(COUNT(O72:O83)=0,"",INDEX(O72:O83,SUMPRODUCT(MAX(ISNUMBER(O72:O83)*(($A$72:$A$83)=SUMPRODUCT(MAX(ISNUMBER(O72:O83)*($A$72:$A$83))))*(ROW(O72:O83)-ROW(O$72)+1)))))</f>
        <v/>
      </c>
      <c r="P84" s="77" t="str">
        <f aca="false">IF(COUNT(P72:P83)=0,"",INDEX(P72:P83,SUMPRODUCT(MAX(ISNUMBER(P72:P83)*(($A$72:$A$83)=SUMPRODUCT(MAX(ISNUMBER(P72:P83)*($A$72:$A$83))))*(ROW(P72:P83)-ROW(P$72)+1)))))</f>
        <v/>
      </c>
      <c r="Q84" s="80" t="str">
        <f aca="false">IF(COUNT(Q72:Q83)=0,"",INDEX(Q72:Q83,SUMPRODUCT(MAX(ISNUMBER(Q72:Q83)*(($A$72:$A$83)=SUMPRODUCT(MAX(ISNUMBER(Q72:Q83)*($A$72:$A$83))))*(ROW(Q72:Q83)-ROW(Q$72)+1)))))</f>
        <v/>
      </c>
      <c r="R84" s="77" t="str">
        <f aca="false">IF(COUNT(R72:R83)=0,"",INDEX(R72:R83,SUMPRODUCT(MAX(ISNUMBER(R72:R83)*(($A$72:$A$83)=SUMPRODUCT(MAX(ISNUMBER(R72:R83)*($A$72:$A$83))))*(ROW(R72:R83)-ROW(R$72)+1)))))</f>
        <v/>
      </c>
      <c r="S84" s="77" t="str">
        <f aca="false">IF(COUNT(S72:S83)=0,"",INDEX(S72:S83,SUMPRODUCT(MAX(ISNUMBER(S72:S83)*(($A$72:$A$83)=SUMPRODUCT(MAX(ISNUMBER(S72:S83)*($A$72:$A$83))))*(ROW(S72:S83)-ROW(S$72)+1)))))</f>
        <v/>
      </c>
      <c r="T84" s="80" t="str">
        <f aca="false">IF(COUNT(T72:T83)=0,"",INDEX(T72:T83,SUMPRODUCT(MAX(ISNUMBER(T72:T83)*(($A$72:$A$83)=SUMPRODUCT(MAX(ISNUMBER(T72:T83)*($A$72:$A$83))))*(ROW(T72:T83)-ROW(T$72)+1)))))</f>
        <v/>
      </c>
      <c r="U84" s="77" t="str">
        <f aca="false">IF(COUNT(U72:U83)=0,"",INDEX(U72:U83,SUMPRODUCT(MAX(ISNUMBER(U72:U83)*(($A$72:$A$83)=SUMPRODUCT(MAX(ISNUMBER(U72:U83)*($A$72:$A$83))))*(ROW(U72:U83)-ROW(U$72)+1)))))</f>
        <v/>
      </c>
      <c r="V84" s="77" t="str">
        <f aca="false">IF(COUNT(V72:V83)=0,"",INDEX(V72:V83,SUMPRODUCT(MAX(ISNUMBER(V72:V83)*(($A$72:$A$83)=SUMPRODUCT(MAX(ISNUMBER(V72:V83)*($A$72:$A$83))))*(ROW(V72:V83)-ROW(V$72)+1)))))</f>
        <v/>
      </c>
      <c r="W84" s="80" t="str">
        <f aca="false">IF(COUNT(W72:W83)=0,"",INDEX(W72:W83,SUMPRODUCT(MAX(ISNUMBER(W72:W83)*(($A$72:$A$83)=SUMPRODUCT(MAX(ISNUMBER(W72:W83)*($A$72:$A$83))))*(ROW(W72:W83)-ROW(W$72)+1)))))</f>
        <v/>
      </c>
      <c r="X84" s="77" t="str">
        <f aca="false">IF(COUNT(X72:X83)=0,"",INDEX(X72:X83,SUMPRODUCT(MAX(ISNUMBER(X72:X83)*(($A$72:$A$83)=SUMPRODUCT(MAX(ISNUMBER(X72:X83)*($A$72:$A$83))))*(ROW(X72:X83)-ROW(X$72)+1)))))</f>
        <v/>
      </c>
      <c r="Y84" s="77" t="str">
        <f aca="false">IF(COUNT(Y72:Y83)=0,"",INDEX(Y72:Y83,SUMPRODUCT(MAX(ISNUMBER(Y72:Y83)*(($A$72:$A$83)=SUMPRODUCT(MAX(ISNUMBER(Y72:Y83)*($A$72:$A$83))))*(ROW(Y72:Y83)-ROW(Y$72)+1)))))</f>
        <v/>
      </c>
      <c r="Z84" s="80" t="str">
        <f aca="false">IF(COUNT(Z72:Z83)=0,"",INDEX(Z72:Z83,SUMPRODUCT(MAX(ISNUMBER(Z72:Z83)*(($A$72:$A$83)=SUMPRODUCT(MAX(ISNUMBER(Z72:Z83)*($A$72:$A$83))))*(ROW(Z72:Z83)-ROW(Z$72)+1)))))</f>
        <v/>
      </c>
      <c r="AA84" s="81" t="s">
        <v>152</v>
      </c>
    </row>
    <row r="85" customFormat="false" ht="15" hidden="false" customHeight="true" outlineLevel="0" collapsed="false">
      <c r="A85" s="65" t="s">
        <v>153</v>
      </c>
      <c r="B85" s="65"/>
      <c r="C85" s="70" t="str">
        <f aca="false">IF(OR(COUNT(C72:C83)=0,SUMPRODUCT(MAX(ISNUMBER(C72:C83)*($A$72:$A$83)))=0),"",SUMPRODUCT(MAX(ISNUMBER(C72:C83)*($A$72:$A$83))))</f>
        <v/>
      </c>
      <c r="D85" s="70"/>
      <c r="E85" s="70"/>
      <c r="F85" s="70" t="str">
        <f aca="false">IF(OR(COUNT(F72:F83)=0,SUMPRODUCT(MAX(ISNUMBER(F72:F83)*($A$72:$A$83)))=0),"",SUMPRODUCT(MAX(ISNUMBER(F72:F83)*($A$72:$A$83))))</f>
        <v/>
      </c>
      <c r="G85" s="70"/>
      <c r="H85" s="70"/>
      <c r="I85" s="70" t="str">
        <f aca="false">IF(OR(COUNT(I72:I83)=0,SUMPRODUCT(MAX(ISNUMBER(I72:I83)*($A$72:$A$83)))=0),"",SUMPRODUCT(MAX(ISNUMBER(I72:I83)*($A$72:$A$83))))</f>
        <v/>
      </c>
      <c r="J85" s="70"/>
      <c r="K85" s="70"/>
      <c r="L85" s="70" t="str">
        <f aca="false">IF(OR(COUNT(L72:L83)=0,SUMPRODUCT(MAX(ISNUMBER(L72:L83)*($A$72:$A$83)))=0),"",SUMPRODUCT(MAX(ISNUMBER(L72:L83)*($A$72:$A$83))))</f>
        <v/>
      </c>
      <c r="M85" s="70"/>
      <c r="N85" s="70"/>
      <c r="O85" s="70" t="str">
        <f aca="false">IF(OR(COUNT(O72:O83)=0,SUMPRODUCT(MAX(ISNUMBER(O72:O83)*($A$72:$A$83)))=0),"",SUMPRODUCT(MAX(ISNUMBER(O72:O83)*($A$72:$A$83))))</f>
        <v/>
      </c>
      <c r="P85" s="70"/>
      <c r="Q85" s="70"/>
      <c r="R85" s="70" t="str">
        <f aca="false">IF(OR(COUNT(R72:R83)=0,SUMPRODUCT(MAX(ISNUMBER(R72:R83)*($A$72:$A$83)))=0),"",SUMPRODUCT(MAX(ISNUMBER(R72:R83)*($A$72:$A$83))))</f>
        <v/>
      </c>
      <c r="S85" s="70"/>
      <c r="T85" s="70"/>
      <c r="U85" s="70" t="str">
        <f aca="false">IF(OR(COUNT(U72:U83)=0,SUMPRODUCT(MAX(ISNUMBER(U72:U83)*($A$72:$A$83)))=0),"",SUMPRODUCT(MAX(ISNUMBER(U72:U83)*($A$72:$A$83))))</f>
        <v/>
      </c>
      <c r="V85" s="70"/>
      <c r="W85" s="70"/>
      <c r="X85" s="70" t="str">
        <f aca="false">IF(OR(COUNT(X72:X83)=0,SUMPRODUCT(MAX(ISNUMBER(X72:X83)*($A$72:$A$83)))=0),"",SUMPRODUCT(MAX(ISNUMBER(X72:X83)*($A$72:$A$83))))</f>
        <v/>
      </c>
      <c r="Y85" s="70"/>
      <c r="Z85" s="70"/>
      <c r="AA85" s="82"/>
    </row>
    <row r="87" customFormat="false" ht="15" hidden="false" customHeight="true" outlineLevel="0" collapsed="false">
      <c r="A87" s="54" t="s">
        <v>168</v>
      </c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</row>
    <row r="107" customFormat="false" ht="19.5" hidden="false" customHeight="true" outlineLevel="0" collapsed="false">
      <c r="A107" s="62" t="s">
        <v>169</v>
      </c>
      <c r="B107" s="62"/>
      <c r="C107" s="62"/>
      <c r="D107" s="62"/>
      <c r="E107" s="62"/>
      <c r="F107" s="62"/>
      <c r="G107" s="62"/>
      <c r="H107" s="62"/>
      <c r="I107" s="62"/>
      <c r="J107" s="62"/>
    </row>
    <row r="108" customFormat="false" ht="18" hidden="false" customHeight="true" outlineLevel="0" collapsed="false">
      <c r="A108" s="33" t="s">
        <v>170</v>
      </c>
      <c r="B108" s="33" t="s">
        <v>46</v>
      </c>
      <c r="C108" s="33" t="s">
        <v>47</v>
      </c>
      <c r="D108" s="33"/>
      <c r="E108" s="33" t="s">
        <v>171</v>
      </c>
      <c r="F108" s="33" t="s">
        <v>172</v>
      </c>
      <c r="G108" s="33" t="s">
        <v>173</v>
      </c>
      <c r="H108" s="33" t="s">
        <v>174</v>
      </c>
      <c r="I108" s="33" t="s">
        <v>175</v>
      </c>
      <c r="J108" s="33" t="s">
        <v>52</v>
      </c>
      <c r="K108" s="33" t="s">
        <v>176</v>
      </c>
      <c r="L108" s="33" t="s">
        <v>177</v>
      </c>
    </row>
    <row r="109" customFormat="false" ht="13.5" hidden="false" customHeight="true" outlineLevel="0" collapsed="false">
      <c r="A109" s="57" t="n">
        <v>1</v>
      </c>
      <c r="B109" s="73" t="s">
        <v>178</v>
      </c>
      <c r="C109" s="73" t="str">
        <f aca="false">C34</f>
        <v>Shoulder Flexion (°)</v>
      </c>
      <c r="D109" s="73"/>
      <c r="E109" s="85" t="b">
        <f aca="false">AND(C109&lt;&gt;"",LEFT(C109,1)&lt;&gt;"(")</f>
        <v>1</v>
      </c>
      <c r="F109" s="57" t="n">
        <f aca="false">IF(E109,COUNTIF($E$109:E109,TRUE()),"")</f>
        <v>1</v>
      </c>
      <c r="G109" s="57" t="str">
        <f aca="false">C48</f>
        <v/>
      </c>
      <c r="H109" s="57" t="str">
        <f aca="false">D48</f>
        <v/>
      </c>
      <c r="I109" s="86" t="str">
        <f aca="false">E48</f>
        <v/>
      </c>
      <c r="J109" s="87" t="str">
        <f aca="false">C49</f>
        <v/>
      </c>
      <c r="K109" s="57" t="str">
        <f aca="false">IFERROR(IF(COUNT($E$36:$E$47)&lt;2,"",TEXT((E48-INDEX($E$36:$E$47,SUMPRODUCT(MAX(ISNUMBER($E$36:$E$47)*(($A$36:$A$47)=SUMPRODUCT(LARGE(ISNUMBER($E$36:$E$47)*($A$36:$A$47),2)))*(ROW($E$36:$E$47)-ROW($E$36)+1)))))*100,"+0;-0;0")&amp;" pts"),"")</f>
        <v/>
      </c>
      <c r="L109" s="73" t="s">
        <v>107</v>
      </c>
    </row>
    <row r="110" customFormat="false" ht="13.5" hidden="false" customHeight="true" outlineLevel="0" collapsed="false">
      <c r="A110" s="57" t="n">
        <v>2</v>
      </c>
      <c r="B110" s="73" t="s">
        <v>178</v>
      </c>
      <c r="C110" s="73" t="str">
        <f aca="false">F34</f>
        <v>ER @ 90° abd (°)</v>
      </c>
      <c r="D110" s="73"/>
      <c r="E110" s="85" t="b">
        <f aca="false">AND(C110&lt;&gt;"",LEFT(C110,1)&lt;&gt;"(")</f>
        <v>1</v>
      </c>
      <c r="F110" s="57" t="n">
        <f aca="false">IF(E110,COUNTIF($E$109:E110,TRUE()),"")</f>
        <v>2</v>
      </c>
      <c r="G110" s="57" t="str">
        <f aca="false">F48</f>
        <v/>
      </c>
      <c r="H110" s="57" t="str">
        <f aca="false">G48</f>
        <v/>
      </c>
      <c r="I110" s="86" t="str">
        <f aca="false">H48</f>
        <v/>
      </c>
      <c r="J110" s="87" t="str">
        <f aca="false">F49</f>
        <v/>
      </c>
      <c r="K110" s="57" t="str">
        <f aca="false">IFERROR(IF(COUNT($H$36:$H$47)&lt;2,"",TEXT((H48-INDEX($H$36:$H$47,SUMPRODUCT(MAX(ISNUMBER($H$36:$H$47)*(($A$36:$A$47)=SUMPRODUCT(LARGE(ISNUMBER($H$36:$H$47)*($A$36:$A$47),2)))*(ROW($H$36:$H$47)-ROW($H$36)+1)))))*100,"+0;-0;0")&amp;" pts"),"")</f>
        <v/>
      </c>
      <c r="L110" s="73" t="s">
        <v>130</v>
      </c>
    </row>
    <row r="111" customFormat="false" ht="13.5" hidden="false" customHeight="true" outlineLevel="0" collapsed="false">
      <c r="A111" s="57" t="n">
        <v>3</v>
      </c>
      <c r="B111" s="73" t="s">
        <v>178</v>
      </c>
      <c r="C111" s="73" t="str">
        <f aca="false">I34</f>
        <v>IR @ 90° abd (°)</v>
      </c>
      <c r="D111" s="73"/>
      <c r="E111" s="85" t="b">
        <f aca="false">AND(C111&lt;&gt;"",LEFT(C111,1)&lt;&gt;"(")</f>
        <v>1</v>
      </c>
      <c r="F111" s="57" t="n">
        <f aca="false">IF(E111,COUNTIF($E$109:E111,TRUE()),"")</f>
        <v>3</v>
      </c>
      <c r="G111" s="57" t="str">
        <f aca="false">I48</f>
        <v/>
      </c>
      <c r="H111" s="57" t="str">
        <f aca="false">J48</f>
        <v/>
      </c>
      <c r="I111" s="86" t="str">
        <f aca="false">K48</f>
        <v/>
      </c>
      <c r="J111" s="87" t="str">
        <f aca="false">I49</f>
        <v/>
      </c>
      <c r="K111" s="57" t="str">
        <f aca="false">IFERROR(IF(COUNT($K$36:$K$47)&lt;2,"",TEXT((K48-INDEX($K$36:$K$47,SUMPRODUCT(MAX(ISNUMBER($K$36:$K$47)*(($A$36:$A$47)=SUMPRODUCT(LARGE(ISNUMBER($K$36:$K$47)*($A$36:$A$47),2)))*(ROW($K$36:$K$47)-ROW($K$36)+1)))))*100,"+0;-0;0")&amp;" pts"),"")</f>
        <v/>
      </c>
      <c r="L111" s="73" t="s">
        <v>132</v>
      </c>
    </row>
    <row r="112" customFormat="false" ht="13.5" hidden="false" customHeight="true" outlineLevel="0" collapsed="false">
      <c r="A112" s="57" t="n">
        <v>4</v>
      </c>
      <c r="B112" s="73" t="s">
        <v>178</v>
      </c>
      <c r="C112" s="73" t="str">
        <f aca="false">L34</f>
        <v>Abduction (°)</v>
      </c>
      <c r="D112" s="73"/>
      <c r="E112" s="85" t="b">
        <f aca="false">AND(C112&lt;&gt;"",LEFT(C112,1)&lt;&gt;"(")</f>
        <v>1</v>
      </c>
      <c r="F112" s="57" t="n">
        <f aca="false">IF(E112,COUNTIF($E$109:E112,TRUE()),"")</f>
        <v>4</v>
      </c>
      <c r="G112" s="57" t="str">
        <f aca="false">L48</f>
        <v/>
      </c>
      <c r="H112" s="57" t="str">
        <f aca="false">M48</f>
        <v/>
      </c>
      <c r="I112" s="86" t="str">
        <f aca="false">N48</f>
        <v/>
      </c>
      <c r="J112" s="87" t="str">
        <f aca="false">L49</f>
        <v/>
      </c>
      <c r="K112" s="57" t="str">
        <f aca="false">IFERROR(IF(COUNT($N$36:$N$47)&lt;2,"",TEXT((N48-INDEX($N$36:$N$47,SUMPRODUCT(MAX(ISNUMBER($N$36:$N$47)*(($A$36:$A$47)=SUMPRODUCT(LARGE(ISNUMBER($N$36:$N$47)*($A$36:$A$47),2)))*(ROW($N$36:$N$47)-ROW($N$36)+1)))))*100,"+0;-0;0")&amp;" pts"),"")</f>
        <v/>
      </c>
      <c r="L112" s="73" t="s">
        <v>137</v>
      </c>
    </row>
    <row r="113" customFormat="false" ht="13.5" hidden="false" customHeight="true" outlineLevel="0" collapsed="false">
      <c r="A113" s="57" t="n">
        <v>5</v>
      </c>
      <c r="B113" s="73" t="s">
        <v>178</v>
      </c>
      <c r="C113" s="73" t="str">
        <f aca="false">O34</f>
        <v>(spare slot — rename)</v>
      </c>
      <c r="D113" s="73"/>
      <c r="E113" s="85" t="b">
        <f aca="false">AND(C113&lt;&gt;"",LEFT(C113,1)&lt;&gt;"(")</f>
        <v>0</v>
      </c>
      <c r="F113" s="57" t="str">
        <f aca="false">IF(E113,COUNTIF($E$109:E113,TRUE()),"")</f>
        <v/>
      </c>
      <c r="G113" s="57" t="str">
        <f aca="false">O48</f>
        <v/>
      </c>
      <c r="H113" s="57" t="str">
        <f aca="false">P48</f>
        <v/>
      </c>
      <c r="I113" s="86" t="str">
        <f aca="false">Q48</f>
        <v/>
      </c>
      <c r="J113" s="87" t="str">
        <f aca="false">O49</f>
        <v/>
      </c>
      <c r="K113" s="57" t="str">
        <f aca="false">IFERROR(IF(COUNT($Q$36:$Q$47)&lt;2,"",TEXT((Q48-INDEX($Q$36:$Q$47,SUMPRODUCT(MAX(ISNUMBER($Q$36:$Q$47)*(($A$36:$A$47)=SUMPRODUCT(LARGE(ISNUMBER($Q$36:$Q$47)*($A$36:$A$47),2)))*(ROW($Q$36:$Q$47)-ROW($Q$36)+1)))))*100,"+0;-0;0")&amp;" pts"),"")</f>
        <v/>
      </c>
      <c r="L113" s="73" t="s">
        <v>179</v>
      </c>
    </row>
    <row r="114" customFormat="false" ht="13.5" hidden="false" customHeight="true" outlineLevel="0" collapsed="false">
      <c r="A114" s="57" t="n">
        <v>6</v>
      </c>
      <c r="B114" s="73" t="s">
        <v>178</v>
      </c>
      <c r="C114" s="73" t="str">
        <f aca="false">R34</f>
        <v>(spare slot — rename)</v>
      </c>
      <c r="D114" s="73"/>
      <c r="E114" s="85" t="b">
        <f aca="false">AND(C114&lt;&gt;"",LEFT(C114,1)&lt;&gt;"(")</f>
        <v>0</v>
      </c>
      <c r="F114" s="57" t="str">
        <f aca="false">IF(E114,COUNTIF($E$109:E114,TRUE()),"")</f>
        <v/>
      </c>
      <c r="G114" s="57" t="str">
        <f aca="false">R48</f>
        <v/>
      </c>
      <c r="H114" s="57" t="str">
        <f aca="false">S48</f>
        <v/>
      </c>
      <c r="I114" s="86" t="str">
        <f aca="false">T48</f>
        <v/>
      </c>
      <c r="J114" s="87" t="str">
        <f aca="false">R49</f>
        <v/>
      </c>
      <c r="K114" s="57" t="str">
        <f aca="false">IFERROR(IF(COUNT($T$36:$T$47)&lt;2,"",TEXT((T48-INDEX($T$36:$T$47,SUMPRODUCT(MAX(ISNUMBER($T$36:$T$47)*(($A$36:$A$47)=SUMPRODUCT(LARGE(ISNUMBER($T$36:$T$47)*($A$36:$A$47),2)))*(ROW($T$36:$T$47)-ROW($T$36)+1)))))*100,"+0;-0;0")&amp;" pts"),"")</f>
        <v/>
      </c>
      <c r="L114" s="73" t="s">
        <v>180</v>
      </c>
    </row>
    <row r="115" customFormat="false" ht="13.5" hidden="false" customHeight="true" outlineLevel="0" collapsed="false">
      <c r="A115" s="57" t="n">
        <v>7</v>
      </c>
      <c r="B115" s="73" t="s">
        <v>178</v>
      </c>
      <c r="C115" s="73" t="str">
        <f aca="false">U34</f>
        <v>(spare slot — rename)</v>
      </c>
      <c r="D115" s="73"/>
      <c r="E115" s="85" t="b">
        <f aca="false">AND(C115&lt;&gt;"",LEFT(C115,1)&lt;&gt;"(")</f>
        <v>0</v>
      </c>
      <c r="F115" s="57" t="str">
        <f aca="false">IF(E115,COUNTIF($E$109:E115,TRUE()),"")</f>
        <v/>
      </c>
      <c r="G115" s="57" t="str">
        <f aca="false">U48</f>
        <v/>
      </c>
      <c r="H115" s="57" t="str">
        <f aca="false">V48</f>
        <v/>
      </c>
      <c r="I115" s="86" t="str">
        <f aca="false">W48</f>
        <v/>
      </c>
      <c r="J115" s="87" t="str">
        <f aca="false">U49</f>
        <v/>
      </c>
      <c r="K115" s="57" t="str">
        <f aca="false">IFERROR(IF(COUNT($W$36:$W$47)&lt;2,"",TEXT((W48-INDEX($W$36:$W$47,SUMPRODUCT(MAX(ISNUMBER($W$36:$W$47)*(($A$36:$A$47)=SUMPRODUCT(LARGE(ISNUMBER($W$36:$W$47)*($A$36:$A$47),2)))*(ROW($W$36:$W$47)-ROW($W$36)+1)))))*100,"+0;-0;0")&amp;" pts"),"")</f>
        <v/>
      </c>
      <c r="L115" s="73" t="s">
        <v>181</v>
      </c>
    </row>
    <row r="116" customFormat="false" ht="13.5" hidden="false" customHeight="true" outlineLevel="0" collapsed="false">
      <c r="A116" s="57" t="n">
        <v>8</v>
      </c>
      <c r="B116" s="73" t="s">
        <v>178</v>
      </c>
      <c r="C116" s="73" t="str">
        <f aca="false">X34</f>
        <v>(spare slot — rename)</v>
      </c>
      <c r="D116" s="73"/>
      <c r="E116" s="85" t="b">
        <f aca="false">AND(C116&lt;&gt;"",LEFT(C116,1)&lt;&gt;"(")</f>
        <v>0</v>
      </c>
      <c r="F116" s="57" t="str">
        <f aca="false">IF(E116,COUNTIF($E$109:E116,TRUE()),"")</f>
        <v/>
      </c>
      <c r="G116" s="57" t="str">
        <f aca="false">X48</f>
        <v/>
      </c>
      <c r="H116" s="57" t="str">
        <f aca="false">Y48</f>
        <v/>
      </c>
      <c r="I116" s="86" t="str">
        <f aca="false">Z48</f>
        <v/>
      </c>
      <c r="J116" s="87" t="str">
        <f aca="false">X49</f>
        <v/>
      </c>
      <c r="K116" s="57" t="str">
        <f aca="false">IFERROR(IF(COUNT($Z$36:$Z$47)&lt;2,"",TEXT((Z48-INDEX($Z$36:$Z$47,SUMPRODUCT(MAX(ISNUMBER($Z$36:$Z$47)*(($A$36:$A$47)=SUMPRODUCT(LARGE(ISNUMBER($Z$36:$Z$47)*($A$36:$A$47),2)))*(ROW($Z$36:$Z$47)-ROW($Z$36)+1)))))*100,"+0;-0;0")&amp;" pts"),"")</f>
        <v/>
      </c>
      <c r="L116" s="73" t="str">
        <f aca="false">C109</f>
        <v>Shoulder Flexion (°)</v>
      </c>
    </row>
    <row r="117" customFormat="false" ht="13.5" hidden="false" customHeight="true" outlineLevel="0" collapsed="false">
      <c r="A117" s="57" t="n">
        <v>9</v>
      </c>
      <c r="B117" s="73" t="s">
        <v>182</v>
      </c>
      <c r="C117" s="73" t="str">
        <f aca="false">C52</f>
        <v>Iso ER (N)</v>
      </c>
      <c r="D117" s="73"/>
      <c r="E117" s="85" t="b">
        <f aca="false">AND(C117&lt;&gt;"",LEFT(C117,1)&lt;&gt;"(")</f>
        <v>1</v>
      </c>
      <c r="F117" s="57" t="n">
        <f aca="false">IF(E117,COUNTIF($E$109:E117,TRUE()),"")</f>
        <v>5</v>
      </c>
      <c r="G117" s="57" t="str">
        <f aca="false">C66</f>
        <v/>
      </c>
      <c r="H117" s="57" t="str">
        <f aca="false">D66</f>
        <v/>
      </c>
      <c r="I117" s="86" t="str">
        <f aca="false">E66</f>
        <v/>
      </c>
      <c r="J117" s="87" t="str">
        <f aca="false">C67</f>
        <v/>
      </c>
      <c r="K117" s="57" t="str">
        <f aca="false">IFERROR(IF(COUNT($E$54:$E$65)&lt;2,"",TEXT((E66-INDEX($E$54:$E$65,SUMPRODUCT(MAX(ISNUMBER($E$54:$E$65)*(($A$54:$A$65)=SUMPRODUCT(LARGE(ISNUMBER($E$54:$E$65)*($A$54:$A$65),2)))*(ROW($E$54:$E$65)-ROW($E$54)+1)))))*100,"+0;-0;0")&amp;" pts"),"")</f>
        <v/>
      </c>
      <c r="L117" s="73" t="str">
        <f aca="false">C110</f>
        <v>ER @ 90° abd (°)</v>
      </c>
    </row>
    <row r="118" customFormat="false" ht="13.5" hidden="false" customHeight="true" outlineLevel="0" collapsed="false">
      <c r="A118" s="57" t="n">
        <v>10</v>
      </c>
      <c r="B118" s="73" t="s">
        <v>182</v>
      </c>
      <c r="C118" s="73" t="str">
        <f aca="false">F52</f>
        <v>Iso IR (N)</v>
      </c>
      <c r="D118" s="73"/>
      <c r="E118" s="85" t="b">
        <f aca="false">AND(C118&lt;&gt;"",LEFT(C118,1)&lt;&gt;"(")</f>
        <v>1</v>
      </c>
      <c r="F118" s="57" t="n">
        <f aca="false">IF(E118,COUNTIF($E$109:E118,TRUE()),"")</f>
        <v>6</v>
      </c>
      <c r="G118" s="57" t="str">
        <f aca="false">F66</f>
        <v/>
      </c>
      <c r="H118" s="57" t="str">
        <f aca="false">G66</f>
        <v/>
      </c>
      <c r="I118" s="86" t="str">
        <f aca="false">H66</f>
        <v/>
      </c>
      <c r="J118" s="87" t="str">
        <f aca="false">F67</f>
        <v/>
      </c>
      <c r="K118" s="57" t="str">
        <f aca="false">IFERROR(IF(COUNT($H$54:$H$65)&lt;2,"",TEXT((H66-INDEX($H$54:$H$65,SUMPRODUCT(MAX(ISNUMBER($H$54:$H$65)*(($A$54:$A$65)=SUMPRODUCT(LARGE(ISNUMBER($H$54:$H$65)*($A$54:$A$65),2)))*(ROW($H$54:$H$65)-ROW($H$54)+1)))))*100,"+0;-0;0")&amp;" pts"),"")</f>
        <v/>
      </c>
      <c r="L118" s="73" t="str">
        <f aca="false">C111</f>
        <v>IR @ 90° abd (°)</v>
      </c>
    </row>
    <row r="119" customFormat="false" ht="13.5" hidden="false" customHeight="true" outlineLevel="0" collapsed="false">
      <c r="A119" s="57" t="n">
        <v>11</v>
      </c>
      <c r="B119" s="73" t="s">
        <v>182</v>
      </c>
      <c r="C119" s="73" t="str">
        <f aca="false">I52</f>
        <v>ASH Test — I position (N)</v>
      </c>
      <c r="D119" s="73"/>
      <c r="E119" s="85" t="b">
        <f aca="false">AND(C119&lt;&gt;"",LEFT(C119,1)&lt;&gt;"(")</f>
        <v>1</v>
      </c>
      <c r="F119" s="57" t="n">
        <f aca="false">IF(E119,COUNTIF($E$109:E119,TRUE()),"")</f>
        <v>7</v>
      </c>
      <c r="G119" s="57" t="str">
        <f aca="false">I66</f>
        <v/>
      </c>
      <c r="H119" s="57" t="str">
        <f aca="false">J66</f>
        <v/>
      </c>
      <c r="I119" s="86" t="str">
        <f aca="false">K66</f>
        <v/>
      </c>
      <c r="J119" s="87" t="str">
        <f aca="false">I67</f>
        <v/>
      </c>
      <c r="K119" s="57" t="str">
        <f aca="false">IFERROR(IF(COUNT($K$54:$K$65)&lt;2,"",TEXT((K66-INDEX($K$54:$K$65,SUMPRODUCT(MAX(ISNUMBER($K$54:$K$65)*(($A$54:$A$65)=SUMPRODUCT(LARGE(ISNUMBER($K$54:$K$65)*($A$54:$A$65),2)))*(ROW($K$54:$K$65)-ROW($K$54)+1)))))*100,"+0;-0;0")&amp;" pts"),"")</f>
        <v/>
      </c>
      <c r="L119" s="73" t="str">
        <f aca="false">C112</f>
        <v>Abduction (°)</v>
      </c>
    </row>
    <row r="120" customFormat="false" ht="13.5" hidden="false" customHeight="true" outlineLevel="0" collapsed="false">
      <c r="A120" s="57" t="n">
        <v>12</v>
      </c>
      <c r="B120" s="73" t="s">
        <v>182</v>
      </c>
      <c r="C120" s="73" t="str">
        <f aca="false">L52</f>
        <v>ASH Test — Y position (N)</v>
      </c>
      <c r="D120" s="73"/>
      <c r="E120" s="85" t="b">
        <f aca="false">AND(C120&lt;&gt;"",LEFT(C120,1)&lt;&gt;"(")</f>
        <v>1</v>
      </c>
      <c r="F120" s="57" t="n">
        <f aca="false">IF(E120,COUNTIF($E$109:E120,TRUE()),"")</f>
        <v>8</v>
      </c>
      <c r="G120" s="57" t="str">
        <f aca="false">L66</f>
        <v/>
      </c>
      <c r="H120" s="57" t="str">
        <f aca="false">M66</f>
        <v/>
      </c>
      <c r="I120" s="86" t="str">
        <f aca="false">N66</f>
        <v/>
      </c>
      <c r="J120" s="87" t="str">
        <f aca="false">L67</f>
        <v/>
      </c>
      <c r="K120" s="57" t="str">
        <f aca="false">IFERROR(IF(COUNT($N$54:$N$65)&lt;2,"",TEXT((N66-INDEX($N$54:$N$65,SUMPRODUCT(MAX(ISNUMBER($N$54:$N$65)*(($A$54:$A$65)=SUMPRODUCT(LARGE(ISNUMBER($N$54:$N$65)*($A$54:$A$65),2)))*(ROW($N$54:$N$65)-ROW($N$54)+1)))))*100,"+0;-0;0")&amp;" pts"),"")</f>
        <v/>
      </c>
      <c r="L120" s="73" t="str">
        <f aca="false">C113</f>
        <v>(spare slot — rename)</v>
      </c>
    </row>
    <row r="121" customFormat="false" ht="13.5" hidden="false" customHeight="true" outlineLevel="0" collapsed="false">
      <c r="A121" s="57" t="n">
        <v>13</v>
      </c>
      <c r="B121" s="73" t="s">
        <v>182</v>
      </c>
      <c r="C121" s="73" t="str">
        <f aca="false">O52</f>
        <v>(spare slot — rename)</v>
      </c>
      <c r="D121" s="73"/>
      <c r="E121" s="85" t="b">
        <f aca="false">AND(C121&lt;&gt;"",LEFT(C121,1)&lt;&gt;"(")</f>
        <v>0</v>
      </c>
      <c r="F121" s="57" t="str">
        <f aca="false">IF(E121,COUNTIF($E$109:E121,TRUE()),"")</f>
        <v/>
      </c>
      <c r="G121" s="57" t="str">
        <f aca="false">O66</f>
        <v/>
      </c>
      <c r="H121" s="57" t="str">
        <f aca="false">P66</f>
        <v/>
      </c>
      <c r="I121" s="86" t="str">
        <f aca="false">Q66</f>
        <v/>
      </c>
      <c r="J121" s="87" t="str">
        <f aca="false">O67</f>
        <v/>
      </c>
      <c r="K121" s="57" t="str">
        <f aca="false">IFERROR(IF(COUNT($Q$54:$Q$65)&lt;2,"",TEXT((Q66-INDEX($Q$54:$Q$65,SUMPRODUCT(MAX(ISNUMBER($Q$54:$Q$65)*(($A$54:$A$65)=SUMPRODUCT(LARGE(ISNUMBER($Q$54:$Q$65)*($A$54:$A$65),2)))*(ROW($Q$54:$Q$65)-ROW($Q$54)+1)))))*100,"+0;-0;0")&amp;" pts"),"")</f>
        <v/>
      </c>
      <c r="L121" s="73" t="str">
        <f aca="false">C114</f>
        <v>(spare slot — rename)</v>
      </c>
    </row>
    <row r="122" customFormat="false" ht="13.5" hidden="false" customHeight="true" outlineLevel="0" collapsed="false">
      <c r="A122" s="57" t="n">
        <v>14</v>
      </c>
      <c r="B122" s="73" t="s">
        <v>182</v>
      </c>
      <c r="C122" s="73" t="str">
        <f aca="false">R52</f>
        <v>(spare slot — rename)</v>
      </c>
      <c r="D122" s="73"/>
      <c r="E122" s="85" t="b">
        <f aca="false">AND(C122&lt;&gt;"",LEFT(C122,1)&lt;&gt;"(")</f>
        <v>0</v>
      </c>
      <c r="F122" s="57" t="str">
        <f aca="false">IF(E122,COUNTIF($E$109:E122,TRUE()),"")</f>
        <v/>
      </c>
      <c r="G122" s="57" t="str">
        <f aca="false">R66</f>
        <v/>
      </c>
      <c r="H122" s="57" t="str">
        <f aca="false">S66</f>
        <v/>
      </c>
      <c r="I122" s="86" t="str">
        <f aca="false">T66</f>
        <v/>
      </c>
      <c r="J122" s="87" t="str">
        <f aca="false">R67</f>
        <v/>
      </c>
      <c r="K122" s="57" t="str">
        <f aca="false">IFERROR(IF(COUNT($T$54:$T$65)&lt;2,"",TEXT((T66-INDEX($T$54:$T$65,SUMPRODUCT(MAX(ISNUMBER($T$54:$T$65)*(($A$54:$A$65)=SUMPRODUCT(LARGE(ISNUMBER($T$54:$T$65)*($A$54:$A$65),2)))*(ROW($T$54:$T$65)-ROW($T$54)+1)))))*100,"+0;-0;0")&amp;" pts"),"")</f>
        <v/>
      </c>
      <c r="L122" s="73" t="str">
        <f aca="false">C115</f>
        <v>(spare slot — rename)</v>
      </c>
    </row>
    <row r="123" customFormat="false" ht="13.5" hidden="false" customHeight="true" outlineLevel="0" collapsed="false">
      <c r="A123" s="57" t="n">
        <v>15</v>
      </c>
      <c r="B123" s="73" t="s">
        <v>182</v>
      </c>
      <c r="C123" s="73" t="str">
        <f aca="false">U52</f>
        <v>(spare slot — rename)</v>
      </c>
      <c r="D123" s="73"/>
      <c r="E123" s="85" t="b">
        <f aca="false">AND(C123&lt;&gt;"",LEFT(C123,1)&lt;&gt;"(")</f>
        <v>0</v>
      </c>
      <c r="F123" s="57" t="str">
        <f aca="false">IF(E123,COUNTIF($E$109:E123,TRUE()),"")</f>
        <v/>
      </c>
      <c r="G123" s="57" t="str">
        <f aca="false">U66</f>
        <v/>
      </c>
      <c r="H123" s="57" t="str">
        <f aca="false">V66</f>
        <v/>
      </c>
      <c r="I123" s="86" t="str">
        <f aca="false">W66</f>
        <v/>
      </c>
      <c r="J123" s="87" t="str">
        <f aca="false">U67</f>
        <v/>
      </c>
      <c r="K123" s="57" t="str">
        <f aca="false">IFERROR(IF(COUNT($W$54:$W$65)&lt;2,"",TEXT((W66-INDEX($W$54:$W$65,SUMPRODUCT(MAX(ISNUMBER($W$54:$W$65)*(($A$54:$A$65)=SUMPRODUCT(LARGE(ISNUMBER($W$54:$W$65)*($A$54:$A$65),2)))*(ROW($W$54:$W$65)-ROW($W$54)+1)))))*100,"+0;-0;0")&amp;" pts"),"")</f>
        <v/>
      </c>
      <c r="L123" s="73" t="str">
        <f aca="false">C116</f>
        <v>(spare slot — rename)</v>
      </c>
    </row>
    <row r="124" customFormat="false" ht="13.5" hidden="false" customHeight="true" outlineLevel="0" collapsed="false">
      <c r="A124" s="57" t="n">
        <v>16</v>
      </c>
      <c r="B124" s="73" t="s">
        <v>182</v>
      </c>
      <c r="C124" s="73" t="str">
        <f aca="false">X52</f>
        <v>(spare slot — rename)</v>
      </c>
      <c r="D124" s="73"/>
      <c r="E124" s="85" t="b">
        <f aca="false">AND(C124&lt;&gt;"",LEFT(C124,1)&lt;&gt;"(")</f>
        <v>0</v>
      </c>
      <c r="F124" s="57" t="str">
        <f aca="false">IF(E124,COUNTIF($E$109:E124,TRUE()),"")</f>
        <v/>
      </c>
      <c r="G124" s="57" t="str">
        <f aca="false">X66</f>
        <v/>
      </c>
      <c r="H124" s="57" t="str">
        <f aca="false">Y66</f>
        <v/>
      </c>
      <c r="I124" s="86" t="str">
        <f aca="false">Z66</f>
        <v/>
      </c>
      <c r="J124" s="87" t="str">
        <f aca="false">X67</f>
        <v/>
      </c>
      <c r="K124" s="57" t="str">
        <f aca="false">IFERROR(IF(COUNT($Z$54:$Z$65)&lt;2,"",TEXT((Z66-INDEX($Z$54:$Z$65,SUMPRODUCT(MAX(ISNUMBER($Z$54:$Z$65)*(($A$54:$A$65)=SUMPRODUCT(LARGE(ISNUMBER($Z$54:$Z$65)*($A$54:$A$65),2)))*(ROW($Z$54:$Z$65)-ROW($Z$54)+1)))))*100,"+0;-0;0")&amp;" pts"),"")</f>
        <v/>
      </c>
      <c r="L124" s="73" t="str">
        <f aca="false">C117</f>
        <v>Iso ER (N)</v>
      </c>
    </row>
    <row r="125" customFormat="false" ht="13.5" hidden="false" customHeight="true" outlineLevel="0" collapsed="false">
      <c r="A125" s="57" t="n">
        <v>17</v>
      </c>
      <c r="B125" s="73" t="s">
        <v>183</v>
      </c>
      <c r="C125" s="73" t="str">
        <f aca="false">C70</f>
        <v>DL CMJ Height (cm)</v>
      </c>
      <c r="D125" s="73"/>
      <c r="E125" s="85" t="b">
        <f aca="false">AND(C125&lt;&gt;"",LEFT(C125,1)&lt;&gt;"(")</f>
        <v>1</v>
      </c>
      <c r="F125" s="57" t="n">
        <f aca="false">IF(E125,COUNTIF($E$109:E125,TRUE()),"")</f>
        <v>9</v>
      </c>
      <c r="G125" s="57" t="str">
        <f aca="false">C84</f>
        <v/>
      </c>
      <c r="H125" s="57" t="str">
        <f aca="false">D84</f>
        <v/>
      </c>
      <c r="I125" s="86" t="str">
        <f aca="false">E84</f>
        <v/>
      </c>
      <c r="J125" s="87" t="str">
        <f aca="false">C85</f>
        <v/>
      </c>
      <c r="K125" s="57" t="str">
        <f aca="false">IFERROR(IF(COUNT($C$72:$C$83)&lt;2,"",TEXT(C84-INDEX($C$72:$C$83,SUMPRODUCT(MAX(ISNUMBER($C$72:$C$83)*(($A$72:$A$83)=SUMPRODUCT(LARGE(ISNUMBER($C$72:$C$83)*($A$72:$A$83),2)))*(ROW($C$72:$C$83)-ROW($C$72)+1)))),"+0.0;-0.0;0.0")),"")</f>
        <v/>
      </c>
      <c r="L125" s="73" t="str">
        <f aca="false">C118</f>
        <v>Iso IR (N)</v>
      </c>
    </row>
    <row r="126" customFormat="false" ht="13.5" hidden="false" customHeight="true" outlineLevel="0" collapsed="false">
      <c r="A126" s="57" t="n">
        <v>18</v>
      </c>
      <c r="B126" s="73" t="s">
        <v>183</v>
      </c>
      <c r="C126" s="73" t="str">
        <f aca="false">F70</f>
        <v>SL CMJ Height (cm)</v>
      </c>
      <c r="D126" s="73"/>
      <c r="E126" s="85" t="b">
        <f aca="false">AND(C126&lt;&gt;"",LEFT(C126,1)&lt;&gt;"(")</f>
        <v>1</v>
      </c>
      <c r="F126" s="57" t="n">
        <f aca="false">IF(E126,COUNTIF($E$109:E126,TRUE()),"")</f>
        <v>10</v>
      </c>
      <c r="G126" s="57" t="str">
        <f aca="false">F84</f>
        <v/>
      </c>
      <c r="H126" s="57" t="str">
        <f aca="false">G84</f>
        <v/>
      </c>
      <c r="I126" s="86" t="str">
        <f aca="false">H84</f>
        <v/>
      </c>
      <c r="J126" s="87" t="str">
        <f aca="false">F85</f>
        <v/>
      </c>
      <c r="K126" s="57" t="str">
        <f aca="false">IFERROR(IF(COUNT($H$72:$H$83)&lt;2,"",TEXT((H84-INDEX($H$72:$H$83,SUMPRODUCT(MAX(ISNUMBER($H$72:$H$83)*(($A$72:$A$83)=SUMPRODUCT(LARGE(ISNUMBER($H$72:$H$83)*($A$72:$A$83),2)))*(ROW($H$72:$H$83)-ROW($H$72)+1)))))*100,"+0;-0;0")&amp;" pts"),"")</f>
        <v/>
      </c>
      <c r="L126" s="73" t="str">
        <f aca="false">C119</f>
        <v>ASH Test — I position (N)</v>
      </c>
    </row>
    <row r="127" customFormat="false" ht="13.5" hidden="false" customHeight="true" outlineLevel="0" collapsed="false">
      <c r="A127" s="57" t="n">
        <v>19</v>
      </c>
      <c r="B127" s="73" t="s">
        <v>183</v>
      </c>
      <c r="C127" s="73" t="str">
        <f aca="false">I70</f>
        <v>SL Hop Distance (cm)</v>
      </c>
      <c r="D127" s="73"/>
      <c r="E127" s="85" t="b">
        <f aca="false">AND(C127&lt;&gt;"",LEFT(C127,1)&lt;&gt;"(")</f>
        <v>1</v>
      </c>
      <c r="F127" s="57" t="n">
        <f aca="false">IF(E127,COUNTIF($E$109:E127,TRUE()),"")</f>
        <v>11</v>
      </c>
      <c r="G127" s="57" t="str">
        <f aca="false">I84</f>
        <v/>
      </c>
      <c r="H127" s="57" t="str">
        <f aca="false">J84</f>
        <v/>
      </c>
      <c r="I127" s="86" t="str">
        <f aca="false">K84</f>
        <v/>
      </c>
      <c r="J127" s="87" t="str">
        <f aca="false">I85</f>
        <v/>
      </c>
      <c r="K127" s="57" t="str">
        <f aca="false">IFERROR(IF(COUNT($K$72:$K$83)&lt;2,"",TEXT((K84-INDEX($K$72:$K$83,SUMPRODUCT(MAX(ISNUMBER($K$72:$K$83)*(($A$72:$A$83)=SUMPRODUCT(LARGE(ISNUMBER($K$72:$K$83)*($A$72:$A$83),2)))*(ROW($K$72:$K$83)-ROW($K$72)+1)))))*100,"+0;-0;0")&amp;" pts"),"")</f>
        <v/>
      </c>
      <c r="L127" s="73" t="str">
        <f aca="false">C120</f>
        <v>ASH Test — Y position (N)</v>
      </c>
    </row>
    <row r="128" customFormat="false" ht="13.5" hidden="false" customHeight="true" outlineLevel="0" collapsed="false">
      <c r="A128" s="57" t="n">
        <v>20</v>
      </c>
      <c r="B128" s="73" t="s">
        <v>183</v>
      </c>
      <c r="C128" s="73" t="str">
        <f aca="false">L70</f>
        <v>Triple Hop Distance (cm)</v>
      </c>
      <c r="D128" s="73"/>
      <c r="E128" s="85" t="b">
        <f aca="false">AND(C128&lt;&gt;"",LEFT(C128,1)&lt;&gt;"(")</f>
        <v>1</v>
      </c>
      <c r="F128" s="57" t="n">
        <f aca="false">IF(E128,COUNTIF($E$109:E128,TRUE()),"")</f>
        <v>12</v>
      </c>
      <c r="G128" s="57" t="str">
        <f aca="false">L84</f>
        <v/>
      </c>
      <c r="H128" s="57" t="str">
        <f aca="false">M84</f>
        <v/>
      </c>
      <c r="I128" s="86" t="str">
        <f aca="false">N84</f>
        <v/>
      </c>
      <c r="J128" s="87" t="str">
        <f aca="false">L85</f>
        <v/>
      </c>
      <c r="K128" s="57" t="str">
        <f aca="false">IFERROR(IF(COUNT($N$72:$N$83)&lt;2,"",TEXT((N84-INDEX($N$72:$N$83,SUMPRODUCT(MAX(ISNUMBER($N$72:$N$83)*(($A$72:$A$83)=SUMPRODUCT(LARGE(ISNUMBER($N$72:$N$83)*($A$72:$A$83),2)))*(ROW($N$72:$N$83)-ROW($N$72)+1)))))*100,"+0;-0;0")&amp;" pts"),"")</f>
        <v/>
      </c>
      <c r="L128" s="73" t="str">
        <f aca="false">C121</f>
        <v>(spare slot — rename)</v>
      </c>
    </row>
    <row r="129" customFormat="false" ht="13.5" hidden="false" customHeight="true" outlineLevel="0" collapsed="false">
      <c r="A129" s="57" t="n">
        <v>21</v>
      </c>
      <c r="B129" s="73" t="s">
        <v>183</v>
      </c>
      <c r="C129" s="73" t="str">
        <f aca="false">O70</f>
        <v>Lateral Capacity</v>
      </c>
      <c r="D129" s="73"/>
      <c r="E129" s="85" t="b">
        <f aca="false">AND(C129&lt;&gt;"",LEFT(C129,1)&lt;&gt;"(")</f>
        <v>1</v>
      </c>
      <c r="F129" s="57" t="n">
        <f aca="false">IF(E129,COUNTIF($E$109:E129,TRUE()),"")</f>
        <v>13</v>
      </c>
      <c r="G129" s="57" t="str">
        <f aca="false">O84</f>
        <v/>
      </c>
      <c r="H129" s="57" t="str">
        <f aca="false">P84</f>
        <v/>
      </c>
      <c r="I129" s="86" t="str">
        <f aca="false">Q84</f>
        <v/>
      </c>
      <c r="J129" s="87" t="str">
        <f aca="false">O85</f>
        <v/>
      </c>
      <c r="K129" s="57" t="str">
        <f aca="false">IFERROR(IF(COUNT($Q$72:$Q$83)&lt;2,"",TEXT((Q84-INDEX($Q$72:$Q$83,SUMPRODUCT(MAX(ISNUMBER($Q$72:$Q$83)*(($A$72:$A$83)=SUMPRODUCT(LARGE(ISNUMBER($Q$72:$Q$83)*($A$72:$A$83),2)))*(ROW($Q$72:$Q$83)-ROW($Q$72)+1)))))*100,"+0;-0;0")&amp;" pts"),"")</f>
        <v/>
      </c>
      <c r="L129" s="73" t="str">
        <f aca="false">C122</f>
        <v>(spare slot — rename)</v>
      </c>
    </row>
    <row r="130" customFormat="false" ht="13.5" hidden="false" customHeight="true" outlineLevel="0" collapsed="false">
      <c r="A130" s="57" t="n">
        <v>22</v>
      </c>
      <c r="B130" s="73" t="s">
        <v>183</v>
      </c>
      <c r="C130" s="73" t="str">
        <f aca="false">R70</f>
        <v>DL Drop Jump RSI</v>
      </c>
      <c r="D130" s="73"/>
      <c r="E130" s="85" t="b">
        <f aca="false">AND(C130&lt;&gt;"",LEFT(C130,1)&lt;&gt;"(")</f>
        <v>1</v>
      </c>
      <c r="F130" s="57" t="n">
        <f aca="false">IF(E130,COUNTIF($E$109:E130,TRUE()),"")</f>
        <v>14</v>
      </c>
      <c r="G130" s="57" t="str">
        <f aca="false">R84</f>
        <v/>
      </c>
      <c r="H130" s="57" t="str">
        <f aca="false">S84</f>
        <v/>
      </c>
      <c r="I130" s="86" t="str">
        <f aca="false">T84</f>
        <v/>
      </c>
      <c r="J130" s="87" t="str">
        <f aca="false">R85</f>
        <v/>
      </c>
      <c r="K130" s="57" t="str">
        <f aca="false">IFERROR(IF(COUNT($R$72:$R$83)&lt;2,"",TEXT(R84-INDEX($R$72:$R$83,SUMPRODUCT(MAX(ISNUMBER($R$72:$R$83)*(($A$72:$A$83)=SUMPRODUCT(LARGE(ISNUMBER($R$72:$R$83)*($A$72:$A$83),2)))*(ROW($R$72:$R$83)-ROW($R$72)+1)))),"+0.0;-0.0;0.0")),"")</f>
        <v/>
      </c>
      <c r="L130" s="73" t="str">
        <f aca="false">C123</f>
        <v>(spare slot — rename)</v>
      </c>
    </row>
    <row r="131" customFormat="false" ht="13.5" hidden="false" customHeight="true" outlineLevel="0" collapsed="false">
      <c r="A131" s="57" t="n">
        <v>23</v>
      </c>
      <c r="B131" s="73" t="s">
        <v>183</v>
      </c>
      <c r="C131" s="73" t="str">
        <f aca="false">U70</f>
        <v>SL Drop Jump RSI</v>
      </c>
      <c r="D131" s="73"/>
      <c r="E131" s="85" t="b">
        <f aca="false">AND(C131&lt;&gt;"",LEFT(C131,1)&lt;&gt;"(")</f>
        <v>1</v>
      </c>
      <c r="F131" s="57" t="n">
        <f aca="false">IF(E131,COUNTIF($E$109:E131,TRUE()),"")</f>
        <v>15</v>
      </c>
      <c r="G131" s="57" t="str">
        <f aca="false">U84</f>
        <v/>
      </c>
      <c r="H131" s="57" t="str">
        <f aca="false">V84</f>
        <v/>
      </c>
      <c r="I131" s="86" t="str">
        <f aca="false">W84</f>
        <v/>
      </c>
      <c r="J131" s="87" t="str">
        <f aca="false">U85</f>
        <v/>
      </c>
      <c r="K131" s="57" t="str">
        <f aca="false">IFERROR(IF(COUNT($W$72:$W$83)&lt;2,"",TEXT((W84-INDEX($W$72:$W$83,SUMPRODUCT(MAX(ISNUMBER($W$72:$W$83)*(($A$72:$A$83)=SUMPRODUCT(LARGE(ISNUMBER($W$72:$W$83)*($A$72:$A$83),2)))*(ROW($W$72:$W$83)-ROW($W$72)+1)))))*100,"+0;-0;0")&amp;" pts"),"")</f>
        <v/>
      </c>
      <c r="L131" s="73" t="str">
        <f aca="false">C124</f>
        <v>(spare slot — rename)</v>
      </c>
    </row>
    <row r="132" customFormat="false" ht="13.5" hidden="false" customHeight="true" outlineLevel="0" collapsed="false">
      <c r="A132" s="57" t="n">
        <v>24</v>
      </c>
      <c r="B132" s="73" t="s">
        <v>183</v>
      </c>
      <c r="C132" s="73" t="str">
        <f aca="false">X70</f>
        <v>10-5 Repeated Hops RSI</v>
      </c>
      <c r="D132" s="73"/>
      <c r="E132" s="85" t="b">
        <f aca="false">AND(C132&lt;&gt;"",LEFT(C132,1)&lt;&gt;"(")</f>
        <v>1</v>
      </c>
      <c r="F132" s="57" t="n">
        <f aca="false">IF(E132,COUNTIF($E$109:E132,TRUE()),"")</f>
        <v>16</v>
      </c>
      <c r="G132" s="57" t="str">
        <f aca="false">X84</f>
        <v/>
      </c>
      <c r="H132" s="57" t="str">
        <f aca="false">Y84</f>
        <v/>
      </c>
      <c r="I132" s="86" t="str">
        <f aca="false">Z84</f>
        <v/>
      </c>
      <c r="J132" s="87" t="str">
        <f aca="false">X85</f>
        <v/>
      </c>
      <c r="K132" s="57" t="str">
        <f aca="false">IFERROR(IF(COUNT($X$72:$X$83)&lt;2,"",TEXT(X84-INDEX($X$72:$X$83,SUMPRODUCT(MAX(ISNUMBER($X$72:$X$83)*(($A$72:$A$83)=SUMPRODUCT(LARGE(ISNUMBER($X$72:$X$83)*($A$72:$A$83),2)))*(ROW($X$72:$X$83)-ROW($X$72)+1)))),"+0.0;-0.0;0.0")),"")</f>
        <v/>
      </c>
      <c r="L132" s="73" t="str">
        <f aca="false">C125</f>
        <v>DL CMJ Height (cm)</v>
      </c>
    </row>
    <row r="133" customFormat="false" ht="22.35" hidden="false" customHeight="false" outlineLevel="0" collapsed="false">
      <c r="L133" s="73" t="str">
        <f aca="false">C126</f>
        <v>SL CMJ Height (cm)</v>
      </c>
    </row>
    <row r="134" customFormat="false" ht="32.8" hidden="false" customHeight="false" outlineLevel="0" collapsed="false">
      <c r="L134" s="73" t="str">
        <f aca="false">C127</f>
        <v>SL Hop Distance (cm)</v>
      </c>
    </row>
    <row r="135" customFormat="false" ht="19.5" hidden="false" customHeight="true" outlineLevel="0" collapsed="false">
      <c r="A135" s="62" t="s">
        <v>184</v>
      </c>
      <c r="B135" s="62"/>
      <c r="C135" s="62"/>
      <c r="D135" s="62"/>
      <c r="E135" s="62"/>
      <c r="F135" s="62"/>
      <c r="G135" s="62"/>
      <c r="H135" s="62"/>
      <c r="I135" s="62"/>
      <c r="J135" s="62"/>
      <c r="L135" s="73" t="str">
        <f aca="false">C128</f>
        <v>Triple Hop Distance (cm)</v>
      </c>
    </row>
    <row r="136" customFormat="false" ht="18" hidden="false" customHeight="true" outlineLevel="0" collapsed="false">
      <c r="A136" s="33" t="s">
        <v>93</v>
      </c>
      <c r="B136" s="33" t="s">
        <v>46</v>
      </c>
      <c r="C136" s="33" t="s">
        <v>47</v>
      </c>
      <c r="D136" s="33"/>
      <c r="E136" s="33" t="s">
        <v>12</v>
      </c>
      <c r="F136" s="33" t="s">
        <v>49</v>
      </c>
      <c r="G136" s="33" t="s">
        <v>50</v>
      </c>
      <c r="H136" s="33" t="s">
        <v>52</v>
      </c>
      <c r="I136" s="33" t="s">
        <v>185</v>
      </c>
      <c r="J136" s="33"/>
      <c r="K136" s="33" t="s">
        <v>186</v>
      </c>
      <c r="L136" s="73" t="str">
        <f aca="false">C129</f>
        <v>Lateral Capacity</v>
      </c>
    </row>
    <row r="137" customFormat="false" ht="13.5" hidden="false" customHeight="true" outlineLevel="0" collapsed="false">
      <c r="A137" s="57" t="n">
        <v>1</v>
      </c>
      <c r="B137" s="73" t="str">
        <f aca="false">IFERROR(INDEX($B$109:$B$132,MATCH(1,$F$109:$F$132,0)),"")</f>
        <v>ROM</v>
      </c>
      <c r="C137" s="73" t="str">
        <f aca="false">IFERROR(INDEX($C$109:$C$132,MATCH(1,$F$109:$F$132,0)),"")</f>
        <v>Shoulder Flexion (°)</v>
      </c>
      <c r="D137" s="73"/>
      <c r="E137" s="57" t="str">
        <f aca="false">IFERROR(INDEX($G$109:$G$132,MATCH(1,$F$109:$F$132,0)),"")</f>
        <v/>
      </c>
      <c r="F137" s="57" t="str">
        <f aca="false">IFERROR(INDEX($H$109:$H$132,MATCH(1,$F$109:$F$132,0)),"")</f>
        <v/>
      </c>
      <c r="G137" s="86" t="str">
        <f aca="false">IFERROR(INDEX($I$109:$I$132,MATCH(1,$F$109:$F$132,0)),"")</f>
        <v/>
      </c>
      <c r="H137" s="87" t="str">
        <f aca="false">IFERROR(INDEX($J$109:$J$132,MATCH(1,$F$109:$F$132,0)),"")</f>
        <v/>
      </c>
      <c r="I137" s="73" t="str">
        <f aca="false">IF(B137="","",IF(B137="","",B137))</f>
        <v>ROM</v>
      </c>
      <c r="J137" s="73"/>
      <c r="K137" s="57" t="str">
        <f aca="false">IFERROR(INDEX($K$109:$K$132,MATCH(1,$F$109:$F$132,0)),"")</f>
        <v/>
      </c>
      <c r="L137" s="73" t="str">
        <f aca="false">C130</f>
        <v>DL Drop Jump RSI</v>
      </c>
    </row>
    <row r="138" customFormat="false" ht="13.5" hidden="false" customHeight="true" outlineLevel="0" collapsed="false">
      <c r="A138" s="57" t="n">
        <v>2</v>
      </c>
      <c r="B138" s="73" t="str">
        <f aca="false">IFERROR(INDEX($B$109:$B$132,MATCH(2,$F$109:$F$132,0)),"")</f>
        <v>ROM</v>
      </c>
      <c r="C138" s="73" t="str">
        <f aca="false">IFERROR(INDEX($C$109:$C$132,MATCH(2,$F$109:$F$132,0)),"")</f>
        <v>ER @ 90° abd (°)</v>
      </c>
      <c r="D138" s="73"/>
      <c r="E138" s="57" t="str">
        <f aca="false">IFERROR(INDEX($G$109:$G$132,MATCH(2,$F$109:$F$132,0)),"")</f>
        <v/>
      </c>
      <c r="F138" s="57" t="str">
        <f aca="false">IFERROR(INDEX($H$109:$H$132,MATCH(2,$F$109:$F$132,0)),"")</f>
        <v/>
      </c>
      <c r="G138" s="86" t="str">
        <f aca="false">IFERROR(INDEX($I$109:$I$132,MATCH(2,$F$109:$F$132,0)),"")</f>
        <v/>
      </c>
      <c r="H138" s="87" t="str">
        <f aca="false">IFERROR(INDEX($J$109:$J$132,MATCH(2,$F$109:$F$132,0)),"")</f>
        <v/>
      </c>
      <c r="I138" s="73" t="str">
        <f aca="false">IF(B138="","",IF(B138=B137,"",B138))</f>
        <v/>
      </c>
      <c r="J138" s="73"/>
      <c r="K138" s="57" t="str">
        <f aca="false">IFERROR(INDEX($K$109:$K$132,MATCH(2,$F$109:$F$132,0)),"")</f>
        <v/>
      </c>
      <c r="L138" s="73" t="str">
        <f aca="false">C131</f>
        <v>SL Drop Jump RSI</v>
      </c>
    </row>
    <row r="139" customFormat="false" ht="13.5" hidden="false" customHeight="true" outlineLevel="0" collapsed="false">
      <c r="A139" s="57" t="n">
        <v>3</v>
      </c>
      <c r="B139" s="73" t="str">
        <f aca="false">IFERROR(INDEX($B$109:$B$132,MATCH(3,$F$109:$F$132,0)),"")</f>
        <v>ROM</v>
      </c>
      <c r="C139" s="73" t="str">
        <f aca="false">IFERROR(INDEX($C$109:$C$132,MATCH(3,$F$109:$F$132,0)),"")</f>
        <v>IR @ 90° abd (°)</v>
      </c>
      <c r="D139" s="73"/>
      <c r="E139" s="57" t="str">
        <f aca="false">IFERROR(INDEX($G$109:$G$132,MATCH(3,$F$109:$F$132,0)),"")</f>
        <v/>
      </c>
      <c r="F139" s="57" t="str">
        <f aca="false">IFERROR(INDEX($H$109:$H$132,MATCH(3,$F$109:$F$132,0)),"")</f>
        <v/>
      </c>
      <c r="G139" s="86" t="str">
        <f aca="false">IFERROR(INDEX($I$109:$I$132,MATCH(3,$F$109:$F$132,0)),"")</f>
        <v/>
      </c>
      <c r="H139" s="87" t="str">
        <f aca="false">IFERROR(INDEX($J$109:$J$132,MATCH(3,$F$109:$F$132,0)),"")</f>
        <v/>
      </c>
      <c r="I139" s="73" t="str">
        <f aca="false">IF(B139="","",IF(B139=B138,"",B139))</f>
        <v/>
      </c>
      <c r="J139" s="73"/>
      <c r="K139" s="57" t="str">
        <f aca="false">IFERROR(INDEX($K$109:$K$132,MATCH(3,$F$109:$F$132,0)),"")</f>
        <v/>
      </c>
      <c r="L139" s="73" t="str">
        <f aca="false">C132</f>
        <v>10-5 Repeated Hops RSI</v>
      </c>
    </row>
    <row r="140" customFormat="false" ht="13.5" hidden="false" customHeight="true" outlineLevel="0" collapsed="false">
      <c r="A140" s="57" t="n">
        <v>4</v>
      </c>
      <c r="B140" s="73" t="str">
        <f aca="false">IFERROR(INDEX($B$109:$B$132,MATCH(4,$F$109:$F$132,0)),"")</f>
        <v>ROM</v>
      </c>
      <c r="C140" s="73" t="str">
        <f aca="false">IFERROR(INDEX($C$109:$C$132,MATCH(4,$F$109:$F$132,0)),"")</f>
        <v>Abduction (°)</v>
      </c>
      <c r="D140" s="73"/>
      <c r="E140" s="57" t="str">
        <f aca="false">IFERROR(INDEX($G$109:$G$132,MATCH(4,$F$109:$F$132,0)),"")</f>
        <v/>
      </c>
      <c r="F140" s="57" t="str">
        <f aca="false">IFERROR(INDEX($H$109:$H$132,MATCH(4,$F$109:$F$132,0)),"")</f>
        <v/>
      </c>
      <c r="G140" s="86" t="str">
        <f aca="false">IFERROR(INDEX($I$109:$I$132,MATCH(4,$F$109:$F$132,0)),"")</f>
        <v/>
      </c>
      <c r="H140" s="87" t="str">
        <f aca="false">IFERROR(INDEX($J$109:$J$132,MATCH(4,$F$109:$F$132,0)),"")</f>
        <v/>
      </c>
      <c r="I140" s="73" t="str">
        <f aca="false">IF(B140="","",IF(B140=B139,"",B140))</f>
        <v/>
      </c>
      <c r="J140" s="73"/>
      <c r="K140" s="57" t="str">
        <f aca="false">IFERROR(INDEX($K$109:$K$132,MATCH(4,$F$109:$F$132,0)),"")</f>
        <v/>
      </c>
    </row>
    <row r="141" customFormat="false" ht="13.5" hidden="false" customHeight="true" outlineLevel="0" collapsed="false">
      <c r="A141" s="57" t="n">
        <v>5</v>
      </c>
      <c r="B141" s="73" t="str">
        <f aca="false">IFERROR(INDEX($B$109:$B$132,MATCH(5,$F$109:$F$132,0)),"")</f>
        <v>Strength</v>
      </c>
      <c r="C141" s="73" t="str">
        <f aca="false">IFERROR(INDEX($C$109:$C$132,MATCH(5,$F$109:$F$132,0)),"")</f>
        <v>Iso ER (N)</v>
      </c>
      <c r="D141" s="73"/>
      <c r="E141" s="57" t="str">
        <f aca="false">IFERROR(INDEX($G$109:$G$132,MATCH(5,$F$109:$F$132,0)),"")</f>
        <v/>
      </c>
      <c r="F141" s="57" t="str">
        <f aca="false">IFERROR(INDEX($H$109:$H$132,MATCH(5,$F$109:$F$132,0)),"")</f>
        <v/>
      </c>
      <c r="G141" s="86" t="str">
        <f aca="false">IFERROR(INDEX($I$109:$I$132,MATCH(5,$F$109:$F$132,0)),"")</f>
        <v/>
      </c>
      <c r="H141" s="87" t="str">
        <f aca="false">IFERROR(INDEX($J$109:$J$132,MATCH(5,$F$109:$F$132,0)),"")</f>
        <v/>
      </c>
      <c r="I141" s="73" t="str">
        <f aca="false">IF(B141="","",IF(B141=B140,"",B141))</f>
        <v>Strength</v>
      </c>
      <c r="J141" s="73"/>
      <c r="K141" s="57" t="str">
        <f aca="false">IFERROR(INDEX($K$109:$K$132,MATCH(5,$F$109:$F$132,0)),"")</f>
        <v/>
      </c>
    </row>
    <row r="142" customFormat="false" ht="13.5" hidden="false" customHeight="true" outlineLevel="0" collapsed="false">
      <c r="A142" s="57" t="n">
        <v>6</v>
      </c>
      <c r="B142" s="73" t="str">
        <f aca="false">IFERROR(INDEX($B$109:$B$132,MATCH(6,$F$109:$F$132,0)),"")</f>
        <v>Strength</v>
      </c>
      <c r="C142" s="73" t="str">
        <f aca="false">IFERROR(INDEX($C$109:$C$132,MATCH(6,$F$109:$F$132,0)),"")</f>
        <v>Iso IR (N)</v>
      </c>
      <c r="D142" s="73"/>
      <c r="E142" s="57" t="str">
        <f aca="false">IFERROR(INDEX($G$109:$G$132,MATCH(6,$F$109:$F$132,0)),"")</f>
        <v/>
      </c>
      <c r="F142" s="57" t="str">
        <f aca="false">IFERROR(INDEX($H$109:$H$132,MATCH(6,$F$109:$F$132,0)),"")</f>
        <v/>
      </c>
      <c r="G142" s="86" t="str">
        <f aca="false">IFERROR(INDEX($I$109:$I$132,MATCH(6,$F$109:$F$132,0)),"")</f>
        <v/>
      </c>
      <c r="H142" s="87" t="str">
        <f aca="false">IFERROR(INDEX($J$109:$J$132,MATCH(6,$F$109:$F$132,0)),"")</f>
        <v/>
      </c>
      <c r="I142" s="73" t="str">
        <f aca="false">IF(B142="","",IF(B142=B141,"",B142))</f>
        <v/>
      </c>
      <c r="J142" s="73"/>
      <c r="K142" s="57" t="str">
        <f aca="false">IFERROR(INDEX($K$109:$K$132,MATCH(6,$F$109:$F$132,0)),"")</f>
        <v/>
      </c>
    </row>
    <row r="143" customFormat="false" ht="13.5" hidden="false" customHeight="true" outlineLevel="0" collapsed="false">
      <c r="A143" s="57" t="n">
        <v>7</v>
      </c>
      <c r="B143" s="73" t="str">
        <f aca="false">IFERROR(INDEX($B$109:$B$132,MATCH(7,$F$109:$F$132,0)),"")</f>
        <v>Strength</v>
      </c>
      <c r="C143" s="73" t="str">
        <f aca="false">IFERROR(INDEX($C$109:$C$132,MATCH(7,$F$109:$F$132,0)),"")</f>
        <v>ASH Test — I position (N)</v>
      </c>
      <c r="D143" s="73"/>
      <c r="E143" s="57" t="str">
        <f aca="false">IFERROR(INDEX($G$109:$G$132,MATCH(7,$F$109:$F$132,0)),"")</f>
        <v/>
      </c>
      <c r="F143" s="57" t="str">
        <f aca="false">IFERROR(INDEX($H$109:$H$132,MATCH(7,$F$109:$F$132,0)),"")</f>
        <v/>
      </c>
      <c r="G143" s="86" t="str">
        <f aca="false">IFERROR(INDEX($I$109:$I$132,MATCH(7,$F$109:$F$132,0)),"")</f>
        <v/>
      </c>
      <c r="H143" s="87" t="str">
        <f aca="false">IFERROR(INDEX($J$109:$J$132,MATCH(7,$F$109:$F$132,0)),"")</f>
        <v/>
      </c>
      <c r="I143" s="73" t="str">
        <f aca="false">IF(B143="","",IF(B143=B142,"",B143))</f>
        <v/>
      </c>
      <c r="J143" s="73"/>
      <c r="K143" s="57" t="str">
        <f aca="false">IFERROR(INDEX($K$109:$K$132,MATCH(7,$F$109:$F$132,0)),"")</f>
        <v/>
      </c>
    </row>
    <row r="144" customFormat="false" ht="13.5" hidden="false" customHeight="true" outlineLevel="0" collapsed="false">
      <c r="A144" s="57" t="n">
        <v>8</v>
      </c>
      <c r="B144" s="73" t="str">
        <f aca="false">IFERROR(INDEX($B$109:$B$132,MATCH(8,$F$109:$F$132,0)),"")</f>
        <v>Strength</v>
      </c>
      <c r="C144" s="73" t="str">
        <f aca="false">IFERROR(INDEX($C$109:$C$132,MATCH(8,$F$109:$F$132,0)),"")</f>
        <v>ASH Test — Y position (N)</v>
      </c>
      <c r="D144" s="73"/>
      <c r="E144" s="57" t="str">
        <f aca="false">IFERROR(INDEX($G$109:$G$132,MATCH(8,$F$109:$F$132,0)),"")</f>
        <v/>
      </c>
      <c r="F144" s="57" t="str">
        <f aca="false">IFERROR(INDEX($H$109:$H$132,MATCH(8,$F$109:$F$132,0)),"")</f>
        <v/>
      </c>
      <c r="G144" s="86" t="str">
        <f aca="false">IFERROR(INDEX($I$109:$I$132,MATCH(8,$F$109:$F$132,0)),"")</f>
        <v/>
      </c>
      <c r="H144" s="87" t="str">
        <f aca="false">IFERROR(INDEX($J$109:$J$132,MATCH(8,$F$109:$F$132,0)),"")</f>
        <v/>
      </c>
      <c r="I144" s="73" t="str">
        <f aca="false">IF(B144="","",IF(B144=B143,"",B144))</f>
        <v/>
      </c>
      <c r="J144" s="73"/>
      <c r="K144" s="57" t="str">
        <f aca="false">IFERROR(INDEX($K$109:$K$132,MATCH(8,$F$109:$F$132,0)),"")</f>
        <v/>
      </c>
    </row>
    <row r="145" customFormat="false" ht="13.5" hidden="false" customHeight="true" outlineLevel="0" collapsed="false">
      <c r="A145" s="57" t="n">
        <v>9</v>
      </c>
      <c r="B145" s="73" t="str">
        <f aca="false">IFERROR(INDEX($B$109:$B$132,MATCH(9,$F$109:$F$132,0)),"")</f>
        <v>Jump / Power</v>
      </c>
      <c r="C145" s="73" t="str">
        <f aca="false">IFERROR(INDEX($C$109:$C$132,MATCH(9,$F$109:$F$132,0)),"")</f>
        <v>DL CMJ Height (cm)</v>
      </c>
      <c r="D145" s="73"/>
      <c r="E145" s="57" t="str">
        <f aca="false">IFERROR(INDEX($G$109:$G$132,MATCH(9,$F$109:$F$132,0)),"")</f>
        <v/>
      </c>
      <c r="F145" s="57" t="str">
        <f aca="false">IFERROR(INDEX($H$109:$H$132,MATCH(9,$F$109:$F$132,0)),"")</f>
        <v/>
      </c>
      <c r="G145" s="86" t="str">
        <f aca="false">IFERROR(INDEX($I$109:$I$132,MATCH(9,$F$109:$F$132,0)),"")</f>
        <v/>
      </c>
      <c r="H145" s="87" t="str">
        <f aca="false">IFERROR(INDEX($J$109:$J$132,MATCH(9,$F$109:$F$132,0)),"")</f>
        <v/>
      </c>
      <c r="I145" s="73" t="str">
        <f aca="false">IF(B145="","",IF(B145=B144,"",B145))</f>
        <v>Jump / Power</v>
      </c>
      <c r="J145" s="73"/>
      <c r="K145" s="57" t="str">
        <f aca="false">IFERROR(INDEX($K$109:$K$132,MATCH(9,$F$109:$F$132,0)),"")</f>
        <v/>
      </c>
    </row>
    <row r="146" customFormat="false" ht="13.5" hidden="false" customHeight="true" outlineLevel="0" collapsed="false">
      <c r="A146" s="57" t="n">
        <v>10</v>
      </c>
      <c r="B146" s="73" t="str">
        <f aca="false">IFERROR(INDEX($B$109:$B$132,MATCH(10,$F$109:$F$132,0)),"")</f>
        <v>Jump / Power</v>
      </c>
      <c r="C146" s="73" t="str">
        <f aca="false">IFERROR(INDEX($C$109:$C$132,MATCH(10,$F$109:$F$132,0)),"")</f>
        <v>SL CMJ Height (cm)</v>
      </c>
      <c r="D146" s="73"/>
      <c r="E146" s="57" t="str">
        <f aca="false">IFERROR(INDEX($G$109:$G$132,MATCH(10,$F$109:$F$132,0)),"")</f>
        <v/>
      </c>
      <c r="F146" s="57" t="str">
        <f aca="false">IFERROR(INDEX($H$109:$H$132,MATCH(10,$F$109:$F$132,0)),"")</f>
        <v/>
      </c>
      <c r="G146" s="86" t="str">
        <f aca="false">IFERROR(INDEX($I$109:$I$132,MATCH(10,$F$109:$F$132,0)),"")</f>
        <v/>
      </c>
      <c r="H146" s="87" t="str">
        <f aca="false">IFERROR(INDEX($J$109:$J$132,MATCH(10,$F$109:$F$132,0)),"")</f>
        <v/>
      </c>
      <c r="I146" s="73" t="str">
        <f aca="false">IF(B146="","",IF(B146=B145,"",B146))</f>
        <v/>
      </c>
      <c r="J146" s="73"/>
      <c r="K146" s="57" t="str">
        <f aca="false">IFERROR(INDEX($K$109:$K$132,MATCH(10,$F$109:$F$132,0)),"")</f>
        <v/>
      </c>
    </row>
    <row r="147" customFormat="false" ht="13.5" hidden="false" customHeight="true" outlineLevel="0" collapsed="false">
      <c r="A147" s="57" t="n">
        <v>11</v>
      </c>
      <c r="B147" s="73" t="str">
        <f aca="false">IFERROR(INDEX($B$109:$B$132,MATCH(11,$F$109:$F$132,0)),"")</f>
        <v>Jump / Power</v>
      </c>
      <c r="C147" s="73" t="str">
        <f aca="false">IFERROR(INDEX($C$109:$C$132,MATCH(11,$F$109:$F$132,0)),"")</f>
        <v>SL Hop Distance (cm)</v>
      </c>
      <c r="D147" s="73"/>
      <c r="E147" s="57" t="str">
        <f aca="false">IFERROR(INDEX($G$109:$G$132,MATCH(11,$F$109:$F$132,0)),"")</f>
        <v/>
      </c>
      <c r="F147" s="57" t="str">
        <f aca="false">IFERROR(INDEX($H$109:$H$132,MATCH(11,$F$109:$F$132,0)),"")</f>
        <v/>
      </c>
      <c r="G147" s="86" t="str">
        <f aca="false">IFERROR(INDEX($I$109:$I$132,MATCH(11,$F$109:$F$132,0)),"")</f>
        <v/>
      </c>
      <c r="H147" s="87" t="str">
        <f aca="false">IFERROR(INDEX($J$109:$J$132,MATCH(11,$F$109:$F$132,0)),"")</f>
        <v/>
      </c>
      <c r="I147" s="73" t="str">
        <f aca="false">IF(B147="","",IF(B147=B146,"",B147))</f>
        <v/>
      </c>
      <c r="J147" s="73"/>
      <c r="K147" s="57" t="str">
        <f aca="false">IFERROR(INDEX($K$109:$K$132,MATCH(11,$F$109:$F$132,0)),"")</f>
        <v/>
      </c>
    </row>
    <row r="148" customFormat="false" ht="13.5" hidden="false" customHeight="true" outlineLevel="0" collapsed="false">
      <c r="A148" s="57" t="n">
        <v>12</v>
      </c>
      <c r="B148" s="73" t="str">
        <f aca="false">IFERROR(INDEX($B$109:$B$132,MATCH(12,$F$109:$F$132,0)),"")</f>
        <v>Jump / Power</v>
      </c>
      <c r="C148" s="73" t="str">
        <f aca="false">IFERROR(INDEX($C$109:$C$132,MATCH(12,$F$109:$F$132,0)),"")</f>
        <v>Triple Hop Distance (cm)</v>
      </c>
      <c r="D148" s="73"/>
      <c r="E148" s="57" t="str">
        <f aca="false">IFERROR(INDEX($G$109:$G$132,MATCH(12,$F$109:$F$132,0)),"")</f>
        <v/>
      </c>
      <c r="F148" s="57" t="str">
        <f aca="false">IFERROR(INDEX($H$109:$H$132,MATCH(12,$F$109:$F$132,0)),"")</f>
        <v/>
      </c>
      <c r="G148" s="86" t="str">
        <f aca="false">IFERROR(INDEX($I$109:$I$132,MATCH(12,$F$109:$F$132,0)),"")</f>
        <v/>
      </c>
      <c r="H148" s="87" t="str">
        <f aca="false">IFERROR(INDEX($J$109:$J$132,MATCH(12,$F$109:$F$132,0)),"")</f>
        <v/>
      </c>
      <c r="I148" s="73" t="str">
        <f aca="false">IF(B148="","",IF(B148=B147,"",B148))</f>
        <v/>
      </c>
      <c r="J148" s="73"/>
      <c r="K148" s="57" t="str">
        <f aca="false">IFERROR(INDEX($K$109:$K$132,MATCH(12,$F$109:$F$132,0)),"")</f>
        <v/>
      </c>
    </row>
    <row r="149" customFormat="false" ht="13.5" hidden="false" customHeight="true" outlineLevel="0" collapsed="false">
      <c r="A149" s="57" t="n">
        <v>13</v>
      </c>
      <c r="B149" s="73" t="str">
        <f aca="false">IFERROR(INDEX($B$109:$B$132,MATCH(13,$F$109:$F$132,0)),"")</f>
        <v>Jump / Power</v>
      </c>
      <c r="C149" s="73" t="str">
        <f aca="false">IFERROR(INDEX($C$109:$C$132,MATCH(13,$F$109:$F$132,0)),"")</f>
        <v>Lateral Capacity</v>
      </c>
      <c r="D149" s="73"/>
      <c r="E149" s="57" t="str">
        <f aca="false">IFERROR(INDEX($G$109:$G$132,MATCH(13,$F$109:$F$132,0)),"")</f>
        <v/>
      </c>
      <c r="F149" s="57" t="str">
        <f aca="false">IFERROR(INDEX($H$109:$H$132,MATCH(13,$F$109:$F$132,0)),"")</f>
        <v/>
      </c>
      <c r="G149" s="86" t="str">
        <f aca="false">IFERROR(INDEX($I$109:$I$132,MATCH(13,$F$109:$F$132,0)),"")</f>
        <v/>
      </c>
      <c r="H149" s="87" t="str">
        <f aca="false">IFERROR(INDEX($J$109:$J$132,MATCH(13,$F$109:$F$132,0)),"")</f>
        <v/>
      </c>
      <c r="I149" s="73" t="str">
        <f aca="false">IF(B149="","",IF(B149=B148,"",B149))</f>
        <v/>
      </c>
      <c r="J149" s="73"/>
      <c r="K149" s="57" t="str">
        <f aca="false">IFERROR(INDEX($K$109:$K$132,MATCH(13,$F$109:$F$132,0)),"")</f>
        <v/>
      </c>
    </row>
    <row r="150" customFormat="false" ht="13.5" hidden="false" customHeight="true" outlineLevel="0" collapsed="false">
      <c r="A150" s="57" t="n">
        <v>14</v>
      </c>
      <c r="B150" s="73" t="str">
        <f aca="false">IFERROR(INDEX($B$109:$B$132,MATCH(14,$F$109:$F$132,0)),"")</f>
        <v>Jump / Power</v>
      </c>
      <c r="C150" s="73" t="str">
        <f aca="false">IFERROR(INDEX($C$109:$C$132,MATCH(14,$F$109:$F$132,0)),"")</f>
        <v>DL Drop Jump RSI</v>
      </c>
      <c r="D150" s="73"/>
      <c r="E150" s="57" t="str">
        <f aca="false">IFERROR(INDEX($G$109:$G$132,MATCH(14,$F$109:$F$132,0)),"")</f>
        <v/>
      </c>
      <c r="F150" s="57" t="str">
        <f aca="false">IFERROR(INDEX($H$109:$H$132,MATCH(14,$F$109:$F$132,0)),"")</f>
        <v/>
      </c>
      <c r="G150" s="86" t="str">
        <f aca="false">IFERROR(INDEX($I$109:$I$132,MATCH(14,$F$109:$F$132,0)),"")</f>
        <v/>
      </c>
      <c r="H150" s="87" t="str">
        <f aca="false">IFERROR(INDEX($J$109:$J$132,MATCH(14,$F$109:$F$132,0)),"")</f>
        <v/>
      </c>
      <c r="I150" s="73" t="str">
        <f aca="false">IF(B150="","",IF(B150=B149,"",B150))</f>
        <v/>
      </c>
      <c r="J150" s="73"/>
      <c r="K150" s="57" t="str">
        <f aca="false">IFERROR(INDEX($K$109:$K$132,MATCH(14,$F$109:$F$132,0)),"")</f>
        <v/>
      </c>
    </row>
    <row r="151" customFormat="false" ht="13.5" hidden="false" customHeight="true" outlineLevel="0" collapsed="false">
      <c r="A151" s="57" t="n">
        <v>15</v>
      </c>
      <c r="B151" s="73" t="str">
        <f aca="false">IFERROR(INDEX($B$109:$B$132,MATCH(15,$F$109:$F$132,0)),"")</f>
        <v>Jump / Power</v>
      </c>
      <c r="C151" s="73" t="str">
        <f aca="false">IFERROR(INDEX($C$109:$C$132,MATCH(15,$F$109:$F$132,0)),"")</f>
        <v>SL Drop Jump RSI</v>
      </c>
      <c r="D151" s="73"/>
      <c r="E151" s="57" t="str">
        <f aca="false">IFERROR(INDEX($G$109:$G$132,MATCH(15,$F$109:$F$132,0)),"")</f>
        <v/>
      </c>
      <c r="F151" s="57" t="str">
        <f aca="false">IFERROR(INDEX($H$109:$H$132,MATCH(15,$F$109:$F$132,0)),"")</f>
        <v/>
      </c>
      <c r="G151" s="86" t="str">
        <f aca="false">IFERROR(INDEX($I$109:$I$132,MATCH(15,$F$109:$F$132,0)),"")</f>
        <v/>
      </c>
      <c r="H151" s="87" t="str">
        <f aca="false">IFERROR(INDEX($J$109:$J$132,MATCH(15,$F$109:$F$132,0)),"")</f>
        <v/>
      </c>
      <c r="I151" s="73" t="str">
        <f aca="false">IF(B151="","",IF(B151=B150,"",B151))</f>
        <v/>
      </c>
      <c r="J151" s="73"/>
      <c r="K151" s="57" t="str">
        <f aca="false">IFERROR(INDEX($K$109:$K$132,MATCH(15,$F$109:$F$132,0)),"")</f>
        <v/>
      </c>
    </row>
    <row r="152" customFormat="false" ht="13.5" hidden="false" customHeight="true" outlineLevel="0" collapsed="false">
      <c r="A152" s="57" t="n">
        <v>16</v>
      </c>
      <c r="B152" s="73" t="str">
        <f aca="false">IFERROR(INDEX($B$109:$B$132,MATCH(16,$F$109:$F$132,0)),"")</f>
        <v>Jump / Power</v>
      </c>
      <c r="C152" s="73" t="str">
        <f aca="false">IFERROR(INDEX($C$109:$C$132,MATCH(16,$F$109:$F$132,0)),"")</f>
        <v>10-5 Repeated Hops RSI</v>
      </c>
      <c r="D152" s="73"/>
      <c r="E152" s="57" t="str">
        <f aca="false">IFERROR(INDEX($G$109:$G$132,MATCH(16,$F$109:$F$132,0)),"")</f>
        <v/>
      </c>
      <c r="F152" s="57" t="str">
        <f aca="false">IFERROR(INDEX($H$109:$H$132,MATCH(16,$F$109:$F$132,0)),"")</f>
        <v/>
      </c>
      <c r="G152" s="86" t="str">
        <f aca="false">IFERROR(INDEX($I$109:$I$132,MATCH(16,$F$109:$F$132,0)),"")</f>
        <v/>
      </c>
      <c r="H152" s="87" t="str">
        <f aca="false">IFERROR(INDEX($J$109:$J$132,MATCH(16,$F$109:$F$132,0)),"")</f>
        <v/>
      </c>
      <c r="I152" s="73" t="str">
        <f aca="false">IF(B152="","",IF(B152=B151,"",B152))</f>
        <v/>
      </c>
      <c r="J152" s="73"/>
      <c r="K152" s="57" t="str">
        <f aca="false">IFERROR(INDEX($K$109:$K$132,MATCH(16,$F$109:$F$132,0)),"")</f>
        <v/>
      </c>
    </row>
    <row r="153" customFormat="false" ht="13.5" hidden="false" customHeight="true" outlineLevel="0" collapsed="false">
      <c r="A153" s="57" t="n">
        <v>17</v>
      </c>
      <c r="B153" s="73" t="str">
        <f aca="false">IFERROR(INDEX($B$109:$B$132,MATCH(17,$F$109:$F$132,0)),"")</f>
        <v/>
      </c>
      <c r="C153" s="73" t="str">
        <f aca="false">IFERROR(INDEX($C$109:$C$132,MATCH(17,$F$109:$F$132,0)),"")</f>
        <v/>
      </c>
      <c r="D153" s="73"/>
      <c r="E153" s="57" t="str">
        <f aca="false">IFERROR(INDEX($G$109:$G$132,MATCH(17,$F$109:$F$132,0)),"")</f>
        <v/>
      </c>
      <c r="F153" s="57" t="str">
        <f aca="false">IFERROR(INDEX($H$109:$H$132,MATCH(17,$F$109:$F$132,0)),"")</f>
        <v/>
      </c>
      <c r="G153" s="86" t="str">
        <f aca="false">IFERROR(INDEX($I$109:$I$132,MATCH(17,$F$109:$F$132,0)),"")</f>
        <v/>
      </c>
      <c r="H153" s="87" t="str">
        <f aca="false">IFERROR(INDEX($J$109:$J$132,MATCH(17,$F$109:$F$132,0)),"")</f>
        <v/>
      </c>
      <c r="I153" s="73" t="str">
        <f aca="false">IF(B153="","",IF(B153=B152,"",B153))</f>
        <v/>
      </c>
      <c r="J153" s="73"/>
      <c r="K153" s="57" t="str">
        <f aca="false">IFERROR(INDEX($K$109:$K$132,MATCH(17,$F$109:$F$132,0)),"")</f>
        <v/>
      </c>
    </row>
    <row r="154" customFormat="false" ht="13.5" hidden="false" customHeight="true" outlineLevel="0" collapsed="false">
      <c r="A154" s="57" t="n">
        <v>18</v>
      </c>
      <c r="B154" s="73" t="str">
        <f aca="false">IFERROR(INDEX($B$109:$B$132,MATCH(18,$F$109:$F$132,0)),"")</f>
        <v/>
      </c>
      <c r="C154" s="73" t="str">
        <f aca="false">IFERROR(INDEX($C$109:$C$132,MATCH(18,$F$109:$F$132,0)),"")</f>
        <v/>
      </c>
      <c r="D154" s="73"/>
      <c r="E154" s="57" t="str">
        <f aca="false">IFERROR(INDEX($G$109:$G$132,MATCH(18,$F$109:$F$132,0)),"")</f>
        <v/>
      </c>
      <c r="F154" s="57" t="str">
        <f aca="false">IFERROR(INDEX($H$109:$H$132,MATCH(18,$F$109:$F$132,0)),"")</f>
        <v/>
      </c>
      <c r="G154" s="86" t="str">
        <f aca="false">IFERROR(INDEX($I$109:$I$132,MATCH(18,$F$109:$F$132,0)),"")</f>
        <v/>
      </c>
      <c r="H154" s="87" t="str">
        <f aca="false">IFERROR(INDEX($J$109:$J$132,MATCH(18,$F$109:$F$132,0)),"")</f>
        <v/>
      </c>
      <c r="I154" s="73" t="str">
        <f aca="false">IF(B154="","",IF(B154=B153,"",B154))</f>
        <v/>
      </c>
      <c r="J154" s="73"/>
      <c r="K154" s="57" t="str">
        <f aca="false">IFERROR(INDEX($K$109:$K$132,MATCH(18,$F$109:$F$132,0)),"")</f>
        <v/>
      </c>
    </row>
    <row r="155" customFormat="false" ht="13.5" hidden="false" customHeight="true" outlineLevel="0" collapsed="false">
      <c r="A155" s="57" t="n">
        <v>19</v>
      </c>
      <c r="B155" s="73" t="str">
        <f aca="false">IFERROR(INDEX($B$109:$B$132,MATCH(19,$F$109:$F$132,0)),"")</f>
        <v/>
      </c>
      <c r="C155" s="73" t="str">
        <f aca="false">IFERROR(INDEX($C$109:$C$132,MATCH(19,$F$109:$F$132,0)),"")</f>
        <v/>
      </c>
      <c r="D155" s="73"/>
      <c r="E155" s="57" t="str">
        <f aca="false">IFERROR(INDEX($G$109:$G$132,MATCH(19,$F$109:$F$132,0)),"")</f>
        <v/>
      </c>
      <c r="F155" s="57" t="str">
        <f aca="false">IFERROR(INDEX($H$109:$H$132,MATCH(19,$F$109:$F$132,0)),"")</f>
        <v/>
      </c>
      <c r="G155" s="86" t="str">
        <f aca="false">IFERROR(INDEX($I$109:$I$132,MATCH(19,$F$109:$F$132,0)),"")</f>
        <v/>
      </c>
      <c r="H155" s="87" t="str">
        <f aca="false">IFERROR(INDEX($J$109:$J$132,MATCH(19,$F$109:$F$132,0)),"")</f>
        <v/>
      </c>
      <c r="I155" s="73" t="str">
        <f aca="false">IF(B155="","",IF(B155=B154,"",B155))</f>
        <v/>
      </c>
      <c r="J155" s="73"/>
      <c r="K155" s="57" t="str">
        <f aca="false">IFERROR(INDEX($K$109:$K$132,MATCH(19,$F$109:$F$132,0)),"")</f>
        <v/>
      </c>
    </row>
    <row r="156" customFormat="false" ht="13.5" hidden="false" customHeight="true" outlineLevel="0" collapsed="false">
      <c r="A156" s="57" t="n">
        <v>20</v>
      </c>
      <c r="B156" s="73" t="str">
        <f aca="false">IFERROR(INDEX($B$109:$B$132,MATCH(20,$F$109:$F$132,0)),"")</f>
        <v/>
      </c>
      <c r="C156" s="73" t="str">
        <f aca="false">IFERROR(INDEX($C$109:$C$132,MATCH(20,$F$109:$F$132,0)),"")</f>
        <v/>
      </c>
      <c r="D156" s="73"/>
      <c r="E156" s="57" t="str">
        <f aca="false">IFERROR(INDEX($G$109:$G$132,MATCH(20,$F$109:$F$132,0)),"")</f>
        <v/>
      </c>
      <c r="F156" s="57" t="str">
        <f aca="false">IFERROR(INDEX($H$109:$H$132,MATCH(20,$F$109:$F$132,0)),"")</f>
        <v/>
      </c>
      <c r="G156" s="86" t="str">
        <f aca="false">IFERROR(INDEX($I$109:$I$132,MATCH(20,$F$109:$F$132,0)),"")</f>
        <v/>
      </c>
      <c r="H156" s="87" t="str">
        <f aca="false">IFERROR(INDEX($J$109:$J$132,MATCH(20,$F$109:$F$132,0)),"")</f>
        <v/>
      </c>
      <c r="I156" s="73" t="str">
        <f aca="false">IF(B156="","",IF(B156=B155,"",B156))</f>
        <v/>
      </c>
      <c r="J156" s="73"/>
      <c r="K156" s="57" t="str">
        <f aca="false">IFERROR(INDEX($K$109:$K$132,MATCH(20,$F$109:$F$132,0)),"")</f>
        <v/>
      </c>
    </row>
    <row r="157" customFormat="false" ht="13.5" hidden="false" customHeight="true" outlineLevel="0" collapsed="false">
      <c r="A157" s="57" t="n">
        <v>21</v>
      </c>
      <c r="B157" s="73" t="str">
        <f aca="false">IFERROR(INDEX($B$109:$B$132,MATCH(21,$F$109:$F$132,0)),"")</f>
        <v/>
      </c>
      <c r="C157" s="73" t="str">
        <f aca="false">IFERROR(INDEX($C$109:$C$132,MATCH(21,$F$109:$F$132,0)),"")</f>
        <v/>
      </c>
      <c r="D157" s="73"/>
      <c r="E157" s="57" t="str">
        <f aca="false">IFERROR(INDEX($G$109:$G$132,MATCH(21,$F$109:$F$132,0)),"")</f>
        <v/>
      </c>
      <c r="F157" s="57" t="str">
        <f aca="false">IFERROR(INDEX($H$109:$H$132,MATCH(21,$F$109:$F$132,0)),"")</f>
        <v/>
      </c>
      <c r="G157" s="86" t="str">
        <f aca="false">IFERROR(INDEX($I$109:$I$132,MATCH(21,$F$109:$F$132,0)),"")</f>
        <v/>
      </c>
      <c r="H157" s="87" t="str">
        <f aca="false">IFERROR(INDEX($J$109:$J$132,MATCH(21,$F$109:$F$132,0)),"")</f>
        <v/>
      </c>
      <c r="I157" s="73" t="str">
        <f aca="false">IF(B157="","",IF(B157=B156,"",B157))</f>
        <v/>
      </c>
      <c r="J157" s="73"/>
      <c r="K157" s="57" t="str">
        <f aca="false">IFERROR(INDEX($K$109:$K$132,MATCH(21,$F$109:$F$132,0)),"")</f>
        <v/>
      </c>
    </row>
    <row r="158" customFormat="false" ht="13.5" hidden="false" customHeight="true" outlineLevel="0" collapsed="false">
      <c r="A158" s="57" t="n">
        <v>22</v>
      </c>
      <c r="B158" s="73" t="str">
        <f aca="false">IFERROR(INDEX($B$109:$B$132,MATCH(22,$F$109:$F$132,0)),"")</f>
        <v/>
      </c>
      <c r="C158" s="73" t="str">
        <f aca="false">IFERROR(INDEX($C$109:$C$132,MATCH(22,$F$109:$F$132,0)),"")</f>
        <v/>
      </c>
      <c r="D158" s="73"/>
      <c r="E158" s="57" t="str">
        <f aca="false">IFERROR(INDEX($G$109:$G$132,MATCH(22,$F$109:$F$132,0)),"")</f>
        <v/>
      </c>
      <c r="F158" s="57" t="str">
        <f aca="false">IFERROR(INDEX($H$109:$H$132,MATCH(22,$F$109:$F$132,0)),"")</f>
        <v/>
      </c>
      <c r="G158" s="86" t="str">
        <f aca="false">IFERROR(INDEX($I$109:$I$132,MATCH(22,$F$109:$F$132,0)),"")</f>
        <v/>
      </c>
      <c r="H158" s="87" t="str">
        <f aca="false">IFERROR(INDEX($J$109:$J$132,MATCH(22,$F$109:$F$132,0)),"")</f>
        <v/>
      </c>
      <c r="I158" s="73" t="str">
        <f aca="false">IF(B158="","",IF(B158=B157,"",B158))</f>
        <v/>
      </c>
      <c r="J158" s="73"/>
      <c r="K158" s="57" t="str">
        <f aca="false">IFERROR(INDEX($K$109:$K$132,MATCH(22,$F$109:$F$132,0)),"")</f>
        <v/>
      </c>
    </row>
    <row r="159" customFormat="false" ht="13.5" hidden="false" customHeight="true" outlineLevel="0" collapsed="false">
      <c r="A159" s="57" t="n">
        <v>23</v>
      </c>
      <c r="B159" s="73" t="str">
        <f aca="false">IFERROR(INDEX($B$109:$B$132,MATCH(23,$F$109:$F$132,0)),"")</f>
        <v/>
      </c>
      <c r="C159" s="73" t="str">
        <f aca="false">IFERROR(INDEX($C$109:$C$132,MATCH(23,$F$109:$F$132,0)),"")</f>
        <v/>
      </c>
      <c r="D159" s="73"/>
      <c r="E159" s="57" t="str">
        <f aca="false">IFERROR(INDEX($G$109:$G$132,MATCH(23,$F$109:$F$132,0)),"")</f>
        <v/>
      </c>
      <c r="F159" s="57" t="str">
        <f aca="false">IFERROR(INDEX($H$109:$H$132,MATCH(23,$F$109:$F$132,0)),"")</f>
        <v/>
      </c>
      <c r="G159" s="86" t="str">
        <f aca="false">IFERROR(INDEX($I$109:$I$132,MATCH(23,$F$109:$F$132,0)),"")</f>
        <v/>
      </c>
      <c r="H159" s="87" t="str">
        <f aca="false">IFERROR(INDEX($J$109:$J$132,MATCH(23,$F$109:$F$132,0)),"")</f>
        <v/>
      </c>
      <c r="I159" s="73" t="str">
        <f aca="false">IF(B159="","",IF(B159=B158,"",B159))</f>
        <v/>
      </c>
      <c r="J159" s="73"/>
      <c r="K159" s="57" t="str">
        <f aca="false">IFERROR(INDEX($K$109:$K$132,MATCH(23,$F$109:$F$132,0)),"")</f>
        <v/>
      </c>
    </row>
    <row r="160" customFormat="false" ht="13.5" hidden="false" customHeight="true" outlineLevel="0" collapsed="false">
      <c r="A160" s="57" t="n">
        <v>24</v>
      </c>
      <c r="B160" s="73" t="str">
        <f aca="false">IFERROR(INDEX($B$109:$B$132,MATCH(24,$F$109:$F$132,0)),"")</f>
        <v/>
      </c>
      <c r="C160" s="73" t="str">
        <f aca="false">IFERROR(INDEX($C$109:$C$132,MATCH(24,$F$109:$F$132,0)),"")</f>
        <v/>
      </c>
      <c r="D160" s="73"/>
      <c r="E160" s="57" t="str">
        <f aca="false">IFERROR(INDEX($G$109:$G$132,MATCH(24,$F$109:$F$132,0)),"")</f>
        <v/>
      </c>
      <c r="F160" s="57" t="str">
        <f aca="false">IFERROR(INDEX($H$109:$H$132,MATCH(24,$F$109:$F$132,0)),"")</f>
        <v/>
      </c>
      <c r="G160" s="86" t="str">
        <f aca="false">IFERROR(INDEX($I$109:$I$132,MATCH(24,$F$109:$F$132,0)),"")</f>
        <v/>
      </c>
      <c r="H160" s="87" t="str">
        <f aca="false">IFERROR(INDEX($J$109:$J$132,MATCH(24,$F$109:$F$132,0)),"")</f>
        <v/>
      </c>
      <c r="I160" s="73" t="str">
        <f aca="false">IF(B160="","",IF(B160=B159,"",B160))</f>
        <v/>
      </c>
      <c r="J160" s="73"/>
      <c r="K160" s="57" t="str">
        <f aca="false">IFERROR(INDEX($K$109:$K$132,MATCH(24,$F$109:$F$132,0)),"")</f>
        <v/>
      </c>
    </row>
  </sheetData>
  <mergeCells count="282">
    <mergeCell ref="A1:AA1"/>
    <mergeCell ref="A2:AA2"/>
    <mergeCell ref="A4:AA4"/>
    <mergeCell ref="B5:C5"/>
    <mergeCell ref="D5:J5"/>
    <mergeCell ref="K5:M5"/>
    <mergeCell ref="Q5:R5"/>
    <mergeCell ref="V5:W5"/>
    <mergeCell ref="X5:AA5"/>
    <mergeCell ref="B6:C8"/>
    <mergeCell ref="D6:J6"/>
    <mergeCell ref="K6:M6"/>
    <mergeCell ref="Q6:R6"/>
    <mergeCell ref="V6:W6"/>
    <mergeCell ref="X6:AA6"/>
    <mergeCell ref="D7:J7"/>
    <mergeCell ref="K7:M7"/>
    <mergeCell ref="Q7:R7"/>
    <mergeCell ref="V7:W7"/>
    <mergeCell ref="X7:AA7"/>
    <mergeCell ref="D8:J8"/>
    <mergeCell ref="K8:M8"/>
    <mergeCell ref="Q8:R8"/>
    <mergeCell ref="V8:W8"/>
    <mergeCell ref="X8:AA8"/>
    <mergeCell ref="B9:C11"/>
    <mergeCell ref="D9:J9"/>
    <mergeCell ref="K9:M9"/>
    <mergeCell ref="Q9:R9"/>
    <mergeCell ref="V9:W9"/>
    <mergeCell ref="X9:AA9"/>
    <mergeCell ref="D10:J10"/>
    <mergeCell ref="K10:M10"/>
    <mergeCell ref="Q10:R10"/>
    <mergeCell ref="V10:W10"/>
    <mergeCell ref="X10:AA10"/>
    <mergeCell ref="D11:J11"/>
    <mergeCell ref="K11:M11"/>
    <mergeCell ref="Q11:R11"/>
    <mergeCell ref="V11:W11"/>
    <mergeCell ref="X11:AA11"/>
    <mergeCell ref="B12:C14"/>
    <mergeCell ref="D12:J12"/>
    <mergeCell ref="K12:M12"/>
    <mergeCell ref="Q12:R12"/>
    <mergeCell ref="V12:W12"/>
    <mergeCell ref="X12:AA12"/>
    <mergeCell ref="D13:J13"/>
    <mergeCell ref="K13:M13"/>
    <mergeCell ref="Q13:R13"/>
    <mergeCell ref="V13:W13"/>
    <mergeCell ref="X13:AA13"/>
    <mergeCell ref="D14:J14"/>
    <mergeCell ref="K14:M14"/>
    <mergeCell ref="Q14:R14"/>
    <mergeCell ref="V14:W14"/>
    <mergeCell ref="X14:AA14"/>
    <mergeCell ref="B15:C17"/>
    <mergeCell ref="D15:J15"/>
    <mergeCell ref="K15:M15"/>
    <mergeCell ref="Q15:R15"/>
    <mergeCell ref="V15:W15"/>
    <mergeCell ref="X15:AA15"/>
    <mergeCell ref="D16:J16"/>
    <mergeCell ref="K16:M16"/>
    <mergeCell ref="Q16:R16"/>
    <mergeCell ref="V16:W16"/>
    <mergeCell ref="X16:AA16"/>
    <mergeCell ref="D17:J17"/>
    <mergeCell ref="K17:M17"/>
    <mergeCell ref="Q17:R17"/>
    <mergeCell ref="V17:W17"/>
    <mergeCell ref="X17:AA17"/>
    <mergeCell ref="B18:C20"/>
    <mergeCell ref="D18:J18"/>
    <mergeCell ref="K18:M18"/>
    <mergeCell ref="Q18:R18"/>
    <mergeCell ref="V18:W18"/>
    <mergeCell ref="X18:AA18"/>
    <mergeCell ref="D19:J19"/>
    <mergeCell ref="K19:M19"/>
    <mergeCell ref="Q19:R19"/>
    <mergeCell ref="V19:W19"/>
    <mergeCell ref="X19:AA19"/>
    <mergeCell ref="D20:J20"/>
    <mergeCell ref="K20:M20"/>
    <mergeCell ref="Q20:R20"/>
    <mergeCell ref="V20:W20"/>
    <mergeCell ref="X20:AA20"/>
    <mergeCell ref="B21:C23"/>
    <mergeCell ref="D21:J21"/>
    <mergeCell ref="K21:M21"/>
    <mergeCell ref="Q21:R21"/>
    <mergeCell ref="V21:W21"/>
    <mergeCell ref="X21:AA21"/>
    <mergeCell ref="D22:J22"/>
    <mergeCell ref="K22:M22"/>
    <mergeCell ref="Q22:R22"/>
    <mergeCell ref="V22:W22"/>
    <mergeCell ref="X22:AA22"/>
    <mergeCell ref="D23:J23"/>
    <mergeCell ref="K23:M23"/>
    <mergeCell ref="Q23:R23"/>
    <mergeCell ref="V23:W23"/>
    <mergeCell ref="X23:AA23"/>
    <mergeCell ref="B24:C24"/>
    <mergeCell ref="D24:J24"/>
    <mergeCell ref="K24:M24"/>
    <mergeCell ref="N24:AA24"/>
    <mergeCell ref="B25:C25"/>
    <mergeCell ref="D25:J25"/>
    <mergeCell ref="K25:M25"/>
    <mergeCell ref="N25:AA25"/>
    <mergeCell ref="B26:C26"/>
    <mergeCell ref="D26:J26"/>
    <mergeCell ref="K26:M26"/>
    <mergeCell ref="N26:AA26"/>
    <mergeCell ref="B27:C27"/>
    <mergeCell ref="D27:J27"/>
    <mergeCell ref="K27:M27"/>
    <mergeCell ref="N27:AA27"/>
    <mergeCell ref="B28:C28"/>
    <mergeCell ref="D28:J28"/>
    <mergeCell ref="K28:M28"/>
    <mergeCell ref="N28:AA28"/>
    <mergeCell ref="B29:C29"/>
    <mergeCell ref="D29:J29"/>
    <mergeCell ref="K29:M29"/>
    <mergeCell ref="N29:AA29"/>
    <mergeCell ref="B30:C30"/>
    <mergeCell ref="D30:J30"/>
    <mergeCell ref="K30:M30"/>
    <mergeCell ref="N30:AA30"/>
    <mergeCell ref="A31:D31"/>
    <mergeCell ref="E31:J31"/>
    <mergeCell ref="K31:N31"/>
    <mergeCell ref="O31:Q31"/>
    <mergeCell ref="T31:AA31"/>
    <mergeCell ref="A33:AA33"/>
    <mergeCell ref="A34:A35"/>
    <mergeCell ref="B34:B35"/>
    <mergeCell ref="C34:E34"/>
    <mergeCell ref="F34:H34"/>
    <mergeCell ref="I34:K34"/>
    <mergeCell ref="L34:N34"/>
    <mergeCell ref="O34:Q34"/>
    <mergeCell ref="R34:T34"/>
    <mergeCell ref="U34:W34"/>
    <mergeCell ref="X34:Z34"/>
    <mergeCell ref="AA34:AA35"/>
    <mergeCell ref="A48:B48"/>
    <mergeCell ref="A49:B49"/>
    <mergeCell ref="C49:E49"/>
    <mergeCell ref="F49:H49"/>
    <mergeCell ref="I49:K49"/>
    <mergeCell ref="L49:N49"/>
    <mergeCell ref="O49:Q49"/>
    <mergeCell ref="R49:T49"/>
    <mergeCell ref="U49:W49"/>
    <mergeCell ref="X49:Z49"/>
    <mergeCell ref="A51:AA51"/>
    <mergeCell ref="A52:A53"/>
    <mergeCell ref="B52:B53"/>
    <mergeCell ref="C52:E52"/>
    <mergeCell ref="F52:H52"/>
    <mergeCell ref="I52:K52"/>
    <mergeCell ref="L52:N52"/>
    <mergeCell ref="O52:Q52"/>
    <mergeCell ref="R52:T52"/>
    <mergeCell ref="U52:W52"/>
    <mergeCell ref="X52:Z52"/>
    <mergeCell ref="AA52:AA53"/>
    <mergeCell ref="A66:B66"/>
    <mergeCell ref="A67:B67"/>
    <mergeCell ref="C67:E67"/>
    <mergeCell ref="F67:H67"/>
    <mergeCell ref="I67:K67"/>
    <mergeCell ref="L67:N67"/>
    <mergeCell ref="O67:Q67"/>
    <mergeCell ref="R67:T67"/>
    <mergeCell ref="U67:W67"/>
    <mergeCell ref="X67:Z67"/>
    <mergeCell ref="A69:AA69"/>
    <mergeCell ref="A70:A71"/>
    <mergeCell ref="B70:B71"/>
    <mergeCell ref="C70:E70"/>
    <mergeCell ref="F70:H70"/>
    <mergeCell ref="I70:K70"/>
    <mergeCell ref="L70:N70"/>
    <mergeCell ref="O70:Q70"/>
    <mergeCell ref="R70:T70"/>
    <mergeCell ref="U70:W70"/>
    <mergeCell ref="X70:Z70"/>
    <mergeCell ref="AA70:AA71"/>
    <mergeCell ref="A84:B84"/>
    <mergeCell ref="A85:B85"/>
    <mergeCell ref="C85:E85"/>
    <mergeCell ref="F85:H85"/>
    <mergeCell ref="I85:K85"/>
    <mergeCell ref="L85:N85"/>
    <mergeCell ref="O85:Q85"/>
    <mergeCell ref="R85:T85"/>
    <mergeCell ref="U85:W85"/>
    <mergeCell ref="X85:Z85"/>
    <mergeCell ref="A87:AA87"/>
    <mergeCell ref="A107:J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A135:J135"/>
    <mergeCell ref="C136:D136"/>
    <mergeCell ref="I136:J136"/>
    <mergeCell ref="C137:D137"/>
    <mergeCell ref="I137:J137"/>
    <mergeCell ref="C138:D138"/>
    <mergeCell ref="I138:J138"/>
    <mergeCell ref="C139:D139"/>
    <mergeCell ref="I139:J139"/>
    <mergeCell ref="C140:D140"/>
    <mergeCell ref="I140:J140"/>
    <mergeCell ref="C141:D141"/>
    <mergeCell ref="I141:J141"/>
    <mergeCell ref="C142:D142"/>
    <mergeCell ref="I142:J142"/>
    <mergeCell ref="C143:D143"/>
    <mergeCell ref="I143:J143"/>
    <mergeCell ref="C144:D144"/>
    <mergeCell ref="I144:J144"/>
    <mergeCell ref="C145:D145"/>
    <mergeCell ref="I145:J145"/>
    <mergeCell ref="C146:D146"/>
    <mergeCell ref="I146:J146"/>
    <mergeCell ref="C147:D147"/>
    <mergeCell ref="I147:J147"/>
    <mergeCell ref="C148:D148"/>
    <mergeCell ref="I148:J148"/>
    <mergeCell ref="C149:D149"/>
    <mergeCell ref="I149:J149"/>
    <mergeCell ref="C150:D150"/>
    <mergeCell ref="I150:J150"/>
    <mergeCell ref="C151:D151"/>
    <mergeCell ref="I151:J151"/>
    <mergeCell ref="C152:D152"/>
    <mergeCell ref="I152:J152"/>
    <mergeCell ref="C153:D153"/>
    <mergeCell ref="I153:J153"/>
    <mergeCell ref="C154:D154"/>
    <mergeCell ref="I154:J154"/>
    <mergeCell ref="C155:D155"/>
    <mergeCell ref="I155:J155"/>
    <mergeCell ref="C156:D156"/>
    <mergeCell ref="I156:J156"/>
    <mergeCell ref="C157:D157"/>
    <mergeCell ref="I157:J157"/>
    <mergeCell ref="C158:D158"/>
    <mergeCell ref="I158:J158"/>
    <mergeCell ref="C159:D159"/>
    <mergeCell ref="I159:J159"/>
    <mergeCell ref="C160:D160"/>
    <mergeCell ref="I160:J160"/>
  </mergeCells>
  <conditionalFormatting sqref="S6:S23">
    <cfRule type="expression" priority="2" aboveAverage="0" equalAverage="0" bottom="0" percent="0" rank="0" text="" dxfId="12">
      <formula>OR(S6="READY",S6="COMPLETE",S6="MET",S6="Y")</formula>
    </cfRule>
    <cfRule type="expression" priority="3" aboveAverage="0" equalAverage="0" bottom="0" percent="0" rank="0" text="" dxfId="13">
      <formula>S6="IN PROGRESS"</formula>
    </cfRule>
    <cfRule type="expression" priority="4" aboveAverage="0" equalAverage="0" bottom="0" percent="0" rank="0" text="" dxfId="14">
      <formula>OR(S6="NOT READY",S6="NOT STARTED",S6="BELOW",S6="N",S6="NOT MET")</formula>
    </cfRule>
  </conditionalFormatting>
  <conditionalFormatting sqref="U6:U23">
    <cfRule type="expression" priority="5" aboveAverage="0" equalAverage="0" bottom="0" percent="0" rank="0" text="" dxfId="12">
      <formula>OR(U6="READY",U6="COMPLETE",U6="MET",U6="Y")</formula>
    </cfRule>
    <cfRule type="expression" priority="6" aboveAverage="0" equalAverage="0" bottom="0" percent="0" rank="0" text="" dxfId="13">
      <formula>U6="IN PROGRESS"</formula>
    </cfRule>
    <cfRule type="expression" priority="7" aboveAverage="0" equalAverage="0" bottom="0" percent="0" rank="0" text="" dxfId="14">
      <formula>OR(U6="NOT READY",U6="NOT STARTED",U6="BELOW",U6="N",U6="NOT MET")</formula>
    </cfRule>
  </conditionalFormatting>
  <conditionalFormatting sqref="T6:T23">
    <cfRule type="expression" priority="8" aboveAverage="0" equalAverage="0" bottom="0" percent="0" rank="0" text="" dxfId="12">
      <formula>OR(T6="READY",T6="COMPLETE",T6="MET",T6="Y")</formula>
    </cfRule>
    <cfRule type="expression" priority="9" aboveAverage="0" equalAverage="0" bottom="0" percent="0" rank="0" text="" dxfId="13">
      <formula>T6="IN PROGRESS"</formula>
    </cfRule>
    <cfRule type="expression" priority="10" aboveAverage="0" equalAverage="0" bottom="0" percent="0" rank="0" text="" dxfId="14">
      <formula>OR(T6="NOT READY",T6="NOT STARTED",T6="BELOW",T6="N",T6="NOT MET")</formula>
    </cfRule>
  </conditionalFormatting>
  <conditionalFormatting sqref="K25:K30">
    <cfRule type="expression" priority="11" aboveAverage="0" equalAverage="0" bottom="0" percent="0" rank="0" text="" dxfId="12">
      <formula>OR(K25="READY",K25="COMPLETE",K25="MET",K25="Y")</formula>
    </cfRule>
    <cfRule type="expression" priority="12" aboveAverage="0" equalAverage="0" bottom="0" percent="0" rank="0" text="" dxfId="13">
      <formula>K25="IN PROGRESS"</formula>
    </cfRule>
    <cfRule type="expression" priority="13" aboveAverage="0" equalAverage="0" bottom="0" percent="0" rank="0" text="" dxfId="14">
      <formula>OR(K25="NOT READY",K25="NOT STARTED",K25="BELOW",K25="N",K25="NOT MET")</formula>
    </cfRule>
  </conditionalFormatting>
  <conditionalFormatting sqref="R31">
    <cfRule type="expression" priority="14" aboveAverage="0" equalAverage="0" bottom="0" percent="0" rank="0" text="" dxfId="12">
      <formula>OR(R31="READY",R31="COMPLETE",R31="MET",R31="Y")</formula>
    </cfRule>
    <cfRule type="expression" priority="15" aboveAverage="0" equalAverage="0" bottom="0" percent="0" rank="0" text="" dxfId="13">
      <formula>R31="IN PROGRESS"</formula>
    </cfRule>
    <cfRule type="expression" priority="16" aboveAverage="0" equalAverage="0" bottom="0" percent="0" rank="0" text="" dxfId="14">
      <formula>OR(R31="NOT READY",R31="NOT STARTED",R31="BELOW",R31="N",R31="NOT MET")</formula>
    </cfRule>
  </conditionalFormatting>
  <conditionalFormatting sqref="E36:E48">
    <cfRule type="expression" priority="17" aboveAverage="0" equalAverage="0" bottom="0" percent="0" rank="0" text="" dxfId="7">
      <formula>AND(ISNUMBER(E36),E36&gt;=0.9)</formula>
    </cfRule>
    <cfRule type="expression" priority="18" aboveAverage="0" equalAverage="0" bottom="0" percent="0" rank="0" text="" dxfId="8">
      <formula>AND(ISNUMBER(E36),E36&gt;=0.8,E36&lt;0.9)</formula>
    </cfRule>
    <cfRule type="expression" priority="19" aboveAverage="0" equalAverage="0" bottom="0" percent="0" rank="0" text="" dxfId="9">
      <formula>AND(ISNUMBER(E36),E36&lt;0.8)</formula>
    </cfRule>
  </conditionalFormatting>
  <conditionalFormatting sqref="H36:H48">
    <cfRule type="expression" priority="20" aboveAverage="0" equalAverage="0" bottom="0" percent="0" rank="0" text="" dxfId="7">
      <formula>AND(ISNUMBER(H36),H36&gt;=0.9)</formula>
    </cfRule>
    <cfRule type="expression" priority="21" aboveAverage="0" equalAverage="0" bottom="0" percent="0" rank="0" text="" dxfId="8">
      <formula>AND(ISNUMBER(H36),H36&gt;=0.8,H36&lt;0.9)</formula>
    </cfRule>
    <cfRule type="expression" priority="22" aboveAverage="0" equalAverage="0" bottom="0" percent="0" rank="0" text="" dxfId="9">
      <formula>AND(ISNUMBER(H36),H36&lt;0.8)</formula>
    </cfRule>
  </conditionalFormatting>
  <conditionalFormatting sqref="K36:K48">
    <cfRule type="expression" priority="23" aboveAverage="0" equalAverage="0" bottom="0" percent="0" rank="0" text="" dxfId="7">
      <formula>AND(ISNUMBER(K36),K36&gt;=0.9)</formula>
    </cfRule>
    <cfRule type="expression" priority="24" aboveAverage="0" equalAverage="0" bottom="0" percent="0" rank="0" text="" dxfId="8">
      <formula>AND(ISNUMBER(K36),K36&gt;=0.8,K36&lt;0.9)</formula>
    </cfRule>
    <cfRule type="expression" priority="25" aboveAverage="0" equalAverage="0" bottom="0" percent="0" rank="0" text="" dxfId="9">
      <formula>AND(ISNUMBER(K36),K36&lt;0.8)</formula>
    </cfRule>
  </conditionalFormatting>
  <conditionalFormatting sqref="N36:N48">
    <cfRule type="expression" priority="26" aboveAverage="0" equalAverage="0" bottom="0" percent="0" rank="0" text="" dxfId="7">
      <formula>AND(ISNUMBER(N36),N36&gt;=0.9)</formula>
    </cfRule>
    <cfRule type="expression" priority="27" aboveAverage="0" equalAverage="0" bottom="0" percent="0" rank="0" text="" dxfId="8">
      <formula>AND(ISNUMBER(N36),N36&gt;=0.8,N36&lt;0.9)</formula>
    </cfRule>
    <cfRule type="expression" priority="28" aboveAverage="0" equalAverage="0" bottom="0" percent="0" rank="0" text="" dxfId="9">
      <formula>AND(ISNUMBER(N36),N36&lt;0.8)</formula>
    </cfRule>
  </conditionalFormatting>
  <conditionalFormatting sqref="Q36:Q48">
    <cfRule type="expression" priority="29" aboveAverage="0" equalAverage="0" bottom="0" percent="0" rank="0" text="" dxfId="7">
      <formula>AND(ISNUMBER(Q36),Q36&gt;=0.9)</formula>
    </cfRule>
    <cfRule type="expression" priority="30" aboveAverage="0" equalAverage="0" bottom="0" percent="0" rank="0" text="" dxfId="8">
      <formula>AND(ISNUMBER(Q36),Q36&gt;=0.8,Q36&lt;0.9)</formula>
    </cfRule>
    <cfRule type="expression" priority="31" aboveAverage="0" equalAverage="0" bottom="0" percent="0" rank="0" text="" dxfId="9">
      <formula>AND(ISNUMBER(Q36),Q36&lt;0.8)</formula>
    </cfRule>
  </conditionalFormatting>
  <conditionalFormatting sqref="T36:T48">
    <cfRule type="expression" priority="32" aboveAverage="0" equalAverage="0" bottom="0" percent="0" rank="0" text="" dxfId="7">
      <formula>AND(ISNUMBER(T36),T36&gt;=0.9)</formula>
    </cfRule>
    <cfRule type="expression" priority="33" aboveAverage="0" equalAverage="0" bottom="0" percent="0" rank="0" text="" dxfId="8">
      <formula>AND(ISNUMBER(T36),T36&gt;=0.8,T36&lt;0.9)</formula>
    </cfRule>
    <cfRule type="expression" priority="34" aboveAverage="0" equalAverage="0" bottom="0" percent="0" rank="0" text="" dxfId="9">
      <formula>AND(ISNUMBER(T36),T36&lt;0.8)</formula>
    </cfRule>
  </conditionalFormatting>
  <conditionalFormatting sqref="W36:W48">
    <cfRule type="expression" priority="35" aboveAverage="0" equalAverage="0" bottom="0" percent="0" rank="0" text="" dxfId="7">
      <formula>AND(ISNUMBER(W36),W36&gt;=0.9)</formula>
    </cfRule>
    <cfRule type="expression" priority="36" aboveAverage="0" equalAverage="0" bottom="0" percent="0" rank="0" text="" dxfId="8">
      <formula>AND(ISNUMBER(W36),W36&gt;=0.8,W36&lt;0.9)</formula>
    </cfRule>
    <cfRule type="expression" priority="37" aboveAverage="0" equalAverage="0" bottom="0" percent="0" rank="0" text="" dxfId="9">
      <formula>AND(ISNUMBER(W36),W36&lt;0.8)</formula>
    </cfRule>
  </conditionalFormatting>
  <conditionalFormatting sqref="Z36:Z48">
    <cfRule type="expression" priority="38" aboveAverage="0" equalAverage="0" bottom="0" percent="0" rank="0" text="" dxfId="7">
      <formula>AND(ISNUMBER(Z36),Z36&gt;=0.9)</formula>
    </cfRule>
    <cfRule type="expression" priority="39" aboveAverage="0" equalAverage="0" bottom="0" percent="0" rank="0" text="" dxfId="8">
      <formula>AND(ISNUMBER(Z36),Z36&gt;=0.8,Z36&lt;0.9)</formula>
    </cfRule>
    <cfRule type="expression" priority="40" aboveAverage="0" equalAverage="0" bottom="0" percent="0" rank="0" text="" dxfId="9">
      <formula>AND(ISNUMBER(Z36),Z36&lt;0.8)</formula>
    </cfRule>
  </conditionalFormatting>
  <conditionalFormatting sqref="E54:E66">
    <cfRule type="expression" priority="41" aboveAverage="0" equalAverage="0" bottom="0" percent="0" rank="0" text="" dxfId="7">
      <formula>AND(ISNUMBER(E54),E54&gt;=0.9)</formula>
    </cfRule>
    <cfRule type="expression" priority="42" aboveAverage="0" equalAverage="0" bottom="0" percent="0" rank="0" text="" dxfId="8">
      <formula>AND(ISNUMBER(E54),E54&gt;=0.8,E54&lt;0.9)</formula>
    </cfRule>
    <cfRule type="expression" priority="43" aboveAverage="0" equalAverage="0" bottom="0" percent="0" rank="0" text="" dxfId="9">
      <formula>AND(ISNUMBER(E54),E54&lt;0.8)</formula>
    </cfRule>
  </conditionalFormatting>
  <conditionalFormatting sqref="H54:H66">
    <cfRule type="expression" priority="44" aboveAverage="0" equalAverage="0" bottom="0" percent="0" rank="0" text="" dxfId="7">
      <formula>AND(ISNUMBER(H54),H54&gt;=0.9)</formula>
    </cfRule>
    <cfRule type="expression" priority="45" aboveAverage="0" equalAverage="0" bottom="0" percent="0" rank="0" text="" dxfId="8">
      <formula>AND(ISNUMBER(H54),H54&gt;=0.8,H54&lt;0.9)</formula>
    </cfRule>
    <cfRule type="expression" priority="46" aboveAverage="0" equalAverage="0" bottom="0" percent="0" rank="0" text="" dxfId="9">
      <formula>AND(ISNUMBER(H54),H54&lt;0.8)</formula>
    </cfRule>
  </conditionalFormatting>
  <conditionalFormatting sqref="K54:K66">
    <cfRule type="expression" priority="47" aboveAverage="0" equalAverage="0" bottom="0" percent="0" rank="0" text="" dxfId="7">
      <formula>AND(ISNUMBER(K54),K54&gt;=0.9)</formula>
    </cfRule>
    <cfRule type="expression" priority="48" aboveAverage="0" equalAverage="0" bottom="0" percent="0" rank="0" text="" dxfId="8">
      <formula>AND(ISNUMBER(K54),K54&gt;=0.8,K54&lt;0.9)</formula>
    </cfRule>
    <cfRule type="expression" priority="49" aboveAverage="0" equalAverage="0" bottom="0" percent="0" rank="0" text="" dxfId="9">
      <formula>AND(ISNUMBER(K54),K54&lt;0.8)</formula>
    </cfRule>
  </conditionalFormatting>
  <conditionalFormatting sqref="N54:N66">
    <cfRule type="expression" priority="50" aboveAverage="0" equalAverage="0" bottom="0" percent="0" rank="0" text="" dxfId="7">
      <formula>AND(ISNUMBER(N54),N54&gt;=0.9)</formula>
    </cfRule>
    <cfRule type="expression" priority="51" aboveAverage="0" equalAverage="0" bottom="0" percent="0" rank="0" text="" dxfId="8">
      <formula>AND(ISNUMBER(N54),N54&gt;=0.8,N54&lt;0.9)</formula>
    </cfRule>
    <cfRule type="expression" priority="52" aboveAverage="0" equalAverage="0" bottom="0" percent="0" rank="0" text="" dxfId="9">
      <formula>AND(ISNUMBER(N54),N54&lt;0.8)</formula>
    </cfRule>
  </conditionalFormatting>
  <conditionalFormatting sqref="Q54:Q66">
    <cfRule type="expression" priority="53" aboveAverage="0" equalAverage="0" bottom="0" percent="0" rank="0" text="" dxfId="7">
      <formula>AND(ISNUMBER(Q54),Q54&gt;=0.9)</formula>
    </cfRule>
    <cfRule type="expression" priority="54" aboveAverage="0" equalAverage="0" bottom="0" percent="0" rank="0" text="" dxfId="8">
      <formula>AND(ISNUMBER(Q54),Q54&gt;=0.8,Q54&lt;0.9)</formula>
    </cfRule>
    <cfRule type="expression" priority="55" aboveAverage="0" equalAverage="0" bottom="0" percent="0" rank="0" text="" dxfId="9">
      <formula>AND(ISNUMBER(Q54),Q54&lt;0.8)</formula>
    </cfRule>
  </conditionalFormatting>
  <conditionalFormatting sqref="T54:T66">
    <cfRule type="expression" priority="56" aboveAverage="0" equalAverage="0" bottom="0" percent="0" rank="0" text="" dxfId="7">
      <formula>AND(ISNUMBER(T54),T54&gt;=0.9)</formula>
    </cfRule>
    <cfRule type="expression" priority="57" aboveAverage="0" equalAverage="0" bottom="0" percent="0" rank="0" text="" dxfId="8">
      <formula>AND(ISNUMBER(T54),T54&gt;=0.8,T54&lt;0.9)</formula>
    </cfRule>
    <cfRule type="expression" priority="58" aboveAverage="0" equalAverage="0" bottom="0" percent="0" rank="0" text="" dxfId="9">
      <formula>AND(ISNUMBER(T54),T54&lt;0.8)</formula>
    </cfRule>
  </conditionalFormatting>
  <conditionalFormatting sqref="W54:W66">
    <cfRule type="expression" priority="59" aboveAverage="0" equalAverage="0" bottom="0" percent="0" rank="0" text="" dxfId="7">
      <formula>AND(ISNUMBER(W54),W54&gt;=0.9)</formula>
    </cfRule>
    <cfRule type="expression" priority="60" aboveAverage="0" equalAverage="0" bottom="0" percent="0" rank="0" text="" dxfId="8">
      <formula>AND(ISNUMBER(W54),W54&gt;=0.8,W54&lt;0.9)</formula>
    </cfRule>
    <cfRule type="expression" priority="61" aboveAverage="0" equalAverage="0" bottom="0" percent="0" rank="0" text="" dxfId="9">
      <formula>AND(ISNUMBER(W54),W54&lt;0.8)</formula>
    </cfRule>
  </conditionalFormatting>
  <conditionalFormatting sqref="Z54:Z66">
    <cfRule type="expression" priority="62" aboveAverage="0" equalAverage="0" bottom="0" percent="0" rank="0" text="" dxfId="7">
      <formula>AND(ISNUMBER(Z54),Z54&gt;=0.9)</formula>
    </cfRule>
    <cfRule type="expression" priority="63" aboveAverage="0" equalAverage="0" bottom="0" percent="0" rank="0" text="" dxfId="8">
      <formula>AND(ISNUMBER(Z54),Z54&gt;=0.8,Z54&lt;0.9)</formula>
    </cfRule>
    <cfRule type="expression" priority="64" aboveAverage="0" equalAverage="0" bottom="0" percent="0" rank="0" text="" dxfId="9">
      <formula>AND(ISNUMBER(Z54),Z54&lt;0.8)</formula>
    </cfRule>
  </conditionalFormatting>
  <conditionalFormatting sqref="E72:E84">
    <cfRule type="expression" priority="65" aboveAverage="0" equalAverage="0" bottom="0" percent="0" rank="0" text="" dxfId="7">
      <formula>AND(ISNUMBER(E72),E72&gt;=0.9)</formula>
    </cfRule>
    <cfRule type="expression" priority="66" aboveAverage="0" equalAverage="0" bottom="0" percent="0" rank="0" text="" dxfId="8">
      <formula>AND(ISNUMBER(E72),E72&gt;=0.8,E72&lt;0.9)</formula>
    </cfRule>
    <cfRule type="expression" priority="67" aboveAverage="0" equalAverage="0" bottom="0" percent="0" rank="0" text="" dxfId="9">
      <formula>AND(ISNUMBER(E72),E72&lt;0.8)</formula>
    </cfRule>
  </conditionalFormatting>
  <conditionalFormatting sqref="H72:H84">
    <cfRule type="expression" priority="68" aboveAverage="0" equalAverage="0" bottom="0" percent="0" rank="0" text="" dxfId="7">
      <formula>AND(ISNUMBER(H72),H72&gt;=0.9)</formula>
    </cfRule>
    <cfRule type="expression" priority="69" aboveAverage="0" equalAverage="0" bottom="0" percent="0" rank="0" text="" dxfId="8">
      <formula>AND(ISNUMBER(H72),H72&gt;=0.8,H72&lt;0.9)</formula>
    </cfRule>
    <cfRule type="expression" priority="70" aboveAverage="0" equalAverage="0" bottom="0" percent="0" rank="0" text="" dxfId="9">
      <formula>AND(ISNUMBER(H72),H72&lt;0.8)</formula>
    </cfRule>
  </conditionalFormatting>
  <conditionalFormatting sqref="K72:K84">
    <cfRule type="expression" priority="71" aboveAverage="0" equalAverage="0" bottom="0" percent="0" rank="0" text="" dxfId="7">
      <formula>AND(ISNUMBER(K72),K72&gt;=0.9)</formula>
    </cfRule>
    <cfRule type="expression" priority="72" aboveAverage="0" equalAverage="0" bottom="0" percent="0" rank="0" text="" dxfId="8">
      <formula>AND(ISNUMBER(K72),K72&gt;=0.8,K72&lt;0.9)</formula>
    </cfRule>
    <cfRule type="expression" priority="73" aboveAverage="0" equalAverage="0" bottom="0" percent="0" rank="0" text="" dxfId="9">
      <formula>AND(ISNUMBER(K72),K72&lt;0.8)</formula>
    </cfRule>
  </conditionalFormatting>
  <conditionalFormatting sqref="N72:N84">
    <cfRule type="expression" priority="74" aboveAverage="0" equalAverage="0" bottom="0" percent="0" rank="0" text="" dxfId="7">
      <formula>AND(ISNUMBER(N72),N72&gt;=0.9)</formula>
    </cfRule>
    <cfRule type="expression" priority="75" aboveAverage="0" equalAverage="0" bottom="0" percent="0" rank="0" text="" dxfId="8">
      <formula>AND(ISNUMBER(N72),N72&gt;=0.8,N72&lt;0.9)</formula>
    </cfRule>
    <cfRule type="expression" priority="76" aboveAverage="0" equalAverage="0" bottom="0" percent="0" rank="0" text="" dxfId="9">
      <formula>AND(ISNUMBER(N72),N72&lt;0.8)</formula>
    </cfRule>
  </conditionalFormatting>
  <conditionalFormatting sqref="Q72:Q84">
    <cfRule type="expression" priority="77" aboveAverage="0" equalAverage="0" bottom="0" percent="0" rank="0" text="" dxfId="7">
      <formula>AND(ISNUMBER(Q72),Q72&gt;=0.9)</formula>
    </cfRule>
    <cfRule type="expression" priority="78" aboveAverage="0" equalAverage="0" bottom="0" percent="0" rank="0" text="" dxfId="8">
      <formula>AND(ISNUMBER(Q72),Q72&gt;=0.8,Q72&lt;0.9)</formula>
    </cfRule>
    <cfRule type="expression" priority="79" aboveAverage="0" equalAverage="0" bottom="0" percent="0" rank="0" text="" dxfId="9">
      <formula>AND(ISNUMBER(Q72),Q72&lt;0.8)</formula>
    </cfRule>
  </conditionalFormatting>
  <conditionalFormatting sqref="T72:T84">
    <cfRule type="expression" priority="80" aboveAverage="0" equalAverage="0" bottom="0" percent="0" rank="0" text="" dxfId="7">
      <formula>AND(ISNUMBER(T72),T72&gt;=0.9)</formula>
    </cfRule>
    <cfRule type="expression" priority="81" aboveAverage="0" equalAverage="0" bottom="0" percent="0" rank="0" text="" dxfId="8">
      <formula>AND(ISNUMBER(T72),T72&gt;=0.8,T72&lt;0.9)</formula>
    </cfRule>
    <cfRule type="expression" priority="82" aboveAverage="0" equalAverage="0" bottom="0" percent="0" rank="0" text="" dxfId="9">
      <formula>AND(ISNUMBER(T72),T72&lt;0.8)</formula>
    </cfRule>
  </conditionalFormatting>
  <conditionalFormatting sqref="W72:W84">
    <cfRule type="expression" priority="83" aboveAverage="0" equalAverage="0" bottom="0" percent="0" rank="0" text="" dxfId="7">
      <formula>AND(ISNUMBER(W72),W72&gt;=0.9)</formula>
    </cfRule>
    <cfRule type="expression" priority="84" aboveAverage="0" equalAverage="0" bottom="0" percent="0" rank="0" text="" dxfId="8">
      <formula>AND(ISNUMBER(W72),W72&gt;=0.8,W72&lt;0.9)</formula>
    </cfRule>
    <cfRule type="expression" priority="85" aboveAverage="0" equalAverage="0" bottom="0" percent="0" rank="0" text="" dxfId="9">
      <formula>AND(ISNUMBER(W72),W72&lt;0.8)</formula>
    </cfRule>
  </conditionalFormatting>
  <conditionalFormatting sqref="Z72:Z84">
    <cfRule type="expression" priority="86" aboveAverage="0" equalAverage="0" bottom="0" percent="0" rank="0" text="" dxfId="7">
      <formula>AND(ISNUMBER(Z72),Z72&gt;=0.9)</formula>
    </cfRule>
    <cfRule type="expression" priority="87" aboveAverage="0" equalAverage="0" bottom="0" percent="0" rank="0" text="" dxfId="8">
      <formula>AND(ISNUMBER(Z72),Z72&gt;=0.8,Z72&lt;0.9)</formula>
    </cfRule>
    <cfRule type="expression" priority="88" aboveAverage="0" equalAverage="0" bottom="0" percent="0" rank="0" text="" dxfId="9">
      <formula>AND(ISNUMBER(Z72),Z72&lt;0.8)</formula>
    </cfRule>
  </conditionalFormatting>
  <dataValidations count="4">
    <dataValidation allowBlank="true" errorStyle="stop" operator="between" showDropDown="false" showErrorMessage="false" showInputMessage="false" sqref="K6:K23" type="list">
      <formula1>$L$109:$L$139</formula1>
      <formula2>0</formula2>
    </dataValidation>
    <dataValidation allowBlank="true" errorStyle="stop" operator="between" showDropDown="false" showErrorMessage="false" showInputMessage="false" sqref="N6:N23" type="list">
      <formula1>"LSI,Injured,L,R"</formula1>
      <formula2>0</formula2>
    </dataValidation>
    <dataValidation allowBlank="true" errorStyle="stop" operator="between" showDropDown="false" showErrorMessage="false" showInputMessage="false" sqref="O6:O23" type="list">
      <formula1>"≥,≤"</formula1>
      <formula2>0</formula2>
    </dataValidation>
    <dataValidation allowBlank="true" errorStyle="stop" operator="between" showDropDown="false" showErrorMessage="false" showInputMessage="false" sqref="T6:T23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DAD"/>
    <pageSetUpPr fitToPage="false"/>
  </sheetPr>
  <dimension ref="A1:M37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75" topLeftCell="A7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7" min="6" style="0" width="11"/>
    <col collapsed="false" customWidth="true" hidden="false" outlineLevel="0" max="11" min="8" style="0" width="13"/>
  </cols>
  <sheetData>
    <row r="1" customFormat="false" ht="27.75" hidden="false" customHeight="true" outlineLevel="0" collapsed="false">
      <c r="A1" s="53" t="s">
        <v>277</v>
      </c>
      <c r="B1" s="53"/>
      <c r="C1" s="53"/>
      <c r="D1" s="53"/>
      <c r="E1" s="53"/>
      <c r="F1" s="53"/>
      <c r="G1" s="53"/>
      <c r="H1" s="53"/>
      <c r="I1" s="53"/>
      <c r="J1" s="53"/>
      <c r="K1" s="53"/>
    </row>
    <row r="2" customFormat="false" ht="30" hidden="false" customHeight="true" outlineLevel="0" collapsed="false">
      <c r="A2" s="54" t="s">
        <v>278</v>
      </c>
      <c r="B2" s="54"/>
      <c r="C2" s="54"/>
      <c r="D2" s="54"/>
      <c r="E2" s="54"/>
      <c r="F2" s="54"/>
      <c r="G2" s="54"/>
      <c r="H2" s="54"/>
      <c r="I2" s="54"/>
      <c r="J2" s="54"/>
      <c r="K2" s="54"/>
    </row>
    <row r="4" customFormat="false" ht="19.5" hidden="false" customHeight="true" outlineLevel="0" collapsed="false">
      <c r="A4" s="62" t="s">
        <v>279</v>
      </c>
      <c r="B4" s="62"/>
      <c r="C4" s="62"/>
      <c r="D4" s="62"/>
      <c r="E4" s="62"/>
      <c r="F4" s="62"/>
      <c r="G4" s="62"/>
      <c r="H4" s="62"/>
      <c r="I4" s="62"/>
      <c r="J4" s="62"/>
      <c r="K4" s="62"/>
    </row>
    <row r="5" customFormat="false" ht="30" hidden="false" customHeight="true" outlineLevel="0" collapsed="false">
      <c r="A5" s="55" t="s">
        <v>93</v>
      </c>
      <c r="B5" s="55" t="s">
        <v>280</v>
      </c>
      <c r="C5" s="55"/>
      <c r="D5" s="55" t="s">
        <v>281</v>
      </c>
      <c r="E5" s="55"/>
      <c r="F5" s="55" t="s">
        <v>282</v>
      </c>
      <c r="G5" s="55" t="s">
        <v>283</v>
      </c>
      <c r="H5" s="55"/>
      <c r="I5" s="55"/>
      <c r="J5" s="55" t="s">
        <v>284</v>
      </c>
      <c r="K5" s="55" t="s">
        <v>84</v>
      </c>
    </row>
    <row r="6" customFormat="false" ht="23.85" hidden="false" customHeight="true" outlineLevel="0" collapsed="false">
      <c r="A6" s="65" t="n">
        <v>1</v>
      </c>
      <c r="B6" s="74" t="s">
        <v>285</v>
      </c>
      <c r="C6" s="74"/>
      <c r="D6" s="67" t="s">
        <v>286</v>
      </c>
      <c r="E6" s="67"/>
      <c r="F6" s="7"/>
      <c r="G6" s="79" t="n">
        <f aca="false">IF(OR(C16="",COUNT(C20:C71)=0),"",MAX(C20:C71)/C16)</f>
        <v>0.5235</v>
      </c>
      <c r="H6" s="79"/>
      <c r="I6" s="79"/>
      <c r="J6" s="56"/>
      <c r="K6" s="58"/>
    </row>
    <row r="7" customFormat="false" ht="15" hidden="false" customHeight="true" outlineLevel="0" collapsed="false">
      <c r="A7" s="65" t="n">
        <v>2</v>
      </c>
      <c r="B7" s="74" t="s">
        <v>287</v>
      </c>
      <c r="C7" s="74"/>
      <c r="D7" s="67" t="s">
        <v>286</v>
      </c>
      <c r="E7" s="67"/>
      <c r="F7" s="7"/>
      <c r="G7" s="79" t="n">
        <f aca="false">IF(OR(D16="",COUNT(D20:D71)=0),"",MAX(D20:D71)/D16)</f>
        <v>0.59375</v>
      </c>
      <c r="H7" s="79"/>
      <c r="I7" s="79"/>
      <c r="J7" s="56"/>
      <c r="K7" s="58"/>
    </row>
    <row r="8" customFormat="false" ht="23.85" hidden="false" customHeight="true" outlineLevel="0" collapsed="false">
      <c r="A8" s="65" t="n">
        <v>3</v>
      </c>
      <c r="B8" s="74" t="s">
        <v>288</v>
      </c>
      <c r="C8" s="74"/>
      <c r="D8" s="67" t="s">
        <v>289</v>
      </c>
      <c r="E8" s="67"/>
      <c r="F8" s="7"/>
      <c r="G8" s="79" t="n">
        <f aca="false">IF(OR(E16="",COUNT(E20:E71)=0),"",MAX(E20:E71)/E16)</f>
        <v>0.416666666666667</v>
      </c>
      <c r="H8" s="79"/>
      <c r="I8" s="79"/>
      <c r="J8" s="56"/>
      <c r="K8" s="58"/>
    </row>
    <row r="9" customFormat="false" ht="23.85" hidden="false" customHeight="true" outlineLevel="0" collapsed="false">
      <c r="A9" s="65" t="n">
        <v>4</v>
      </c>
      <c r="B9" s="74" t="s">
        <v>290</v>
      </c>
      <c r="C9" s="74"/>
      <c r="D9" s="67" t="s">
        <v>289</v>
      </c>
      <c r="E9" s="67"/>
      <c r="F9" s="7"/>
      <c r="G9" s="79" t="n">
        <f aca="false">IF(OR(F16="",COUNT(F20:F71)=0),"",MAX(F20:F71)/F16)</f>
        <v>0.5875</v>
      </c>
      <c r="H9" s="79"/>
      <c r="I9" s="79"/>
      <c r="J9" s="56"/>
      <c r="K9" s="58"/>
    </row>
    <row r="10" customFormat="false" ht="23.85" hidden="false" customHeight="true" outlineLevel="0" collapsed="false">
      <c r="A10" s="65" t="n">
        <v>5</v>
      </c>
      <c r="B10" s="74" t="s">
        <v>291</v>
      </c>
      <c r="C10" s="74"/>
      <c r="D10" s="67" t="s">
        <v>289</v>
      </c>
      <c r="E10" s="67"/>
      <c r="F10" s="7"/>
      <c r="G10" s="79" t="n">
        <f aca="false">IF(OR(G16="",COUNT(G20:G71)=0),"",MAX(G20:G71)/G16)</f>
        <v>0.525</v>
      </c>
      <c r="H10" s="79"/>
      <c r="I10" s="79"/>
      <c r="J10" s="56"/>
      <c r="K10" s="58"/>
    </row>
    <row r="11" customFormat="false" ht="23.85" hidden="false" customHeight="true" outlineLevel="0" collapsed="false">
      <c r="A11" s="65" t="n">
        <v>6</v>
      </c>
      <c r="B11" s="74" t="s">
        <v>292</v>
      </c>
      <c r="C11" s="74"/>
      <c r="D11" s="67" t="s">
        <v>289</v>
      </c>
      <c r="E11" s="67"/>
      <c r="F11" s="7"/>
      <c r="G11" s="79" t="n">
        <f aca="false">IF(OR(H16="",COUNT(H20:H71)=0),"",MAX(H20:H71)/H16)</f>
        <v>0.887640449438202</v>
      </c>
      <c r="H11" s="79"/>
      <c r="I11" s="79"/>
      <c r="J11" s="56"/>
      <c r="K11" s="58"/>
    </row>
    <row r="12" customFormat="false" ht="15" hidden="false" customHeight="true" outlineLevel="0" collapsed="false">
      <c r="A12" s="74" t="s">
        <v>293</v>
      </c>
      <c r="B12" s="74"/>
      <c r="C12" s="74"/>
      <c r="D12" s="74"/>
      <c r="E12" s="74"/>
      <c r="F12" s="68" t="str">
        <f aca="false">COUNTIF(F6:F11,"Y")&amp;" / 6"</f>
        <v>0 / 6</v>
      </c>
      <c r="G12" s="68" t="str">
        <f aca="false">IF(COUNTIF(F6:F11,"Y")=6,"READY",IF(COUNTIF(F6:F11,"Y")=0,"NOT READY","IN PROGRESS"))</f>
        <v>NOT READY</v>
      </c>
      <c r="H12" s="68"/>
      <c r="I12" s="68"/>
      <c r="J12" s="82"/>
      <c r="K12" s="82"/>
    </row>
    <row r="14" customFormat="false" ht="19.5" hidden="false" customHeight="true" outlineLevel="0" collapsed="false">
      <c r="A14" s="62" t="s">
        <v>294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</row>
    <row r="15" customFormat="false" ht="30" hidden="false" customHeight="true" outlineLevel="0" collapsed="false">
      <c r="A15" s="55" t="s">
        <v>295</v>
      </c>
      <c r="B15" s="55"/>
      <c r="C15" s="55" t="s">
        <v>53</v>
      </c>
      <c r="D15" s="55" t="s">
        <v>54</v>
      </c>
      <c r="E15" s="55" t="s">
        <v>55</v>
      </c>
      <c r="F15" s="55" t="s">
        <v>56</v>
      </c>
      <c r="G15" s="55" t="s">
        <v>57</v>
      </c>
      <c r="H15" s="55" t="s">
        <v>58</v>
      </c>
      <c r="I15" s="55" t="s">
        <v>84</v>
      </c>
      <c r="J15" s="55"/>
      <c r="K15" s="55"/>
    </row>
    <row r="16" customFormat="false" ht="22.35" hidden="false" customHeight="true" outlineLevel="0" collapsed="false">
      <c r="A16" s="58" t="s">
        <v>296</v>
      </c>
      <c r="B16" s="58"/>
      <c r="C16" s="88" t="n">
        <v>20000</v>
      </c>
      <c r="D16" s="88" t="n">
        <v>800</v>
      </c>
      <c r="E16" s="88" t="n">
        <v>300</v>
      </c>
      <c r="F16" s="89" t="n">
        <v>80</v>
      </c>
      <c r="G16" s="89" t="n">
        <v>80</v>
      </c>
      <c r="H16" s="90" t="n">
        <v>8.9</v>
      </c>
      <c r="I16" s="61" t="s">
        <v>297</v>
      </c>
      <c r="J16" s="61"/>
      <c r="K16" s="61"/>
    </row>
    <row r="17" customFormat="false" ht="116.4" hidden="false" customHeight="false" outlineLevel="0" collapsed="false">
      <c r="M17" s="91" t="s">
        <v>298</v>
      </c>
    </row>
    <row r="18" customFormat="false" ht="19.5" hidden="false" customHeight="true" outlineLevel="0" collapsed="false">
      <c r="A18" s="62" t="s">
        <v>299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</row>
    <row r="19" customFormat="false" ht="30" hidden="false" customHeight="true" outlineLevel="0" collapsed="false">
      <c r="A19" s="55" t="s">
        <v>300</v>
      </c>
      <c r="B19" s="55" t="s">
        <v>301</v>
      </c>
      <c r="C19" s="55" t="s">
        <v>53</v>
      </c>
      <c r="D19" s="55" t="s">
        <v>54</v>
      </c>
      <c r="E19" s="55" t="s">
        <v>55</v>
      </c>
      <c r="F19" s="55" t="s">
        <v>56</v>
      </c>
      <c r="G19" s="55" t="s">
        <v>57</v>
      </c>
      <c r="H19" s="55" t="s">
        <v>58</v>
      </c>
      <c r="I19" s="55" t="s">
        <v>302</v>
      </c>
      <c r="J19" s="55" t="s">
        <v>303</v>
      </c>
      <c r="K19" s="55" t="s">
        <v>304</v>
      </c>
    </row>
    <row r="20" customFormat="false" ht="15" hidden="false" customHeight="false" outlineLevel="0" collapsed="false">
      <c r="A20" s="65" t="n">
        <v>1</v>
      </c>
      <c r="B20" s="92" t="n">
        <f aca="false">COUNTIFS($B$76:$B$375,$A20)</f>
        <v>0</v>
      </c>
      <c r="C20" s="93" t="str">
        <f aca="false">IF(B20=0,"",SUMIFS($D$76:$D$375,$B$76:$B$375,$A20))</f>
        <v/>
      </c>
      <c r="D20" s="93" t="str">
        <f aca="false">IF(B20=0,"",SUMIFS($E$76:$E$375,$B$76:$B$375,$A20))</f>
        <v/>
      </c>
      <c r="E20" s="93" t="str">
        <f aca="false">IF(B20=0,"",SUMIFS($F$76:$F$375,$B$76:$B$375,$A20))</f>
        <v/>
      </c>
      <c r="F20" s="93" t="str">
        <f aca="false">IF(B20=0,"",SUMIFS($G$76:$G$375,$B$76:$B$375,$A20))</f>
        <v/>
      </c>
      <c r="G20" s="93" t="str">
        <f aca="false">IF(B20=0,"",SUMIFS($H$76:$H$375,$B$76:$B$375,$A20))</f>
        <v/>
      </c>
      <c r="H20" s="94" t="str">
        <f aca="false">IFERROR(IF(B20=0,"",SUMPRODUCT(MAX(($B$76:$B$375=$A20)*($I$76:$I$375)))),"")</f>
        <v/>
      </c>
      <c r="I20" s="79" t="str">
        <f aca="false">IFERROR(IF(C20="","",C20/$C$16),"")</f>
        <v/>
      </c>
      <c r="J20" s="79" t="str">
        <f aca="false">IFERROR(IF(D20="","",D20/$D$16),"")</f>
        <v/>
      </c>
      <c r="K20" s="79" t="str">
        <f aca="false">IFERROR(IF(E20="","",E20/$E$16),"")</f>
        <v/>
      </c>
    </row>
    <row r="21" customFormat="false" ht="15" hidden="false" customHeight="false" outlineLevel="0" collapsed="false">
      <c r="A21" s="65" t="n">
        <v>2</v>
      </c>
      <c r="B21" s="92" t="n">
        <f aca="false">COUNTIFS($B$76:$B$375,$A21)</f>
        <v>0</v>
      </c>
      <c r="C21" s="93" t="str">
        <f aca="false">IF(B21=0,"",SUMIFS($D$76:$D$375,$B$76:$B$375,$A21))</f>
        <v/>
      </c>
      <c r="D21" s="93" t="str">
        <f aca="false">IF(B21=0,"",SUMIFS($E$76:$E$375,$B$76:$B$375,$A21))</f>
        <v/>
      </c>
      <c r="E21" s="93" t="str">
        <f aca="false">IF(B21=0,"",SUMIFS($F$76:$F$375,$B$76:$B$375,$A21))</f>
        <v/>
      </c>
      <c r="F21" s="93" t="str">
        <f aca="false">IF(B21=0,"",SUMIFS($G$76:$G$375,$B$76:$B$375,$A21))</f>
        <v/>
      </c>
      <c r="G21" s="93" t="str">
        <f aca="false">IF(B21=0,"",SUMIFS($H$76:$H$375,$B$76:$B$375,$A21))</f>
        <v/>
      </c>
      <c r="H21" s="94" t="str">
        <f aca="false">IFERROR(IF(B21=0,"",SUMPRODUCT(MAX(($B$76:$B$375=$A21)*($I$76:$I$375)))),"")</f>
        <v/>
      </c>
      <c r="I21" s="79" t="str">
        <f aca="false">IFERROR(IF(C21="","",C21/$C$16),"")</f>
        <v/>
      </c>
      <c r="J21" s="79" t="str">
        <f aca="false">IFERROR(IF(D21="","",D21/$D$16),"")</f>
        <v/>
      </c>
      <c r="K21" s="79" t="str">
        <f aca="false">IFERROR(IF(E21="","",E21/$E$16),"")</f>
        <v/>
      </c>
    </row>
    <row r="22" customFormat="false" ht="15" hidden="false" customHeight="false" outlineLevel="0" collapsed="false">
      <c r="A22" s="65" t="n">
        <v>3</v>
      </c>
      <c r="B22" s="92" t="n">
        <f aca="false">COUNTIFS($B$76:$B$375,$A22)</f>
        <v>0</v>
      </c>
      <c r="C22" s="93" t="str">
        <f aca="false">IF(B22=0,"",SUMIFS($D$76:$D$375,$B$76:$B$375,$A22))</f>
        <v/>
      </c>
      <c r="D22" s="93" t="str">
        <f aca="false">IF(B22=0,"",SUMIFS($E$76:$E$375,$B$76:$B$375,$A22))</f>
        <v/>
      </c>
      <c r="E22" s="93" t="str">
        <f aca="false">IF(B22=0,"",SUMIFS($F$76:$F$375,$B$76:$B$375,$A22))</f>
        <v/>
      </c>
      <c r="F22" s="93" t="str">
        <f aca="false">IF(B22=0,"",SUMIFS($G$76:$G$375,$B$76:$B$375,$A22))</f>
        <v/>
      </c>
      <c r="G22" s="93" t="str">
        <f aca="false">IF(B22=0,"",SUMIFS($H$76:$H$375,$B$76:$B$375,$A22))</f>
        <v/>
      </c>
      <c r="H22" s="94" t="str">
        <f aca="false">IFERROR(IF(B22=0,"",SUMPRODUCT(MAX(($B$76:$B$375=$A22)*($I$76:$I$375)))),"")</f>
        <v/>
      </c>
      <c r="I22" s="79" t="str">
        <f aca="false">IFERROR(IF(C22="","",C22/$C$16),"")</f>
        <v/>
      </c>
      <c r="J22" s="79" t="str">
        <f aca="false">IFERROR(IF(D22="","",D22/$D$16),"")</f>
        <v/>
      </c>
      <c r="K22" s="79" t="str">
        <f aca="false">IFERROR(IF(E22="","",E22/$E$16),"")</f>
        <v/>
      </c>
    </row>
    <row r="23" customFormat="false" ht="15" hidden="false" customHeight="false" outlineLevel="0" collapsed="false">
      <c r="A23" s="65" t="n">
        <v>4</v>
      </c>
      <c r="B23" s="92" t="n">
        <f aca="false">COUNTIFS($B$76:$B$375,$A23)</f>
        <v>0</v>
      </c>
      <c r="C23" s="93" t="str">
        <f aca="false">IF(B23=0,"",SUMIFS($D$76:$D$375,$B$76:$B$375,$A23))</f>
        <v/>
      </c>
      <c r="D23" s="93" t="str">
        <f aca="false">IF(B23=0,"",SUMIFS($E$76:$E$375,$B$76:$B$375,$A23))</f>
        <v/>
      </c>
      <c r="E23" s="93" t="str">
        <f aca="false">IF(B23=0,"",SUMIFS($F$76:$F$375,$B$76:$B$375,$A23))</f>
        <v/>
      </c>
      <c r="F23" s="93" t="str">
        <f aca="false">IF(B23=0,"",SUMIFS($G$76:$G$375,$B$76:$B$375,$A23))</f>
        <v/>
      </c>
      <c r="G23" s="93" t="str">
        <f aca="false">IF(B23=0,"",SUMIFS($H$76:$H$375,$B$76:$B$375,$A23))</f>
        <v/>
      </c>
      <c r="H23" s="94" t="str">
        <f aca="false">IFERROR(IF(B23=0,"",SUMPRODUCT(MAX(($B$76:$B$375=$A23)*($I$76:$I$375)))),"")</f>
        <v/>
      </c>
      <c r="I23" s="79" t="str">
        <f aca="false">IFERROR(IF(C23="","",C23/$C$16),"")</f>
        <v/>
      </c>
      <c r="J23" s="79" t="str">
        <f aca="false">IFERROR(IF(D23="","",D23/$D$16),"")</f>
        <v/>
      </c>
      <c r="K23" s="79" t="str">
        <f aca="false">IFERROR(IF(E23="","",E23/$E$16),"")</f>
        <v/>
      </c>
    </row>
    <row r="24" customFormat="false" ht="15" hidden="false" customHeight="false" outlineLevel="0" collapsed="false">
      <c r="A24" s="65" t="n">
        <v>5</v>
      </c>
      <c r="B24" s="92" t="n">
        <f aca="false">COUNTIFS($B$76:$B$375,$A24)</f>
        <v>0</v>
      </c>
      <c r="C24" s="93" t="str">
        <f aca="false">IF(B24=0,"",SUMIFS($D$76:$D$375,$B$76:$B$375,$A24))</f>
        <v/>
      </c>
      <c r="D24" s="93" t="str">
        <f aca="false">IF(B24=0,"",SUMIFS($E$76:$E$375,$B$76:$B$375,$A24))</f>
        <v/>
      </c>
      <c r="E24" s="93" t="str">
        <f aca="false">IF(B24=0,"",SUMIFS($F$76:$F$375,$B$76:$B$375,$A24))</f>
        <v/>
      </c>
      <c r="F24" s="93" t="str">
        <f aca="false">IF(B24=0,"",SUMIFS($G$76:$G$375,$B$76:$B$375,$A24))</f>
        <v/>
      </c>
      <c r="G24" s="93" t="str">
        <f aca="false">IF(B24=0,"",SUMIFS($H$76:$H$375,$B$76:$B$375,$A24))</f>
        <v/>
      </c>
      <c r="H24" s="94" t="str">
        <f aca="false">IFERROR(IF(B24=0,"",SUMPRODUCT(MAX(($B$76:$B$375=$A24)*($I$76:$I$375)))),"")</f>
        <v/>
      </c>
      <c r="I24" s="79" t="str">
        <f aca="false">IFERROR(IF(C24="","",C24/$C$16),"")</f>
        <v/>
      </c>
      <c r="J24" s="79" t="str">
        <f aca="false">IFERROR(IF(D24="","",D24/$D$16),"")</f>
        <v/>
      </c>
      <c r="K24" s="79" t="str">
        <f aca="false">IFERROR(IF(E24="","",E24/$E$16),"")</f>
        <v/>
      </c>
    </row>
    <row r="25" customFormat="false" ht="15" hidden="false" customHeight="false" outlineLevel="0" collapsed="false">
      <c r="A25" s="65" t="n">
        <v>6</v>
      </c>
      <c r="B25" s="92" t="n">
        <f aca="false">COUNTIFS($B$76:$B$375,$A25)</f>
        <v>0</v>
      </c>
      <c r="C25" s="93" t="str">
        <f aca="false">IF(B25=0,"",SUMIFS($D$76:$D$375,$B$76:$B$375,$A25))</f>
        <v/>
      </c>
      <c r="D25" s="93" t="str">
        <f aca="false">IF(B25=0,"",SUMIFS($E$76:$E$375,$B$76:$B$375,$A25))</f>
        <v/>
      </c>
      <c r="E25" s="93" t="str">
        <f aca="false">IF(B25=0,"",SUMIFS($F$76:$F$375,$B$76:$B$375,$A25))</f>
        <v/>
      </c>
      <c r="F25" s="93" t="str">
        <f aca="false">IF(B25=0,"",SUMIFS($G$76:$G$375,$B$76:$B$375,$A25))</f>
        <v/>
      </c>
      <c r="G25" s="93" t="str">
        <f aca="false">IF(B25=0,"",SUMIFS($H$76:$H$375,$B$76:$B$375,$A25))</f>
        <v/>
      </c>
      <c r="H25" s="94" t="str">
        <f aca="false">IFERROR(IF(B25=0,"",SUMPRODUCT(MAX(($B$76:$B$375=$A25)*($I$76:$I$375)))),"")</f>
        <v/>
      </c>
      <c r="I25" s="79" t="str">
        <f aca="false">IFERROR(IF(C25="","",C25/$C$16),"")</f>
        <v/>
      </c>
      <c r="J25" s="79" t="str">
        <f aca="false">IFERROR(IF(D25="","",D25/$D$16),"")</f>
        <v/>
      </c>
      <c r="K25" s="79" t="str">
        <f aca="false">IFERROR(IF(E25="","",E25/$E$16),"")</f>
        <v/>
      </c>
    </row>
    <row r="26" customFormat="false" ht="15" hidden="false" customHeight="false" outlineLevel="0" collapsed="false">
      <c r="A26" s="65" t="n">
        <v>7</v>
      </c>
      <c r="B26" s="92" t="n">
        <f aca="false">COUNTIFS($B$76:$B$375,$A26)</f>
        <v>0</v>
      </c>
      <c r="C26" s="93" t="str">
        <f aca="false">IF(B26=0,"",SUMIFS($D$76:$D$375,$B$76:$B$375,$A26))</f>
        <v/>
      </c>
      <c r="D26" s="93" t="str">
        <f aca="false">IF(B26=0,"",SUMIFS($E$76:$E$375,$B$76:$B$375,$A26))</f>
        <v/>
      </c>
      <c r="E26" s="93" t="str">
        <f aca="false">IF(B26=0,"",SUMIFS($F$76:$F$375,$B$76:$B$375,$A26))</f>
        <v/>
      </c>
      <c r="F26" s="93" t="str">
        <f aca="false">IF(B26=0,"",SUMIFS($G$76:$G$375,$B$76:$B$375,$A26))</f>
        <v/>
      </c>
      <c r="G26" s="93" t="str">
        <f aca="false">IF(B26=0,"",SUMIFS($H$76:$H$375,$B$76:$B$375,$A26))</f>
        <v/>
      </c>
      <c r="H26" s="94" t="str">
        <f aca="false">IFERROR(IF(B26=0,"",SUMPRODUCT(MAX(($B$76:$B$375=$A26)*($I$76:$I$375)))),"")</f>
        <v/>
      </c>
      <c r="I26" s="79" t="str">
        <f aca="false">IFERROR(IF(C26="","",C26/$C$16),"")</f>
        <v/>
      </c>
      <c r="J26" s="79" t="str">
        <f aca="false">IFERROR(IF(D26="","",D26/$D$16),"")</f>
        <v/>
      </c>
      <c r="K26" s="79" t="str">
        <f aca="false">IFERROR(IF(E26="","",E26/$E$16),"")</f>
        <v/>
      </c>
    </row>
    <row r="27" customFormat="false" ht="15" hidden="false" customHeight="false" outlineLevel="0" collapsed="false">
      <c r="A27" s="65" t="n">
        <v>8</v>
      </c>
      <c r="B27" s="92" t="n">
        <f aca="false">COUNTIFS($B$76:$B$375,$A27)</f>
        <v>0</v>
      </c>
      <c r="C27" s="93" t="str">
        <f aca="false">IF(B27=0,"",SUMIFS($D$76:$D$375,$B$76:$B$375,$A27))</f>
        <v/>
      </c>
      <c r="D27" s="93" t="str">
        <f aca="false">IF(B27=0,"",SUMIFS($E$76:$E$375,$B$76:$B$375,$A27))</f>
        <v/>
      </c>
      <c r="E27" s="93" t="str">
        <f aca="false">IF(B27=0,"",SUMIFS($F$76:$F$375,$B$76:$B$375,$A27))</f>
        <v/>
      </c>
      <c r="F27" s="93" t="str">
        <f aca="false">IF(B27=0,"",SUMIFS($G$76:$G$375,$B$76:$B$375,$A27))</f>
        <v/>
      </c>
      <c r="G27" s="93" t="str">
        <f aca="false">IF(B27=0,"",SUMIFS($H$76:$H$375,$B$76:$B$375,$A27))</f>
        <v/>
      </c>
      <c r="H27" s="94" t="str">
        <f aca="false">IFERROR(IF(B27=0,"",SUMPRODUCT(MAX(($B$76:$B$375=$A27)*($I$76:$I$375)))),"")</f>
        <v/>
      </c>
      <c r="I27" s="79" t="str">
        <f aca="false">IFERROR(IF(C27="","",C27/$C$16),"")</f>
        <v/>
      </c>
      <c r="J27" s="79" t="str">
        <f aca="false">IFERROR(IF(D27="","",D27/$D$16),"")</f>
        <v/>
      </c>
      <c r="K27" s="79" t="str">
        <f aca="false">IFERROR(IF(E27="","",E27/$E$16),"")</f>
        <v/>
      </c>
    </row>
    <row r="28" customFormat="false" ht="15" hidden="false" customHeight="false" outlineLevel="0" collapsed="false">
      <c r="A28" s="65" t="n">
        <v>9</v>
      </c>
      <c r="B28" s="92" t="n">
        <f aca="false">COUNTIFS($B$76:$B$375,$A28)</f>
        <v>0</v>
      </c>
      <c r="C28" s="93" t="str">
        <f aca="false">IF(B28=0,"",SUMIFS($D$76:$D$375,$B$76:$B$375,$A28))</f>
        <v/>
      </c>
      <c r="D28" s="93" t="str">
        <f aca="false">IF(B28=0,"",SUMIFS($E$76:$E$375,$B$76:$B$375,$A28))</f>
        <v/>
      </c>
      <c r="E28" s="93" t="str">
        <f aca="false">IF(B28=0,"",SUMIFS($F$76:$F$375,$B$76:$B$375,$A28))</f>
        <v/>
      </c>
      <c r="F28" s="93" t="str">
        <f aca="false">IF(B28=0,"",SUMIFS($G$76:$G$375,$B$76:$B$375,$A28))</f>
        <v/>
      </c>
      <c r="G28" s="93" t="str">
        <f aca="false">IF(B28=0,"",SUMIFS($H$76:$H$375,$B$76:$B$375,$A28))</f>
        <v/>
      </c>
      <c r="H28" s="94" t="str">
        <f aca="false">IFERROR(IF(B28=0,"",SUMPRODUCT(MAX(($B$76:$B$375=$A28)*($I$76:$I$375)))),"")</f>
        <v/>
      </c>
      <c r="I28" s="79" t="str">
        <f aca="false">IFERROR(IF(C28="","",C28/$C$16),"")</f>
        <v/>
      </c>
      <c r="J28" s="79" t="str">
        <f aca="false">IFERROR(IF(D28="","",D28/$D$16),"")</f>
        <v/>
      </c>
      <c r="K28" s="79" t="str">
        <f aca="false">IFERROR(IF(E28="","",E28/$E$16),"")</f>
        <v/>
      </c>
    </row>
    <row r="29" customFormat="false" ht="15" hidden="false" customHeight="false" outlineLevel="0" collapsed="false">
      <c r="A29" s="65" t="n">
        <v>10</v>
      </c>
      <c r="B29" s="92" t="n">
        <f aca="false">COUNTIFS($B$76:$B$375,$A29)</f>
        <v>2</v>
      </c>
      <c r="C29" s="93" t="n">
        <f aca="false">IF(B29=0,"",SUMIFS($D$76:$D$375,$B$76:$B$375,$A29))</f>
        <v>10470</v>
      </c>
      <c r="D29" s="93" t="n">
        <f aca="false">IF(B29=0,"",SUMIFS($E$76:$E$375,$B$76:$B$375,$A29))</f>
        <v>475</v>
      </c>
      <c r="E29" s="93" t="n">
        <f aca="false">IF(B29=0,"",SUMIFS($F$76:$F$375,$B$76:$B$375,$A29))</f>
        <v>125</v>
      </c>
      <c r="F29" s="93" t="n">
        <f aca="false">IF(B29=0,"",SUMIFS($G$76:$G$375,$B$76:$B$375,$A29))</f>
        <v>47</v>
      </c>
      <c r="G29" s="93" t="n">
        <f aca="false">IF(B29=0,"",SUMIFS($H$76:$H$375,$B$76:$B$375,$A29))</f>
        <v>42</v>
      </c>
      <c r="H29" s="94" t="n">
        <f aca="false">IFERROR(IF(B29=0,"",SUMPRODUCT(MAX(($B$76:$B$375=$A29)*($I$76:$I$375)))),"")</f>
        <v>7.9</v>
      </c>
      <c r="I29" s="79" t="n">
        <f aca="false">IFERROR(IF(C29="","",C29/$C$16),"")</f>
        <v>0.5235</v>
      </c>
      <c r="J29" s="79" t="n">
        <f aca="false">IFERROR(IF(D29="","",D29/$D$16),"")</f>
        <v>0.59375</v>
      </c>
      <c r="K29" s="79" t="n">
        <f aca="false">IFERROR(IF(E29="","",E29/$E$16),"")</f>
        <v>0.416666666666667</v>
      </c>
    </row>
    <row r="30" customFormat="false" ht="15" hidden="false" customHeight="false" outlineLevel="0" collapsed="false">
      <c r="A30" s="65" t="n">
        <v>11</v>
      </c>
      <c r="B30" s="92" t="n">
        <f aca="false">COUNTIFS($B$76:$B$375,$A30)</f>
        <v>1</v>
      </c>
      <c r="C30" s="93" t="n">
        <f aca="false">IF(B30=0,"",SUMIFS($D$76:$D$375,$B$76:$B$375,$A30))</f>
        <v>3900</v>
      </c>
      <c r="D30" s="93" t="n">
        <f aca="false">IF(B30=0,"",SUMIFS($E$76:$E$375,$B$76:$B$375,$A30))</f>
        <v>140</v>
      </c>
      <c r="E30" s="93" t="n">
        <f aca="false">IF(B30=0,"",SUMIFS($F$76:$F$375,$B$76:$B$375,$A30))</f>
        <v>30</v>
      </c>
      <c r="F30" s="93" t="n">
        <f aca="false">IF(B30=0,"",SUMIFS($G$76:$G$375,$B$76:$B$375,$A30))</f>
        <v>15</v>
      </c>
      <c r="G30" s="93" t="n">
        <f aca="false">IF(B30=0,"",SUMIFS($H$76:$H$375,$B$76:$B$375,$A30))</f>
        <v>14</v>
      </c>
      <c r="H30" s="94" t="n">
        <f aca="false">IFERROR(IF(B30=0,"",SUMPRODUCT(MAX(($B$76:$B$375=$A30)*($I$76:$I$375)))),"")</f>
        <v>7.1</v>
      </c>
      <c r="I30" s="79" t="n">
        <f aca="false">IFERROR(IF(C30="","",C30/$C$16),"")</f>
        <v>0.195</v>
      </c>
      <c r="J30" s="79" t="n">
        <f aca="false">IFERROR(IF(D30="","",D30/$D$16),"")</f>
        <v>0.175</v>
      </c>
      <c r="K30" s="79" t="n">
        <f aca="false">IFERROR(IF(E30="","",E30/$E$16),"")</f>
        <v>0.1</v>
      </c>
    </row>
    <row r="31" customFormat="false" ht="15" hidden="false" customHeight="false" outlineLevel="0" collapsed="false">
      <c r="A31" s="65" t="n">
        <v>12</v>
      </c>
      <c r="B31" s="92" t="n">
        <f aca="false">COUNTIFS($B$76:$B$375,$A31)</f>
        <v>0</v>
      </c>
      <c r="C31" s="93" t="str">
        <f aca="false">IF(B31=0,"",SUMIFS($D$76:$D$375,$B$76:$B$375,$A31))</f>
        <v/>
      </c>
      <c r="D31" s="93" t="str">
        <f aca="false">IF(B31=0,"",SUMIFS($E$76:$E$375,$B$76:$B$375,$A31))</f>
        <v/>
      </c>
      <c r="E31" s="93" t="str">
        <f aca="false">IF(B31=0,"",SUMIFS($F$76:$F$375,$B$76:$B$375,$A31))</f>
        <v/>
      </c>
      <c r="F31" s="93" t="str">
        <f aca="false">IF(B31=0,"",SUMIFS($G$76:$G$375,$B$76:$B$375,$A31))</f>
        <v/>
      </c>
      <c r="G31" s="93" t="str">
        <f aca="false">IF(B31=0,"",SUMIFS($H$76:$H$375,$B$76:$B$375,$A31))</f>
        <v/>
      </c>
      <c r="H31" s="94" t="str">
        <f aca="false">IFERROR(IF(B31=0,"",SUMPRODUCT(MAX(($B$76:$B$375=$A31)*($I$76:$I$375)))),"")</f>
        <v/>
      </c>
      <c r="I31" s="79" t="str">
        <f aca="false">IFERROR(IF(C31="","",C31/$C$16),"")</f>
        <v/>
      </c>
      <c r="J31" s="79" t="str">
        <f aca="false">IFERROR(IF(D31="","",D31/$D$16),"")</f>
        <v/>
      </c>
      <c r="K31" s="79" t="str">
        <f aca="false">IFERROR(IF(E31="","",E31/$E$16),"")</f>
        <v/>
      </c>
    </row>
    <row r="32" customFormat="false" ht="15" hidden="false" customHeight="false" outlineLevel="0" collapsed="false">
      <c r="A32" s="65" t="n">
        <v>13</v>
      </c>
      <c r="B32" s="92" t="n">
        <f aca="false">COUNTIFS($B$76:$B$375,$A32)</f>
        <v>0</v>
      </c>
      <c r="C32" s="93" t="str">
        <f aca="false">IF(B32=0,"",SUMIFS($D$76:$D$375,$B$76:$B$375,$A32))</f>
        <v/>
      </c>
      <c r="D32" s="93" t="str">
        <f aca="false">IF(B32=0,"",SUMIFS($E$76:$E$375,$B$76:$B$375,$A32))</f>
        <v/>
      </c>
      <c r="E32" s="93" t="str">
        <f aca="false">IF(B32=0,"",SUMIFS($F$76:$F$375,$B$76:$B$375,$A32))</f>
        <v/>
      </c>
      <c r="F32" s="93" t="str">
        <f aca="false">IF(B32=0,"",SUMIFS($G$76:$G$375,$B$76:$B$375,$A32))</f>
        <v/>
      </c>
      <c r="G32" s="93" t="str">
        <f aca="false">IF(B32=0,"",SUMIFS($H$76:$H$375,$B$76:$B$375,$A32))</f>
        <v/>
      </c>
      <c r="H32" s="94" t="str">
        <f aca="false">IFERROR(IF(B32=0,"",SUMPRODUCT(MAX(($B$76:$B$375=$A32)*($I$76:$I$375)))),"")</f>
        <v/>
      </c>
      <c r="I32" s="79" t="str">
        <f aca="false">IFERROR(IF(C32="","",C32/$C$16),"")</f>
        <v/>
      </c>
      <c r="J32" s="79" t="str">
        <f aca="false">IFERROR(IF(D32="","",D32/$D$16),"")</f>
        <v/>
      </c>
      <c r="K32" s="79" t="str">
        <f aca="false">IFERROR(IF(E32="","",E32/$E$16),"")</f>
        <v/>
      </c>
    </row>
    <row r="33" customFormat="false" ht="15" hidden="false" customHeight="false" outlineLevel="0" collapsed="false">
      <c r="A33" s="65" t="n">
        <v>14</v>
      </c>
      <c r="B33" s="92" t="n">
        <f aca="false">COUNTIFS($B$76:$B$375,$A33)</f>
        <v>0</v>
      </c>
      <c r="C33" s="93" t="str">
        <f aca="false">IF(B33=0,"",SUMIFS($D$76:$D$375,$B$76:$B$375,$A33))</f>
        <v/>
      </c>
      <c r="D33" s="93" t="str">
        <f aca="false">IF(B33=0,"",SUMIFS($E$76:$E$375,$B$76:$B$375,$A33))</f>
        <v/>
      </c>
      <c r="E33" s="93" t="str">
        <f aca="false">IF(B33=0,"",SUMIFS($F$76:$F$375,$B$76:$B$375,$A33))</f>
        <v/>
      </c>
      <c r="F33" s="93" t="str">
        <f aca="false">IF(B33=0,"",SUMIFS($G$76:$G$375,$B$76:$B$375,$A33))</f>
        <v/>
      </c>
      <c r="G33" s="93" t="str">
        <f aca="false">IF(B33=0,"",SUMIFS($H$76:$H$375,$B$76:$B$375,$A33))</f>
        <v/>
      </c>
      <c r="H33" s="94" t="str">
        <f aca="false">IFERROR(IF(B33=0,"",SUMPRODUCT(MAX(($B$76:$B$375=$A33)*($I$76:$I$375)))),"")</f>
        <v/>
      </c>
      <c r="I33" s="79" t="str">
        <f aca="false">IFERROR(IF(C33="","",C33/$C$16),"")</f>
        <v/>
      </c>
      <c r="J33" s="79" t="str">
        <f aca="false">IFERROR(IF(D33="","",D33/$D$16),"")</f>
        <v/>
      </c>
      <c r="K33" s="79" t="str">
        <f aca="false">IFERROR(IF(E33="","",E33/$E$16),"")</f>
        <v/>
      </c>
    </row>
    <row r="34" customFormat="false" ht="15" hidden="false" customHeight="false" outlineLevel="0" collapsed="false">
      <c r="A34" s="65" t="n">
        <v>15</v>
      </c>
      <c r="B34" s="92" t="n">
        <f aca="false">COUNTIFS($B$76:$B$375,$A34)</f>
        <v>0</v>
      </c>
      <c r="C34" s="93" t="str">
        <f aca="false">IF(B34=0,"",SUMIFS($D$76:$D$375,$B$76:$B$375,$A34))</f>
        <v/>
      </c>
      <c r="D34" s="93" t="str">
        <f aca="false">IF(B34=0,"",SUMIFS($E$76:$E$375,$B$76:$B$375,$A34))</f>
        <v/>
      </c>
      <c r="E34" s="93" t="str">
        <f aca="false">IF(B34=0,"",SUMIFS($F$76:$F$375,$B$76:$B$375,$A34))</f>
        <v/>
      </c>
      <c r="F34" s="93" t="str">
        <f aca="false">IF(B34=0,"",SUMIFS($G$76:$G$375,$B$76:$B$375,$A34))</f>
        <v/>
      </c>
      <c r="G34" s="93" t="str">
        <f aca="false">IF(B34=0,"",SUMIFS($H$76:$H$375,$B$76:$B$375,$A34))</f>
        <v/>
      </c>
      <c r="H34" s="94" t="str">
        <f aca="false">IFERROR(IF(B34=0,"",SUMPRODUCT(MAX(($B$76:$B$375=$A34)*($I$76:$I$375)))),"")</f>
        <v/>
      </c>
      <c r="I34" s="79" t="str">
        <f aca="false">IFERROR(IF(C34="","",C34/$C$16),"")</f>
        <v/>
      </c>
      <c r="J34" s="79" t="str">
        <f aca="false">IFERROR(IF(D34="","",D34/$D$16),"")</f>
        <v/>
      </c>
      <c r="K34" s="79" t="str">
        <f aca="false">IFERROR(IF(E34="","",E34/$E$16),"")</f>
        <v/>
      </c>
    </row>
    <row r="35" customFormat="false" ht="15" hidden="false" customHeight="false" outlineLevel="0" collapsed="false">
      <c r="A35" s="65" t="n">
        <v>16</v>
      </c>
      <c r="B35" s="92" t="n">
        <f aca="false">COUNTIFS($B$76:$B$375,$A35)</f>
        <v>0</v>
      </c>
      <c r="C35" s="93" t="str">
        <f aca="false">IF(B35=0,"",SUMIFS($D$76:$D$375,$B$76:$B$375,$A35))</f>
        <v/>
      </c>
      <c r="D35" s="93" t="str">
        <f aca="false">IF(B35=0,"",SUMIFS($E$76:$E$375,$B$76:$B$375,$A35))</f>
        <v/>
      </c>
      <c r="E35" s="93" t="str">
        <f aca="false">IF(B35=0,"",SUMIFS($F$76:$F$375,$B$76:$B$375,$A35))</f>
        <v/>
      </c>
      <c r="F35" s="93" t="str">
        <f aca="false">IF(B35=0,"",SUMIFS($G$76:$G$375,$B$76:$B$375,$A35))</f>
        <v/>
      </c>
      <c r="G35" s="93" t="str">
        <f aca="false">IF(B35=0,"",SUMIFS($H$76:$H$375,$B$76:$B$375,$A35))</f>
        <v/>
      </c>
      <c r="H35" s="94" t="str">
        <f aca="false">IFERROR(IF(B35=0,"",SUMPRODUCT(MAX(($B$76:$B$375=$A35)*($I$76:$I$375)))),"")</f>
        <v/>
      </c>
      <c r="I35" s="79" t="str">
        <f aca="false">IFERROR(IF(C35="","",C35/$C$16),"")</f>
        <v/>
      </c>
      <c r="J35" s="79" t="str">
        <f aca="false">IFERROR(IF(D35="","",D35/$D$16),"")</f>
        <v/>
      </c>
      <c r="K35" s="79" t="str">
        <f aca="false">IFERROR(IF(E35="","",E35/$E$16),"")</f>
        <v/>
      </c>
    </row>
    <row r="36" customFormat="false" ht="15" hidden="false" customHeight="false" outlineLevel="0" collapsed="false">
      <c r="A36" s="65" t="n">
        <v>17</v>
      </c>
      <c r="B36" s="92" t="n">
        <f aca="false">COUNTIFS($B$76:$B$375,$A36)</f>
        <v>0</v>
      </c>
      <c r="C36" s="93" t="str">
        <f aca="false">IF(B36=0,"",SUMIFS($D$76:$D$375,$B$76:$B$375,$A36))</f>
        <v/>
      </c>
      <c r="D36" s="93" t="str">
        <f aca="false">IF(B36=0,"",SUMIFS($E$76:$E$375,$B$76:$B$375,$A36))</f>
        <v/>
      </c>
      <c r="E36" s="93" t="str">
        <f aca="false">IF(B36=0,"",SUMIFS($F$76:$F$375,$B$76:$B$375,$A36))</f>
        <v/>
      </c>
      <c r="F36" s="93" t="str">
        <f aca="false">IF(B36=0,"",SUMIFS($G$76:$G$375,$B$76:$B$375,$A36))</f>
        <v/>
      </c>
      <c r="G36" s="93" t="str">
        <f aca="false">IF(B36=0,"",SUMIFS($H$76:$H$375,$B$76:$B$375,$A36))</f>
        <v/>
      </c>
      <c r="H36" s="94" t="str">
        <f aca="false">IFERROR(IF(B36=0,"",SUMPRODUCT(MAX(($B$76:$B$375=$A36)*($I$76:$I$375)))),"")</f>
        <v/>
      </c>
      <c r="I36" s="79" t="str">
        <f aca="false">IFERROR(IF(C36="","",C36/$C$16),"")</f>
        <v/>
      </c>
      <c r="J36" s="79" t="str">
        <f aca="false">IFERROR(IF(D36="","",D36/$D$16),"")</f>
        <v/>
      </c>
      <c r="K36" s="79" t="str">
        <f aca="false">IFERROR(IF(E36="","",E36/$E$16),"")</f>
        <v/>
      </c>
    </row>
    <row r="37" customFormat="false" ht="15" hidden="false" customHeight="false" outlineLevel="0" collapsed="false">
      <c r="A37" s="65" t="n">
        <v>18</v>
      </c>
      <c r="B37" s="92" t="n">
        <f aca="false">COUNTIFS($B$76:$B$375,$A37)</f>
        <v>0</v>
      </c>
      <c r="C37" s="93" t="str">
        <f aca="false">IF(B37=0,"",SUMIFS($D$76:$D$375,$B$76:$B$375,$A37))</f>
        <v/>
      </c>
      <c r="D37" s="93" t="str">
        <f aca="false">IF(B37=0,"",SUMIFS($E$76:$E$375,$B$76:$B$375,$A37))</f>
        <v/>
      </c>
      <c r="E37" s="93" t="str">
        <f aca="false">IF(B37=0,"",SUMIFS($F$76:$F$375,$B$76:$B$375,$A37))</f>
        <v/>
      </c>
      <c r="F37" s="93" t="str">
        <f aca="false">IF(B37=0,"",SUMIFS($G$76:$G$375,$B$76:$B$375,$A37))</f>
        <v/>
      </c>
      <c r="G37" s="93" t="str">
        <f aca="false">IF(B37=0,"",SUMIFS($H$76:$H$375,$B$76:$B$375,$A37))</f>
        <v/>
      </c>
      <c r="H37" s="94" t="str">
        <f aca="false">IFERROR(IF(B37=0,"",SUMPRODUCT(MAX(($B$76:$B$375=$A37)*($I$76:$I$375)))),"")</f>
        <v/>
      </c>
      <c r="I37" s="79" t="str">
        <f aca="false">IFERROR(IF(C37="","",C37/$C$16),"")</f>
        <v/>
      </c>
      <c r="J37" s="79" t="str">
        <f aca="false">IFERROR(IF(D37="","",D37/$D$16),"")</f>
        <v/>
      </c>
      <c r="K37" s="79" t="str">
        <f aca="false">IFERROR(IF(E37="","",E37/$E$16),"")</f>
        <v/>
      </c>
    </row>
    <row r="38" customFormat="false" ht="15" hidden="false" customHeight="false" outlineLevel="0" collapsed="false">
      <c r="A38" s="65" t="n">
        <v>19</v>
      </c>
      <c r="B38" s="92" t="n">
        <f aca="false">COUNTIFS($B$76:$B$375,$A38)</f>
        <v>0</v>
      </c>
      <c r="C38" s="93" t="str">
        <f aca="false">IF(B38=0,"",SUMIFS($D$76:$D$375,$B$76:$B$375,$A38))</f>
        <v/>
      </c>
      <c r="D38" s="93" t="str">
        <f aca="false">IF(B38=0,"",SUMIFS($E$76:$E$375,$B$76:$B$375,$A38))</f>
        <v/>
      </c>
      <c r="E38" s="93" t="str">
        <f aca="false">IF(B38=0,"",SUMIFS($F$76:$F$375,$B$76:$B$375,$A38))</f>
        <v/>
      </c>
      <c r="F38" s="93" t="str">
        <f aca="false">IF(B38=0,"",SUMIFS($G$76:$G$375,$B$76:$B$375,$A38))</f>
        <v/>
      </c>
      <c r="G38" s="93" t="str">
        <f aca="false">IF(B38=0,"",SUMIFS($H$76:$H$375,$B$76:$B$375,$A38))</f>
        <v/>
      </c>
      <c r="H38" s="94" t="str">
        <f aca="false">IFERROR(IF(B38=0,"",SUMPRODUCT(MAX(($B$76:$B$375=$A38)*($I$76:$I$375)))),"")</f>
        <v/>
      </c>
      <c r="I38" s="79" t="str">
        <f aca="false">IFERROR(IF(C38="","",C38/$C$16),"")</f>
        <v/>
      </c>
      <c r="J38" s="79" t="str">
        <f aca="false">IFERROR(IF(D38="","",D38/$D$16),"")</f>
        <v/>
      </c>
      <c r="K38" s="79" t="str">
        <f aca="false">IFERROR(IF(E38="","",E38/$E$16),"")</f>
        <v/>
      </c>
    </row>
    <row r="39" customFormat="false" ht="15" hidden="false" customHeight="false" outlineLevel="0" collapsed="false">
      <c r="A39" s="65" t="n">
        <v>20</v>
      </c>
      <c r="B39" s="92" t="n">
        <f aca="false">COUNTIFS($B$76:$B$375,$A39)</f>
        <v>0</v>
      </c>
      <c r="C39" s="93" t="str">
        <f aca="false">IF(B39=0,"",SUMIFS($D$76:$D$375,$B$76:$B$375,$A39))</f>
        <v/>
      </c>
      <c r="D39" s="93" t="str">
        <f aca="false">IF(B39=0,"",SUMIFS($E$76:$E$375,$B$76:$B$375,$A39))</f>
        <v/>
      </c>
      <c r="E39" s="93" t="str">
        <f aca="false">IF(B39=0,"",SUMIFS($F$76:$F$375,$B$76:$B$375,$A39))</f>
        <v/>
      </c>
      <c r="F39" s="93" t="str">
        <f aca="false">IF(B39=0,"",SUMIFS($G$76:$G$375,$B$76:$B$375,$A39))</f>
        <v/>
      </c>
      <c r="G39" s="93" t="str">
        <f aca="false">IF(B39=0,"",SUMIFS($H$76:$H$375,$B$76:$B$375,$A39))</f>
        <v/>
      </c>
      <c r="H39" s="94" t="str">
        <f aca="false">IFERROR(IF(B39=0,"",SUMPRODUCT(MAX(($B$76:$B$375=$A39)*($I$76:$I$375)))),"")</f>
        <v/>
      </c>
      <c r="I39" s="79" t="str">
        <f aca="false">IFERROR(IF(C39="","",C39/$C$16),"")</f>
        <v/>
      </c>
      <c r="J39" s="79" t="str">
        <f aca="false">IFERROR(IF(D39="","",D39/$D$16),"")</f>
        <v/>
      </c>
      <c r="K39" s="79" t="str">
        <f aca="false">IFERROR(IF(E39="","",E39/$E$16),"")</f>
        <v/>
      </c>
    </row>
    <row r="40" customFormat="false" ht="15" hidden="false" customHeight="false" outlineLevel="0" collapsed="false">
      <c r="A40" s="65" t="n">
        <v>21</v>
      </c>
      <c r="B40" s="92" t="n">
        <f aca="false">COUNTIFS($B$76:$B$375,$A40)</f>
        <v>0</v>
      </c>
      <c r="C40" s="93" t="str">
        <f aca="false">IF(B40=0,"",SUMIFS($D$76:$D$375,$B$76:$B$375,$A40))</f>
        <v/>
      </c>
      <c r="D40" s="93" t="str">
        <f aca="false">IF(B40=0,"",SUMIFS($E$76:$E$375,$B$76:$B$375,$A40))</f>
        <v/>
      </c>
      <c r="E40" s="93" t="str">
        <f aca="false">IF(B40=0,"",SUMIFS($F$76:$F$375,$B$76:$B$375,$A40))</f>
        <v/>
      </c>
      <c r="F40" s="93" t="str">
        <f aca="false">IF(B40=0,"",SUMIFS($G$76:$G$375,$B$76:$B$375,$A40))</f>
        <v/>
      </c>
      <c r="G40" s="93" t="str">
        <f aca="false">IF(B40=0,"",SUMIFS($H$76:$H$375,$B$76:$B$375,$A40))</f>
        <v/>
      </c>
      <c r="H40" s="94" t="str">
        <f aca="false">IFERROR(IF(B40=0,"",SUMPRODUCT(MAX(($B$76:$B$375=$A40)*($I$76:$I$375)))),"")</f>
        <v/>
      </c>
      <c r="I40" s="79" t="str">
        <f aca="false">IFERROR(IF(C40="","",C40/$C$16),"")</f>
        <v/>
      </c>
      <c r="J40" s="79" t="str">
        <f aca="false">IFERROR(IF(D40="","",D40/$D$16),"")</f>
        <v/>
      </c>
      <c r="K40" s="79" t="str">
        <f aca="false">IFERROR(IF(E40="","",E40/$E$16),"")</f>
        <v/>
      </c>
    </row>
    <row r="41" customFormat="false" ht="15" hidden="false" customHeight="false" outlineLevel="0" collapsed="false">
      <c r="A41" s="65" t="n">
        <v>22</v>
      </c>
      <c r="B41" s="92" t="n">
        <f aca="false">COUNTIFS($B$76:$B$375,$A41)</f>
        <v>0</v>
      </c>
      <c r="C41" s="93" t="str">
        <f aca="false">IF(B41=0,"",SUMIFS($D$76:$D$375,$B$76:$B$375,$A41))</f>
        <v/>
      </c>
      <c r="D41" s="93" t="str">
        <f aca="false">IF(B41=0,"",SUMIFS($E$76:$E$375,$B$76:$B$375,$A41))</f>
        <v/>
      </c>
      <c r="E41" s="93" t="str">
        <f aca="false">IF(B41=0,"",SUMIFS($F$76:$F$375,$B$76:$B$375,$A41))</f>
        <v/>
      </c>
      <c r="F41" s="93" t="str">
        <f aca="false">IF(B41=0,"",SUMIFS($G$76:$G$375,$B$76:$B$375,$A41))</f>
        <v/>
      </c>
      <c r="G41" s="93" t="str">
        <f aca="false">IF(B41=0,"",SUMIFS($H$76:$H$375,$B$76:$B$375,$A41))</f>
        <v/>
      </c>
      <c r="H41" s="94" t="str">
        <f aca="false">IFERROR(IF(B41=0,"",SUMPRODUCT(MAX(($B$76:$B$375=$A41)*($I$76:$I$375)))),"")</f>
        <v/>
      </c>
      <c r="I41" s="79" t="str">
        <f aca="false">IFERROR(IF(C41="","",C41/$C$16),"")</f>
        <v/>
      </c>
      <c r="J41" s="79" t="str">
        <f aca="false">IFERROR(IF(D41="","",D41/$D$16),"")</f>
        <v/>
      </c>
      <c r="K41" s="79" t="str">
        <f aca="false">IFERROR(IF(E41="","",E41/$E$16),"")</f>
        <v/>
      </c>
    </row>
    <row r="42" customFormat="false" ht="15" hidden="false" customHeight="false" outlineLevel="0" collapsed="false">
      <c r="A42" s="65" t="n">
        <v>23</v>
      </c>
      <c r="B42" s="92" t="n">
        <f aca="false">COUNTIFS($B$76:$B$375,$A42)</f>
        <v>0</v>
      </c>
      <c r="C42" s="93" t="str">
        <f aca="false">IF(B42=0,"",SUMIFS($D$76:$D$375,$B$76:$B$375,$A42))</f>
        <v/>
      </c>
      <c r="D42" s="93" t="str">
        <f aca="false">IF(B42=0,"",SUMIFS($E$76:$E$375,$B$76:$B$375,$A42))</f>
        <v/>
      </c>
      <c r="E42" s="93" t="str">
        <f aca="false">IF(B42=0,"",SUMIFS($F$76:$F$375,$B$76:$B$375,$A42))</f>
        <v/>
      </c>
      <c r="F42" s="93" t="str">
        <f aca="false">IF(B42=0,"",SUMIFS($G$76:$G$375,$B$76:$B$375,$A42))</f>
        <v/>
      </c>
      <c r="G42" s="93" t="str">
        <f aca="false">IF(B42=0,"",SUMIFS($H$76:$H$375,$B$76:$B$375,$A42))</f>
        <v/>
      </c>
      <c r="H42" s="94" t="str">
        <f aca="false">IFERROR(IF(B42=0,"",SUMPRODUCT(MAX(($B$76:$B$375=$A42)*($I$76:$I$375)))),"")</f>
        <v/>
      </c>
      <c r="I42" s="79" t="str">
        <f aca="false">IFERROR(IF(C42="","",C42/$C$16),"")</f>
        <v/>
      </c>
      <c r="J42" s="79" t="str">
        <f aca="false">IFERROR(IF(D42="","",D42/$D$16),"")</f>
        <v/>
      </c>
      <c r="K42" s="79" t="str">
        <f aca="false">IFERROR(IF(E42="","",E42/$E$16),"")</f>
        <v/>
      </c>
    </row>
    <row r="43" customFormat="false" ht="15" hidden="false" customHeight="false" outlineLevel="0" collapsed="false">
      <c r="A43" s="65" t="n">
        <v>24</v>
      </c>
      <c r="B43" s="92" t="n">
        <f aca="false">COUNTIFS($B$76:$B$375,$A43)</f>
        <v>0</v>
      </c>
      <c r="C43" s="93" t="str">
        <f aca="false">IF(B43=0,"",SUMIFS($D$76:$D$375,$B$76:$B$375,$A43))</f>
        <v/>
      </c>
      <c r="D43" s="93" t="str">
        <f aca="false">IF(B43=0,"",SUMIFS($E$76:$E$375,$B$76:$B$375,$A43))</f>
        <v/>
      </c>
      <c r="E43" s="93" t="str">
        <f aca="false">IF(B43=0,"",SUMIFS($F$76:$F$375,$B$76:$B$375,$A43))</f>
        <v/>
      </c>
      <c r="F43" s="93" t="str">
        <f aca="false">IF(B43=0,"",SUMIFS($G$76:$G$375,$B$76:$B$375,$A43))</f>
        <v/>
      </c>
      <c r="G43" s="93" t="str">
        <f aca="false">IF(B43=0,"",SUMIFS($H$76:$H$375,$B$76:$B$375,$A43))</f>
        <v/>
      </c>
      <c r="H43" s="94" t="str">
        <f aca="false">IFERROR(IF(B43=0,"",SUMPRODUCT(MAX(($B$76:$B$375=$A43)*($I$76:$I$375)))),"")</f>
        <v/>
      </c>
      <c r="I43" s="79" t="str">
        <f aca="false">IFERROR(IF(C43="","",C43/$C$16),"")</f>
        <v/>
      </c>
      <c r="J43" s="79" t="str">
        <f aca="false">IFERROR(IF(D43="","",D43/$D$16),"")</f>
        <v/>
      </c>
      <c r="K43" s="79" t="str">
        <f aca="false">IFERROR(IF(E43="","",E43/$E$16),"")</f>
        <v/>
      </c>
    </row>
    <row r="44" customFormat="false" ht="15" hidden="false" customHeight="false" outlineLevel="0" collapsed="false">
      <c r="A44" s="65" t="n">
        <v>25</v>
      </c>
      <c r="B44" s="92" t="n">
        <f aca="false">COUNTIFS($B$76:$B$375,$A44)</f>
        <v>0</v>
      </c>
      <c r="C44" s="93" t="str">
        <f aca="false">IF(B44=0,"",SUMIFS($D$76:$D$375,$B$76:$B$375,$A44))</f>
        <v/>
      </c>
      <c r="D44" s="93" t="str">
        <f aca="false">IF(B44=0,"",SUMIFS($E$76:$E$375,$B$76:$B$375,$A44))</f>
        <v/>
      </c>
      <c r="E44" s="93" t="str">
        <f aca="false">IF(B44=0,"",SUMIFS($F$76:$F$375,$B$76:$B$375,$A44))</f>
        <v/>
      </c>
      <c r="F44" s="93" t="str">
        <f aca="false">IF(B44=0,"",SUMIFS($G$76:$G$375,$B$76:$B$375,$A44))</f>
        <v/>
      </c>
      <c r="G44" s="93" t="str">
        <f aca="false">IF(B44=0,"",SUMIFS($H$76:$H$375,$B$76:$B$375,$A44))</f>
        <v/>
      </c>
      <c r="H44" s="94" t="str">
        <f aca="false">IFERROR(IF(B44=0,"",SUMPRODUCT(MAX(($B$76:$B$375=$A44)*($I$76:$I$375)))),"")</f>
        <v/>
      </c>
      <c r="I44" s="79" t="str">
        <f aca="false">IFERROR(IF(C44="","",C44/$C$16),"")</f>
        <v/>
      </c>
      <c r="J44" s="79" t="str">
        <f aca="false">IFERROR(IF(D44="","",D44/$D$16),"")</f>
        <v/>
      </c>
      <c r="K44" s="79" t="str">
        <f aca="false">IFERROR(IF(E44="","",E44/$E$16),"")</f>
        <v/>
      </c>
    </row>
    <row r="45" customFormat="false" ht="15" hidden="false" customHeight="false" outlineLevel="0" collapsed="false">
      <c r="A45" s="65" t="n">
        <v>26</v>
      </c>
      <c r="B45" s="92" t="n">
        <f aca="false">COUNTIFS($B$76:$B$375,$A45)</f>
        <v>0</v>
      </c>
      <c r="C45" s="93" t="str">
        <f aca="false">IF(B45=0,"",SUMIFS($D$76:$D$375,$B$76:$B$375,$A45))</f>
        <v/>
      </c>
      <c r="D45" s="93" t="str">
        <f aca="false">IF(B45=0,"",SUMIFS($E$76:$E$375,$B$76:$B$375,$A45))</f>
        <v/>
      </c>
      <c r="E45" s="93" t="str">
        <f aca="false">IF(B45=0,"",SUMIFS($F$76:$F$375,$B$76:$B$375,$A45))</f>
        <v/>
      </c>
      <c r="F45" s="93" t="str">
        <f aca="false">IF(B45=0,"",SUMIFS($G$76:$G$375,$B$76:$B$375,$A45))</f>
        <v/>
      </c>
      <c r="G45" s="93" t="str">
        <f aca="false">IF(B45=0,"",SUMIFS($H$76:$H$375,$B$76:$B$375,$A45))</f>
        <v/>
      </c>
      <c r="H45" s="94" t="str">
        <f aca="false">IFERROR(IF(B45=0,"",SUMPRODUCT(MAX(($B$76:$B$375=$A45)*($I$76:$I$375)))),"")</f>
        <v/>
      </c>
      <c r="I45" s="79" t="str">
        <f aca="false">IFERROR(IF(C45="","",C45/$C$16),"")</f>
        <v/>
      </c>
      <c r="J45" s="79" t="str">
        <f aca="false">IFERROR(IF(D45="","",D45/$D$16),"")</f>
        <v/>
      </c>
      <c r="K45" s="79" t="str">
        <f aca="false">IFERROR(IF(E45="","",E45/$E$16),"")</f>
        <v/>
      </c>
    </row>
    <row r="46" customFormat="false" ht="15" hidden="false" customHeight="false" outlineLevel="0" collapsed="false">
      <c r="A46" s="65" t="n">
        <v>27</v>
      </c>
      <c r="B46" s="92" t="n">
        <f aca="false">COUNTIFS($B$76:$B$375,$A46)</f>
        <v>0</v>
      </c>
      <c r="C46" s="93" t="str">
        <f aca="false">IF(B46=0,"",SUMIFS($D$76:$D$375,$B$76:$B$375,$A46))</f>
        <v/>
      </c>
      <c r="D46" s="93" t="str">
        <f aca="false">IF(B46=0,"",SUMIFS($E$76:$E$375,$B$76:$B$375,$A46))</f>
        <v/>
      </c>
      <c r="E46" s="93" t="str">
        <f aca="false">IF(B46=0,"",SUMIFS($F$76:$F$375,$B$76:$B$375,$A46))</f>
        <v/>
      </c>
      <c r="F46" s="93" t="str">
        <f aca="false">IF(B46=0,"",SUMIFS($G$76:$G$375,$B$76:$B$375,$A46))</f>
        <v/>
      </c>
      <c r="G46" s="93" t="str">
        <f aca="false">IF(B46=0,"",SUMIFS($H$76:$H$375,$B$76:$B$375,$A46))</f>
        <v/>
      </c>
      <c r="H46" s="94" t="str">
        <f aca="false">IFERROR(IF(B46=0,"",SUMPRODUCT(MAX(($B$76:$B$375=$A46)*($I$76:$I$375)))),"")</f>
        <v/>
      </c>
      <c r="I46" s="79" t="str">
        <f aca="false">IFERROR(IF(C46="","",C46/$C$16),"")</f>
        <v/>
      </c>
      <c r="J46" s="79" t="str">
        <f aca="false">IFERROR(IF(D46="","",D46/$D$16),"")</f>
        <v/>
      </c>
      <c r="K46" s="79" t="str">
        <f aca="false">IFERROR(IF(E46="","",E46/$E$16),"")</f>
        <v/>
      </c>
    </row>
    <row r="47" customFormat="false" ht="15" hidden="false" customHeight="false" outlineLevel="0" collapsed="false">
      <c r="A47" s="65" t="n">
        <v>28</v>
      </c>
      <c r="B47" s="92" t="n">
        <f aca="false">COUNTIFS($B$76:$B$375,$A47)</f>
        <v>0</v>
      </c>
      <c r="C47" s="93" t="str">
        <f aca="false">IF(B47=0,"",SUMIFS($D$76:$D$375,$B$76:$B$375,$A47))</f>
        <v/>
      </c>
      <c r="D47" s="93" t="str">
        <f aca="false">IF(B47=0,"",SUMIFS($E$76:$E$375,$B$76:$B$375,$A47))</f>
        <v/>
      </c>
      <c r="E47" s="93" t="str">
        <f aca="false">IF(B47=0,"",SUMIFS($F$76:$F$375,$B$76:$B$375,$A47))</f>
        <v/>
      </c>
      <c r="F47" s="93" t="str">
        <f aca="false">IF(B47=0,"",SUMIFS($G$76:$G$375,$B$76:$B$375,$A47))</f>
        <v/>
      </c>
      <c r="G47" s="93" t="str">
        <f aca="false">IF(B47=0,"",SUMIFS($H$76:$H$375,$B$76:$B$375,$A47))</f>
        <v/>
      </c>
      <c r="H47" s="94" t="str">
        <f aca="false">IFERROR(IF(B47=0,"",SUMPRODUCT(MAX(($B$76:$B$375=$A47)*($I$76:$I$375)))),"")</f>
        <v/>
      </c>
      <c r="I47" s="79" t="str">
        <f aca="false">IFERROR(IF(C47="","",C47/$C$16),"")</f>
        <v/>
      </c>
      <c r="J47" s="79" t="str">
        <f aca="false">IFERROR(IF(D47="","",D47/$D$16),"")</f>
        <v/>
      </c>
      <c r="K47" s="79" t="str">
        <f aca="false">IFERROR(IF(E47="","",E47/$E$16),"")</f>
        <v/>
      </c>
    </row>
    <row r="48" customFormat="false" ht="15" hidden="false" customHeight="false" outlineLevel="0" collapsed="false">
      <c r="A48" s="65" t="n">
        <v>29</v>
      </c>
      <c r="B48" s="92" t="n">
        <f aca="false">COUNTIFS($B$76:$B$375,$A48)</f>
        <v>0</v>
      </c>
      <c r="C48" s="93" t="str">
        <f aca="false">IF(B48=0,"",SUMIFS($D$76:$D$375,$B$76:$B$375,$A48))</f>
        <v/>
      </c>
      <c r="D48" s="93" t="str">
        <f aca="false">IF(B48=0,"",SUMIFS($E$76:$E$375,$B$76:$B$375,$A48))</f>
        <v/>
      </c>
      <c r="E48" s="93" t="str">
        <f aca="false">IF(B48=0,"",SUMIFS($F$76:$F$375,$B$76:$B$375,$A48))</f>
        <v/>
      </c>
      <c r="F48" s="93" t="str">
        <f aca="false">IF(B48=0,"",SUMIFS($G$76:$G$375,$B$76:$B$375,$A48))</f>
        <v/>
      </c>
      <c r="G48" s="93" t="str">
        <f aca="false">IF(B48=0,"",SUMIFS($H$76:$H$375,$B$76:$B$375,$A48))</f>
        <v/>
      </c>
      <c r="H48" s="94" t="str">
        <f aca="false">IFERROR(IF(B48=0,"",SUMPRODUCT(MAX(($B$76:$B$375=$A48)*($I$76:$I$375)))),"")</f>
        <v/>
      </c>
      <c r="I48" s="79" t="str">
        <f aca="false">IFERROR(IF(C48="","",C48/$C$16),"")</f>
        <v/>
      </c>
      <c r="J48" s="79" t="str">
        <f aca="false">IFERROR(IF(D48="","",D48/$D$16),"")</f>
        <v/>
      </c>
      <c r="K48" s="79" t="str">
        <f aca="false">IFERROR(IF(E48="","",E48/$E$16),"")</f>
        <v/>
      </c>
    </row>
    <row r="49" customFormat="false" ht="15" hidden="false" customHeight="false" outlineLevel="0" collapsed="false">
      <c r="A49" s="65" t="n">
        <v>30</v>
      </c>
      <c r="B49" s="92" t="n">
        <f aca="false">COUNTIFS($B$76:$B$375,$A49)</f>
        <v>0</v>
      </c>
      <c r="C49" s="93" t="str">
        <f aca="false">IF(B49=0,"",SUMIFS($D$76:$D$375,$B$76:$B$375,$A49))</f>
        <v/>
      </c>
      <c r="D49" s="93" t="str">
        <f aca="false">IF(B49=0,"",SUMIFS($E$76:$E$375,$B$76:$B$375,$A49))</f>
        <v/>
      </c>
      <c r="E49" s="93" t="str">
        <f aca="false">IF(B49=0,"",SUMIFS($F$76:$F$375,$B$76:$B$375,$A49))</f>
        <v/>
      </c>
      <c r="F49" s="93" t="str">
        <f aca="false">IF(B49=0,"",SUMIFS($G$76:$G$375,$B$76:$B$375,$A49))</f>
        <v/>
      </c>
      <c r="G49" s="93" t="str">
        <f aca="false">IF(B49=0,"",SUMIFS($H$76:$H$375,$B$76:$B$375,$A49))</f>
        <v/>
      </c>
      <c r="H49" s="94" t="str">
        <f aca="false">IFERROR(IF(B49=0,"",SUMPRODUCT(MAX(($B$76:$B$375=$A49)*($I$76:$I$375)))),"")</f>
        <v/>
      </c>
      <c r="I49" s="79" t="str">
        <f aca="false">IFERROR(IF(C49="","",C49/$C$16),"")</f>
        <v/>
      </c>
      <c r="J49" s="79" t="str">
        <f aca="false">IFERROR(IF(D49="","",D49/$D$16),"")</f>
        <v/>
      </c>
      <c r="K49" s="79" t="str">
        <f aca="false">IFERROR(IF(E49="","",E49/$E$16),"")</f>
        <v/>
      </c>
    </row>
    <row r="50" customFormat="false" ht="15" hidden="false" customHeight="false" outlineLevel="0" collapsed="false">
      <c r="A50" s="65" t="n">
        <v>31</v>
      </c>
      <c r="B50" s="92" t="n">
        <f aca="false">COUNTIFS($B$76:$B$375,$A50)</f>
        <v>0</v>
      </c>
      <c r="C50" s="93" t="str">
        <f aca="false">IF(B50=0,"",SUMIFS($D$76:$D$375,$B$76:$B$375,$A50))</f>
        <v/>
      </c>
      <c r="D50" s="93" t="str">
        <f aca="false">IF(B50=0,"",SUMIFS($E$76:$E$375,$B$76:$B$375,$A50))</f>
        <v/>
      </c>
      <c r="E50" s="93" t="str">
        <f aca="false">IF(B50=0,"",SUMIFS($F$76:$F$375,$B$76:$B$375,$A50))</f>
        <v/>
      </c>
      <c r="F50" s="93" t="str">
        <f aca="false">IF(B50=0,"",SUMIFS($G$76:$G$375,$B$76:$B$375,$A50))</f>
        <v/>
      </c>
      <c r="G50" s="93" t="str">
        <f aca="false">IF(B50=0,"",SUMIFS($H$76:$H$375,$B$76:$B$375,$A50))</f>
        <v/>
      </c>
      <c r="H50" s="94" t="str">
        <f aca="false">IFERROR(IF(B50=0,"",SUMPRODUCT(MAX(($B$76:$B$375=$A50)*($I$76:$I$375)))),"")</f>
        <v/>
      </c>
      <c r="I50" s="79" t="str">
        <f aca="false">IFERROR(IF(C50="","",C50/$C$16),"")</f>
        <v/>
      </c>
      <c r="J50" s="79" t="str">
        <f aca="false">IFERROR(IF(D50="","",D50/$D$16),"")</f>
        <v/>
      </c>
      <c r="K50" s="79" t="str">
        <f aca="false">IFERROR(IF(E50="","",E50/$E$16),"")</f>
        <v/>
      </c>
    </row>
    <row r="51" customFormat="false" ht="15" hidden="false" customHeight="false" outlineLevel="0" collapsed="false">
      <c r="A51" s="65" t="n">
        <v>32</v>
      </c>
      <c r="B51" s="92" t="n">
        <f aca="false">COUNTIFS($B$76:$B$375,$A51)</f>
        <v>0</v>
      </c>
      <c r="C51" s="93" t="str">
        <f aca="false">IF(B51=0,"",SUMIFS($D$76:$D$375,$B$76:$B$375,$A51))</f>
        <v/>
      </c>
      <c r="D51" s="93" t="str">
        <f aca="false">IF(B51=0,"",SUMIFS($E$76:$E$375,$B$76:$B$375,$A51))</f>
        <v/>
      </c>
      <c r="E51" s="93" t="str">
        <f aca="false">IF(B51=0,"",SUMIFS($F$76:$F$375,$B$76:$B$375,$A51))</f>
        <v/>
      </c>
      <c r="F51" s="93" t="str">
        <f aca="false">IF(B51=0,"",SUMIFS($G$76:$G$375,$B$76:$B$375,$A51))</f>
        <v/>
      </c>
      <c r="G51" s="93" t="str">
        <f aca="false">IF(B51=0,"",SUMIFS($H$76:$H$375,$B$76:$B$375,$A51))</f>
        <v/>
      </c>
      <c r="H51" s="94" t="str">
        <f aca="false">IFERROR(IF(B51=0,"",SUMPRODUCT(MAX(($B$76:$B$375=$A51)*($I$76:$I$375)))),"")</f>
        <v/>
      </c>
      <c r="I51" s="79" t="str">
        <f aca="false">IFERROR(IF(C51="","",C51/$C$16),"")</f>
        <v/>
      </c>
      <c r="J51" s="79" t="str">
        <f aca="false">IFERROR(IF(D51="","",D51/$D$16),"")</f>
        <v/>
      </c>
      <c r="K51" s="79" t="str">
        <f aca="false">IFERROR(IF(E51="","",E51/$E$16),"")</f>
        <v/>
      </c>
    </row>
    <row r="52" customFormat="false" ht="15" hidden="false" customHeight="false" outlineLevel="0" collapsed="false">
      <c r="A52" s="65" t="n">
        <v>33</v>
      </c>
      <c r="B52" s="92" t="n">
        <f aca="false">COUNTIFS($B$76:$B$375,$A52)</f>
        <v>0</v>
      </c>
      <c r="C52" s="93" t="str">
        <f aca="false">IF(B52=0,"",SUMIFS($D$76:$D$375,$B$76:$B$375,$A52))</f>
        <v/>
      </c>
      <c r="D52" s="93" t="str">
        <f aca="false">IF(B52=0,"",SUMIFS($E$76:$E$375,$B$76:$B$375,$A52))</f>
        <v/>
      </c>
      <c r="E52" s="93" t="str">
        <f aca="false">IF(B52=0,"",SUMIFS($F$76:$F$375,$B$76:$B$375,$A52))</f>
        <v/>
      </c>
      <c r="F52" s="93" t="str">
        <f aca="false">IF(B52=0,"",SUMIFS($G$76:$G$375,$B$76:$B$375,$A52))</f>
        <v/>
      </c>
      <c r="G52" s="93" t="str">
        <f aca="false">IF(B52=0,"",SUMIFS($H$76:$H$375,$B$76:$B$375,$A52))</f>
        <v/>
      </c>
      <c r="H52" s="94" t="str">
        <f aca="false">IFERROR(IF(B52=0,"",SUMPRODUCT(MAX(($B$76:$B$375=$A52)*($I$76:$I$375)))),"")</f>
        <v/>
      </c>
      <c r="I52" s="79" t="str">
        <f aca="false">IFERROR(IF(C52="","",C52/$C$16),"")</f>
        <v/>
      </c>
      <c r="J52" s="79" t="str">
        <f aca="false">IFERROR(IF(D52="","",D52/$D$16),"")</f>
        <v/>
      </c>
      <c r="K52" s="79" t="str">
        <f aca="false">IFERROR(IF(E52="","",E52/$E$16),"")</f>
        <v/>
      </c>
    </row>
    <row r="53" customFormat="false" ht="15" hidden="false" customHeight="false" outlineLevel="0" collapsed="false">
      <c r="A53" s="65" t="n">
        <v>34</v>
      </c>
      <c r="B53" s="92" t="n">
        <f aca="false">COUNTIFS($B$76:$B$375,$A53)</f>
        <v>0</v>
      </c>
      <c r="C53" s="93" t="str">
        <f aca="false">IF(B53=0,"",SUMIFS($D$76:$D$375,$B$76:$B$375,$A53))</f>
        <v/>
      </c>
      <c r="D53" s="93" t="str">
        <f aca="false">IF(B53=0,"",SUMIFS($E$76:$E$375,$B$76:$B$375,$A53))</f>
        <v/>
      </c>
      <c r="E53" s="93" t="str">
        <f aca="false">IF(B53=0,"",SUMIFS($F$76:$F$375,$B$76:$B$375,$A53))</f>
        <v/>
      </c>
      <c r="F53" s="93" t="str">
        <f aca="false">IF(B53=0,"",SUMIFS($G$76:$G$375,$B$76:$B$375,$A53))</f>
        <v/>
      </c>
      <c r="G53" s="93" t="str">
        <f aca="false">IF(B53=0,"",SUMIFS($H$76:$H$375,$B$76:$B$375,$A53))</f>
        <v/>
      </c>
      <c r="H53" s="94" t="str">
        <f aca="false">IFERROR(IF(B53=0,"",SUMPRODUCT(MAX(($B$76:$B$375=$A53)*($I$76:$I$375)))),"")</f>
        <v/>
      </c>
      <c r="I53" s="79" t="str">
        <f aca="false">IFERROR(IF(C53="","",C53/$C$16),"")</f>
        <v/>
      </c>
      <c r="J53" s="79" t="str">
        <f aca="false">IFERROR(IF(D53="","",D53/$D$16),"")</f>
        <v/>
      </c>
      <c r="K53" s="79" t="str">
        <f aca="false">IFERROR(IF(E53="","",E53/$E$16),"")</f>
        <v/>
      </c>
    </row>
    <row r="54" customFormat="false" ht="15" hidden="false" customHeight="false" outlineLevel="0" collapsed="false">
      <c r="A54" s="65" t="n">
        <v>35</v>
      </c>
      <c r="B54" s="92" t="n">
        <f aca="false">COUNTIFS($B$76:$B$375,$A54)</f>
        <v>0</v>
      </c>
      <c r="C54" s="93" t="str">
        <f aca="false">IF(B54=0,"",SUMIFS($D$76:$D$375,$B$76:$B$375,$A54))</f>
        <v/>
      </c>
      <c r="D54" s="93" t="str">
        <f aca="false">IF(B54=0,"",SUMIFS($E$76:$E$375,$B$76:$B$375,$A54))</f>
        <v/>
      </c>
      <c r="E54" s="93" t="str">
        <f aca="false">IF(B54=0,"",SUMIFS($F$76:$F$375,$B$76:$B$375,$A54))</f>
        <v/>
      </c>
      <c r="F54" s="93" t="str">
        <f aca="false">IF(B54=0,"",SUMIFS($G$76:$G$375,$B$76:$B$375,$A54))</f>
        <v/>
      </c>
      <c r="G54" s="93" t="str">
        <f aca="false">IF(B54=0,"",SUMIFS($H$76:$H$375,$B$76:$B$375,$A54))</f>
        <v/>
      </c>
      <c r="H54" s="94" t="str">
        <f aca="false">IFERROR(IF(B54=0,"",SUMPRODUCT(MAX(($B$76:$B$375=$A54)*($I$76:$I$375)))),"")</f>
        <v/>
      </c>
      <c r="I54" s="79" t="str">
        <f aca="false">IFERROR(IF(C54="","",C54/$C$16),"")</f>
        <v/>
      </c>
      <c r="J54" s="79" t="str">
        <f aca="false">IFERROR(IF(D54="","",D54/$D$16),"")</f>
        <v/>
      </c>
      <c r="K54" s="79" t="str">
        <f aca="false">IFERROR(IF(E54="","",E54/$E$16),"")</f>
        <v/>
      </c>
    </row>
    <row r="55" customFormat="false" ht="15" hidden="false" customHeight="false" outlineLevel="0" collapsed="false">
      <c r="A55" s="65" t="n">
        <v>36</v>
      </c>
      <c r="B55" s="92" t="n">
        <f aca="false">COUNTIFS($B$76:$B$375,$A55)</f>
        <v>0</v>
      </c>
      <c r="C55" s="93" t="str">
        <f aca="false">IF(B55=0,"",SUMIFS($D$76:$D$375,$B$76:$B$375,$A55))</f>
        <v/>
      </c>
      <c r="D55" s="93" t="str">
        <f aca="false">IF(B55=0,"",SUMIFS($E$76:$E$375,$B$76:$B$375,$A55))</f>
        <v/>
      </c>
      <c r="E55" s="93" t="str">
        <f aca="false">IF(B55=0,"",SUMIFS($F$76:$F$375,$B$76:$B$375,$A55))</f>
        <v/>
      </c>
      <c r="F55" s="93" t="str">
        <f aca="false">IF(B55=0,"",SUMIFS($G$76:$G$375,$B$76:$B$375,$A55))</f>
        <v/>
      </c>
      <c r="G55" s="93" t="str">
        <f aca="false">IF(B55=0,"",SUMIFS($H$76:$H$375,$B$76:$B$375,$A55))</f>
        <v/>
      </c>
      <c r="H55" s="94" t="str">
        <f aca="false">IFERROR(IF(B55=0,"",SUMPRODUCT(MAX(($B$76:$B$375=$A55)*($I$76:$I$375)))),"")</f>
        <v/>
      </c>
      <c r="I55" s="79" t="str">
        <f aca="false">IFERROR(IF(C55="","",C55/$C$16),"")</f>
        <v/>
      </c>
      <c r="J55" s="79" t="str">
        <f aca="false">IFERROR(IF(D55="","",D55/$D$16),"")</f>
        <v/>
      </c>
      <c r="K55" s="79" t="str">
        <f aca="false">IFERROR(IF(E55="","",E55/$E$16),"")</f>
        <v/>
      </c>
    </row>
    <row r="56" customFormat="false" ht="15" hidden="false" customHeight="false" outlineLevel="0" collapsed="false">
      <c r="A56" s="65" t="n">
        <v>37</v>
      </c>
      <c r="B56" s="92" t="n">
        <f aca="false">COUNTIFS($B$76:$B$375,$A56)</f>
        <v>0</v>
      </c>
      <c r="C56" s="93" t="str">
        <f aca="false">IF(B56=0,"",SUMIFS($D$76:$D$375,$B$76:$B$375,$A56))</f>
        <v/>
      </c>
      <c r="D56" s="93" t="str">
        <f aca="false">IF(B56=0,"",SUMIFS($E$76:$E$375,$B$76:$B$375,$A56))</f>
        <v/>
      </c>
      <c r="E56" s="93" t="str">
        <f aca="false">IF(B56=0,"",SUMIFS($F$76:$F$375,$B$76:$B$375,$A56))</f>
        <v/>
      </c>
      <c r="F56" s="93" t="str">
        <f aca="false">IF(B56=0,"",SUMIFS($G$76:$G$375,$B$76:$B$375,$A56))</f>
        <v/>
      </c>
      <c r="G56" s="93" t="str">
        <f aca="false">IF(B56=0,"",SUMIFS($H$76:$H$375,$B$76:$B$375,$A56))</f>
        <v/>
      </c>
      <c r="H56" s="94" t="str">
        <f aca="false">IFERROR(IF(B56=0,"",SUMPRODUCT(MAX(($B$76:$B$375=$A56)*($I$76:$I$375)))),"")</f>
        <v/>
      </c>
      <c r="I56" s="79" t="str">
        <f aca="false">IFERROR(IF(C56="","",C56/$C$16),"")</f>
        <v/>
      </c>
      <c r="J56" s="79" t="str">
        <f aca="false">IFERROR(IF(D56="","",D56/$D$16),"")</f>
        <v/>
      </c>
      <c r="K56" s="79" t="str">
        <f aca="false">IFERROR(IF(E56="","",E56/$E$16),"")</f>
        <v/>
      </c>
    </row>
    <row r="57" customFormat="false" ht="15" hidden="false" customHeight="false" outlineLevel="0" collapsed="false">
      <c r="A57" s="65" t="n">
        <v>38</v>
      </c>
      <c r="B57" s="92" t="n">
        <f aca="false">COUNTIFS($B$76:$B$375,$A57)</f>
        <v>0</v>
      </c>
      <c r="C57" s="93" t="str">
        <f aca="false">IF(B57=0,"",SUMIFS($D$76:$D$375,$B$76:$B$375,$A57))</f>
        <v/>
      </c>
      <c r="D57" s="93" t="str">
        <f aca="false">IF(B57=0,"",SUMIFS($E$76:$E$375,$B$76:$B$375,$A57))</f>
        <v/>
      </c>
      <c r="E57" s="93" t="str">
        <f aca="false">IF(B57=0,"",SUMIFS($F$76:$F$375,$B$76:$B$375,$A57))</f>
        <v/>
      </c>
      <c r="F57" s="93" t="str">
        <f aca="false">IF(B57=0,"",SUMIFS($G$76:$G$375,$B$76:$B$375,$A57))</f>
        <v/>
      </c>
      <c r="G57" s="93" t="str">
        <f aca="false">IF(B57=0,"",SUMIFS($H$76:$H$375,$B$76:$B$375,$A57))</f>
        <v/>
      </c>
      <c r="H57" s="94" t="str">
        <f aca="false">IFERROR(IF(B57=0,"",SUMPRODUCT(MAX(($B$76:$B$375=$A57)*($I$76:$I$375)))),"")</f>
        <v/>
      </c>
      <c r="I57" s="79" t="str">
        <f aca="false">IFERROR(IF(C57="","",C57/$C$16),"")</f>
        <v/>
      </c>
      <c r="J57" s="79" t="str">
        <f aca="false">IFERROR(IF(D57="","",D57/$D$16),"")</f>
        <v/>
      </c>
      <c r="K57" s="79" t="str">
        <f aca="false">IFERROR(IF(E57="","",E57/$E$16),"")</f>
        <v/>
      </c>
    </row>
    <row r="58" customFormat="false" ht="15" hidden="false" customHeight="false" outlineLevel="0" collapsed="false">
      <c r="A58" s="65" t="n">
        <v>39</v>
      </c>
      <c r="B58" s="92" t="n">
        <f aca="false">COUNTIFS($B$76:$B$375,$A58)</f>
        <v>0</v>
      </c>
      <c r="C58" s="93" t="str">
        <f aca="false">IF(B58=0,"",SUMIFS($D$76:$D$375,$B$76:$B$375,$A58))</f>
        <v/>
      </c>
      <c r="D58" s="93" t="str">
        <f aca="false">IF(B58=0,"",SUMIFS($E$76:$E$375,$B$76:$B$375,$A58))</f>
        <v/>
      </c>
      <c r="E58" s="93" t="str">
        <f aca="false">IF(B58=0,"",SUMIFS($F$76:$F$375,$B$76:$B$375,$A58))</f>
        <v/>
      </c>
      <c r="F58" s="93" t="str">
        <f aca="false">IF(B58=0,"",SUMIFS($G$76:$G$375,$B$76:$B$375,$A58))</f>
        <v/>
      </c>
      <c r="G58" s="93" t="str">
        <f aca="false">IF(B58=0,"",SUMIFS($H$76:$H$375,$B$76:$B$375,$A58))</f>
        <v/>
      </c>
      <c r="H58" s="94" t="str">
        <f aca="false">IFERROR(IF(B58=0,"",SUMPRODUCT(MAX(($B$76:$B$375=$A58)*($I$76:$I$375)))),"")</f>
        <v/>
      </c>
      <c r="I58" s="79" t="str">
        <f aca="false">IFERROR(IF(C58="","",C58/$C$16),"")</f>
        <v/>
      </c>
      <c r="J58" s="79" t="str">
        <f aca="false">IFERROR(IF(D58="","",D58/$D$16),"")</f>
        <v/>
      </c>
      <c r="K58" s="79" t="str">
        <f aca="false">IFERROR(IF(E58="","",E58/$E$16),"")</f>
        <v/>
      </c>
    </row>
    <row r="59" customFormat="false" ht="15" hidden="false" customHeight="false" outlineLevel="0" collapsed="false">
      <c r="A59" s="65" t="n">
        <v>40</v>
      </c>
      <c r="B59" s="92" t="n">
        <f aca="false">COUNTIFS($B$76:$B$375,$A59)</f>
        <v>0</v>
      </c>
      <c r="C59" s="93" t="str">
        <f aca="false">IF(B59=0,"",SUMIFS($D$76:$D$375,$B$76:$B$375,$A59))</f>
        <v/>
      </c>
      <c r="D59" s="93" t="str">
        <f aca="false">IF(B59=0,"",SUMIFS($E$76:$E$375,$B$76:$B$375,$A59))</f>
        <v/>
      </c>
      <c r="E59" s="93" t="str">
        <f aca="false">IF(B59=0,"",SUMIFS($F$76:$F$375,$B$76:$B$375,$A59))</f>
        <v/>
      </c>
      <c r="F59" s="93" t="str">
        <f aca="false">IF(B59=0,"",SUMIFS($G$76:$G$375,$B$76:$B$375,$A59))</f>
        <v/>
      </c>
      <c r="G59" s="93" t="str">
        <f aca="false">IF(B59=0,"",SUMIFS($H$76:$H$375,$B$76:$B$375,$A59))</f>
        <v/>
      </c>
      <c r="H59" s="94" t="str">
        <f aca="false">IFERROR(IF(B59=0,"",SUMPRODUCT(MAX(($B$76:$B$375=$A59)*($I$76:$I$375)))),"")</f>
        <v/>
      </c>
      <c r="I59" s="79" t="str">
        <f aca="false">IFERROR(IF(C59="","",C59/$C$16),"")</f>
        <v/>
      </c>
      <c r="J59" s="79" t="str">
        <f aca="false">IFERROR(IF(D59="","",D59/$D$16),"")</f>
        <v/>
      </c>
      <c r="K59" s="79" t="str">
        <f aca="false">IFERROR(IF(E59="","",E59/$E$16),"")</f>
        <v/>
      </c>
    </row>
    <row r="60" customFormat="false" ht="15" hidden="false" customHeight="false" outlineLevel="0" collapsed="false">
      <c r="A60" s="65" t="n">
        <v>41</v>
      </c>
      <c r="B60" s="92" t="n">
        <f aca="false">COUNTIFS($B$76:$B$375,$A60)</f>
        <v>0</v>
      </c>
      <c r="C60" s="93" t="str">
        <f aca="false">IF(B60=0,"",SUMIFS($D$76:$D$375,$B$76:$B$375,$A60))</f>
        <v/>
      </c>
      <c r="D60" s="93" t="str">
        <f aca="false">IF(B60=0,"",SUMIFS($E$76:$E$375,$B$76:$B$375,$A60))</f>
        <v/>
      </c>
      <c r="E60" s="93" t="str">
        <f aca="false">IF(B60=0,"",SUMIFS($F$76:$F$375,$B$76:$B$375,$A60))</f>
        <v/>
      </c>
      <c r="F60" s="93" t="str">
        <f aca="false">IF(B60=0,"",SUMIFS($G$76:$G$375,$B$76:$B$375,$A60))</f>
        <v/>
      </c>
      <c r="G60" s="93" t="str">
        <f aca="false">IF(B60=0,"",SUMIFS($H$76:$H$375,$B$76:$B$375,$A60))</f>
        <v/>
      </c>
      <c r="H60" s="94" t="str">
        <f aca="false">IFERROR(IF(B60=0,"",SUMPRODUCT(MAX(($B$76:$B$375=$A60)*($I$76:$I$375)))),"")</f>
        <v/>
      </c>
      <c r="I60" s="79" t="str">
        <f aca="false">IFERROR(IF(C60="","",C60/$C$16),"")</f>
        <v/>
      </c>
      <c r="J60" s="79" t="str">
        <f aca="false">IFERROR(IF(D60="","",D60/$D$16),"")</f>
        <v/>
      </c>
      <c r="K60" s="79" t="str">
        <f aca="false">IFERROR(IF(E60="","",E60/$E$16),"")</f>
        <v/>
      </c>
    </row>
    <row r="61" customFormat="false" ht="15" hidden="false" customHeight="false" outlineLevel="0" collapsed="false">
      <c r="A61" s="65" t="n">
        <v>42</v>
      </c>
      <c r="B61" s="92" t="n">
        <f aca="false">COUNTIFS($B$76:$B$375,$A61)</f>
        <v>0</v>
      </c>
      <c r="C61" s="93" t="str">
        <f aca="false">IF(B61=0,"",SUMIFS($D$76:$D$375,$B$76:$B$375,$A61))</f>
        <v/>
      </c>
      <c r="D61" s="93" t="str">
        <f aca="false">IF(B61=0,"",SUMIFS($E$76:$E$375,$B$76:$B$375,$A61))</f>
        <v/>
      </c>
      <c r="E61" s="93" t="str">
        <f aca="false">IF(B61=0,"",SUMIFS($F$76:$F$375,$B$76:$B$375,$A61))</f>
        <v/>
      </c>
      <c r="F61" s="93" t="str">
        <f aca="false">IF(B61=0,"",SUMIFS($G$76:$G$375,$B$76:$B$375,$A61))</f>
        <v/>
      </c>
      <c r="G61" s="93" t="str">
        <f aca="false">IF(B61=0,"",SUMIFS($H$76:$H$375,$B$76:$B$375,$A61))</f>
        <v/>
      </c>
      <c r="H61" s="94" t="str">
        <f aca="false">IFERROR(IF(B61=0,"",SUMPRODUCT(MAX(($B$76:$B$375=$A61)*($I$76:$I$375)))),"")</f>
        <v/>
      </c>
      <c r="I61" s="79" t="str">
        <f aca="false">IFERROR(IF(C61="","",C61/$C$16),"")</f>
        <v/>
      </c>
      <c r="J61" s="79" t="str">
        <f aca="false">IFERROR(IF(D61="","",D61/$D$16),"")</f>
        <v/>
      </c>
      <c r="K61" s="79" t="str">
        <f aca="false">IFERROR(IF(E61="","",E61/$E$16),"")</f>
        <v/>
      </c>
    </row>
    <row r="62" customFormat="false" ht="15" hidden="false" customHeight="false" outlineLevel="0" collapsed="false">
      <c r="A62" s="65" t="n">
        <v>43</v>
      </c>
      <c r="B62" s="92" t="n">
        <f aca="false">COUNTIFS($B$76:$B$375,$A62)</f>
        <v>0</v>
      </c>
      <c r="C62" s="93" t="str">
        <f aca="false">IF(B62=0,"",SUMIFS($D$76:$D$375,$B$76:$B$375,$A62))</f>
        <v/>
      </c>
      <c r="D62" s="93" t="str">
        <f aca="false">IF(B62=0,"",SUMIFS($E$76:$E$375,$B$76:$B$375,$A62))</f>
        <v/>
      </c>
      <c r="E62" s="93" t="str">
        <f aca="false">IF(B62=0,"",SUMIFS($F$76:$F$375,$B$76:$B$375,$A62))</f>
        <v/>
      </c>
      <c r="F62" s="93" t="str">
        <f aca="false">IF(B62=0,"",SUMIFS($G$76:$G$375,$B$76:$B$375,$A62))</f>
        <v/>
      </c>
      <c r="G62" s="93" t="str">
        <f aca="false">IF(B62=0,"",SUMIFS($H$76:$H$375,$B$76:$B$375,$A62))</f>
        <v/>
      </c>
      <c r="H62" s="94" t="str">
        <f aca="false">IFERROR(IF(B62=0,"",SUMPRODUCT(MAX(($B$76:$B$375=$A62)*($I$76:$I$375)))),"")</f>
        <v/>
      </c>
      <c r="I62" s="79" t="str">
        <f aca="false">IFERROR(IF(C62="","",C62/$C$16),"")</f>
        <v/>
      </c>
      <c r="J62" s="79" t="str">
        <f aca="false">IFERROR(IF(D62="","",D62/$D$16),"")</f>
        <v/>
      </c>
      <c r="K62" s="79" t="str">
        <f aca="false">IFERROR(IF(E62="","",E62/$E$16),"")</f>
        <v/>
      </c>
    </row>
    <row r="63" customFormat="false" ht="15" hidden="false" customHeight="false" outlineLevel="0" collapsed="false">
      <c r="A63" s="65" t="n">
        <v>44</v>
      </c>
      <c r="B63" s="92" t="n">
        <f aca="false">COUNTIFS($B$76:$B$375,$A63)</f>
        <v>0</v>
      </c>
      <c r="C63" s="93" t="str">
        <f aca="false">IF(B63=0,"",SUMIFS($D$76:$D$375,$B$76:$B$375,$A63))</f>
        <v/>
      </c>
      <c r="D63" s="93" t="str">
        <f aca="false">IF(B63=0,"",SUMIFS($E$76:$E$375,$B$76:$B$375,$A63))</f>
        <v/>
      </c>
      <c r="E63" s="93" t="str">
        <f aca="false">IF(B63=0,"",SUMIFS($F$76:$F$375,$B$76:$B$375,$A63))</f>
        <v/>
      </c>
      <c r="F63" s="93" t="str">
        <f aca="false">IF(B63=0,"",SUMIFS($G$76:$G$375,$B$76:$B$375,$A63))</f>
        <v/>
      </c>
      <c r="G63" s="93" t="str">
        <f aca="false">IF(B63=0,"",SUMIFS($H$76:$H$375,$B$76:$B$375,$A63))</f>
        <v/>
      </c>
      <c r="H63" s="94" t="str">
        <f aca="false">IFERROR(IF(B63=0,"",SUMPRODUCT(MAX(($B$76:$B$375=$A63)*($I$76:$I$375)))),"")</f>
        <v/>
      </c>
      <c r="I63" s="79" t="str">
        <f aca="false">IFERROR(IF(C63="","",C63/$C$16),"")</f>
        <v/>
      </c>
      <c r="J63" s="79" t="str">
        <f aca="false">IFERROR(IF(D63="","",D63/$D$16),"")</f>
        <v/>
      </c>
      <c r="K63" s="79" t="str">
        <f aca="false">IFERROR(IF(E63="","",E63/$E$16),"")</f>
        <v/>
      </c>
    </row>
    <row r="64" customFormat="false" ht="15" hidden="false" customHeight="false" outlineLevel="0" collapsed="false">
      <c r="A64" s="65" t="n">
        <v>45</v>
      </c>
      <c r="B64" s="92" t="n">
        <f aca="false">COUNTIFS($B$76:$B$375,$A64)</f>
        <v>0</v>
      </c>
      <c r="C64" s="93" t="str">
        <f aca="false">IF(B64=0,"",SUMIFS($D$76:$D$375,$B$76:$B$375,$A64))</f>
        <v/>
      </c>
      <c r="D64" s="93" t="str">
        <f aca="false">IF(B64=0,"",SUMIFS($E$76:$E$375,$B$76:$B$375,$A64))</f>
        <v/>
      </c>
      <c r="E64" s="93" t="str">
        <f aca="false">IF(B64=0,"",SUMIFS($F$76:$F$375,$B$76:$B$375,$A64))</f>
        <v/>
      </c>
      <c r="F64" s="93" t="str">
        <f aca="false">IF(B64=0,"",SUMIFS($G$76:$G$375,$B$76:$B$375,$A64))</f>
        <v/>
      </c>
      <c r="G64" s="93" t="str">
        <f aca="false">IF(B64=0,"",SUMIFS($H$76:$H$375,$B$76:$B$375,$A64))</f>
        <v/>
      </c>
      <c r="H64" s="94" t="str">
        <f aca="false">IFERROR(IF(B64=0,"",SUMPRODUCT(MAX(($B$76:$B$375=$A64)*($I$76:$I$375)))),"")</f>
        <v/>
      </c>
      <c r="I64" s="79" t="str">
        <f aca="false">IFERROR(IF(C64="","",C64/$C$16),"")</f>
        <v/>
      </c>
      <c r="J64" s="79" t="str">
        <f aca="false">IFERROR(IF(D64="","",D64/$D$16),"")</f>
        <v/>
      </c>
      <c r="K64" s="79" t="str">
        <f aca="false">IFERROR(IF(E64="","",E64/$E$16),"")</f>
        <v/>
      </c>
    </row>
    <row r="65" customFormat="false" ht="15" hidden="false" customHeight="false" outlineLevel="0" collapsed="false">
      <c r="A65" s="65" t="n">
        <v>46</v>
      </c>
      <c r="B65" s="92" t="n">
        <f aca="false">COUNTIFS($B$76:$B$375,$A65)</f>
        <v>0</v>
      </c>
      <c r="C65" s="93" t="str">
        <f aca="false">IF(B65=0,"",SUMIFS($D$76:$D$375,$B$76:$B$375,$A65))</f>
        <v/>
      </c>
      <c r="D65" s="93" t="str">
        <f aca="false">IF(B65=0,"",SUMIFS($E$76:$E$375,$B$76:$B$375,$A65))</f>
        <v/>
      </c>
      <c r="E65" s="93" t="str">
        <f aca="false">IF(B65=0,"",SUMIFS($F$76:$F$375,$B$76:$B$375,$A65))</f>
        <v/>
      </c>
      <c r="F65" s="93" t="str">
        <f aca="false">IF(B65=0,"",SUMIFS($G$76:$G$375,$B$76:$B$375,$A65))</f>
        <v/>
      </c>
      <c r="G65" s="93" t="str">
        <f aca="false">IF(B65=0,"",SUMIFS($H$76:$H$375,$B$76:$B$375,$A65))</f>
        <v/>
      </c>
      <c r="H65" s="94" t="str">
        <f aca="false">IFERROR(IF(B65=0,"",SUMPRODUCT(MAX(($B$76:$B$375=$A65)*($I$76:$I$375)))),"")</f>
        <v/>
      </c>
      <c r="I65" s="79" t="str">
        <f aca="false">IFERROR(IF(C65="","",C65/$C$16),"")</f>
        <v/>
      </c>
      <c r="J65" s="79" t="str">
        <f aca="false">IFERROR(IF(D65="","",D65/$D$16),"")</f>
        <v/>
      </c>
      <c r="K65" s="79" t="str">
        <f aca="false">IFERROR(IF(E65="","",E65/$E$16),"")</f>
        <v/>
      </c>
    </row>
    <row r="66" customFormat="false" ht="15" hidden="false" customHeight="false" outlineLevel="0" collapsed="false">
      <c r="A66" s="65" t="n">
        <v>47</v>
      </c>
      <c r="B66" s="92" t="n">
        <f aca="false">COUNTIFS($B$76:$B$375,$A66)</f>
        <v>0</v>
      </c>
      <c r="C66" s="93" t="str">
        <f aca="false">IF(B66=0,"",SUMIFS($D$76:$D$375,$B$76:$B$375,$A66))</f>
        <v/>
      </c>
      <c r="D66" s="93" t="str">
        <f aca="false">IF(B66=0,"",SUMIFS($E$76:$E$375,$B$76:$B$375,$A66))</f>
        <v/>
      </c>
      <c r="E66" s="93" t="str">
        <f aca="false">IF(B66=0,"",SUMIFS($F$76:$F$375,$B$76:$B$375,$A66))</f>
        <v/>
      </c>
      <c r="F66" s="93" t="str">
        <f aca="false">IF(B66=0,"",SUMIFS($G$76:$G$375,$B$76:$B$375,$A66))</f>
        <v/>
      </c>
      <c r="G66" s="93" t="str">
        <f aca="false">IF(B66=0,"",SUMIFS($H$76:$H$375,$B$76:$B$375,$A66))</f>
        <v/>
      </c>
      <c r="H66" s="94" t="str">
        <f aca="false">IFERROR(IF(B66=0,"",SUMPRODUCT(MAX(($B$76:$B$375=$A66)*($I$76:$I$375)))),"")</f>
        <v/>
      </c>
      <c r="I66" s="79" t="str">
        <f aca="false">IFERROR(IF(C66="","",C66/$C$16),"")</f>
        <v/>
      </c>
      <c r="J66" s="79" t="str">
        <f aca="false">IFERROR(IF(D66="","",D66/$D$16),"")</f>
        <v/>
      </c>
      <c r="K66" s="79" t="str">
        <f aca="false">IFERROR(IF(E66="","",E66/$E$16),"")</f>
        <v/>
      </c>
    </row>
    <row r="67" customFormat="false" ht="15" hidden="false" customHeight="false" outlineLevel="0" collapsed="false">
      <c r="A67" s="65" t="n">
        <v>48</v>
      </c>
      <c r="B67" s="92" t="n">
        <f aca="false">COUNTIFS($B$76:$B$375,$A67)</f>
        <v>0</v>
      </c>
      <c r="C67" s="93" t="str">
        <f aca="false">IF(B67=0,"",SUMIFS($D$76:$D$375,$B$76:$B$375,$A67))</f>
        <v/>
      </c>
      <c r="D67" s="93" t="str">
        <f aca="false">IF(B67=0,"",SUMIFS($E$76:$E$375,$B$76:$B$375,$A67))</f>
        <v/>
      </c>
      <c r="E67" s="93" t="str">
        <f aca="false">IF(B67=0,"",SUMIFS($F$76:$F$375,$B$76:$B$375,$A67))</f>
        <v/>
      </c>
      <c r="F67" s="93" t="str">
        <f aca="false">IF(B67=0,"",SUMIFS($G$76:$G$375,$B$76:$B$375,$A67))</f>
        <v/>
      </c>
      <c r="G67" s="93" t="str">
        <f aca="false">IF(B67=0,"",SUMIFS($H$76:$H$375,$B$76:$B$375,$A67))</f>
        <v/>
      </c>
      <c r="H67" s="94" t="str">
        <f aca="false">IFERROR(IF(B67=0,"",SUMPRODUCT(MAX(($B$76:$B$375=$A67)*($I$76:$I$375)))),"")</f>
        <v/>
      </c>
      <c r="I67" s="79" t="str">
        <f aca="false">IFERROR(IF(C67="","",C67/$C$16),"")</f>
        <v/>
      </c>
      <c r="J67" s="79" t="str">
        <f aca="false">IFERROR(IF(D67="","",D67/$D$16),"")</f>
        <v/>
      </c>
      <c r="K67" s="79" t="str">
        <f aca="false">IFERROR(IF(E67="","",E67/$E$16),"")</f>
        <v/>
      </c>
    </row>
    <row r="68" customFormat="false" ht="15" hidden="false" customHeight="false" outlineLevel="0" collapsed="false">
      <c r="A68" s="65" t="n">
        <v>49</v>
      </c>
      <c r="B68" s="92" t="n">
        <f aca="false">COUNTIFS($B$76:$B$375,$A68)</f>
        <v>0</v>
      </c>
      <c r="C68" s="93" t="str">
        <f aca="false">IF(B68=0,"",SUMIFS($D$76:$D$375,$B$76:$B$375,$A68))</f>
        <v/>
      </c>
      <c r="D68" s="93" t="str">
        <f aca="false">IF(B68=0,"",SUMIFS($E$76:$E$375,$B$76:$B$375,$A68))</f>
        <v/>
      </c>
      <c r="E68" s="93" t="str">
        <f aca="false">IF(B68=0,"",SUMIFS($F$76:$F$375,$B$76:$B$375,$A68))</f>
        <v/>
      </c>
      <c r="F68" s="93" t="str">
        <f aca="false">IF(B68=0,"",SUMIFS($G$76:$G$375,$B$76:$B$375,$A68))</f>
        <v/>
      </c>
      <c r="G68" s="93" t="str">
        <f aca="false">IF(B68=0,"",SUMIFS($H$76:$H$375,$B$76:$B$375,$A68))</f>
        <v/>
      </c>
      <c r="H68" s="94" t="str">
        <f aca="false">IFERROR(IF(B68=0,"",SUMPRODUCT(MAX(($B$76:$B$375=$A68)*($I$76:$I$375)))),"")</f>
        <v/>
      </c>
      <c r="I68" s="79" t="str">
        <f aca="false">IFERROR(IF(C68="","",C68/$C$16),"")</f>
        <v/>
      </c>
      <c r="J68" s="79" t="str">
        <f aca="false">IFERROR(IF(D68="","",D68/$D$16),"")</f>
        <v/>
      </c>
      <c r="K68" s="79" t="str">
        <f aca="false">IFERROR(IF(E68="","",E68/$E$16),"")</f>
        <v/>
      </c>
    </row>
    <row r="69" customFormat="false" ht="15" hidden="false" customHeight="false" outlineLevel="0" collapsed="false">
      <c r="A69" s="65" t="n">
        <v>50</v>
      </c>
      <c r="B69" s="92" t="n">
        <f aca="false">COUNTIFS($B$76:$B$375,$A69)</f>
        <v>0</v>
      </c>
      <c r="C69" s="93" t="str">
        <f aca="false">IF(B69=0,"",SUMIFS($D$76:$D$375,$B$76:$B$375,$A69))</f>
        <v/>
      </c>
      <c r="D69" s="93" t="str">
        <f aca="false">IF(B69=0,"",SUMIFS($E$76:$E$375,$B$76:$B$375,$A69))</f>
        <v/>
      </c>
      <c r="E69" s="93" t="str">
        <f aca="false">IF(B69=0,"",SUMIFS($F$76:$F$375,$B$76:$B$375,$A69))</f>
        <v/>
      </c>
      <c r="F69" s="93" t="str">
        <f aca="false">IF(B69=0,"",SUMIFS($G$76:$G$375,$B$76:$B$375,$A69))</f>
        <v/>
      </c>
      <c r="G69" s="93" t="str">
        <f aca="false">IF(B69=0,"",SUMIFS($H$76:$H$375,$B$76:$B$375,$A69))</f>
        <v/>
      </c>
      <c r="H69" s="94" t="str">
        <f aca="false">IFERROR(IF(B69=0,"",SUMPRODUCT(MAX(($B$76:$B$375=$A69)*($I$76:$I$375)))),"")</f>
        <v/>
      </c>
      <c r="I69" s="79" t="str">
        <f aca="false">IFERROR(IF(C69="","",C69/$C$16),"")</f>
        <v/>
      </c>
      <c r="J69" s="79" t="str">
        <f aca="false">IFERROR(IF(D69="","",D69/$D$16),"")</f>
        <v/>
      </c>
      <c r="K69" s="79" t="str">
        <f aca="false">IFERROR(IF(E69="","",E69/$E$16),"")</f>
        <v/>
      </c>
    </row>
    <row r="70" customFormat="false" ht="15" hidden="false" customHeight="false" outlineLevel="0" collapsed="false">
      <c r="A70" s="65" t="n">
        <v>51</v>
      </c>
      <c r="B70" s="92" t="n">
        <f aca="false">COUNTIFS($B$76:$B$375,$A70)</f>
        <v>0</v>
      </c>
      <c r="C70" s="93" t="str">
        <f aca="false">IF(B70=0,"",SUMIFS($D$76:$D$375,$B$76:$B$375,$A70))</f>
        <v/>
      </c>
      <c r="D70" s="93" t="str">
        <f aca="false">IF(B70=0,"",SUMIFS($E$76:$E$375,$B$76:$B$375,$A70))</f>
        <v/>
      </c>
      <c r="E70" s="93" t="str">
        <f aca="false">IF(B70=0,"",SUMIFS($F$76:$F$375,$B$76:$B$375,$A70))</f>
        <v/>
      </c>
      <c r="F70" s="93" t="str">
        <f aca="false">IF(B70=0,"",SUMIFS($G$76:$G$375,$B$76:$B$375,$A70))</f>
        <v/>
      </c>
      <c r="G70" s="93" t="str">
        <f aca="false">IF(B70=0,"",SUMIFS($H$76:$H$375,$B$76:$B$375,$A70))</f>
        <v/>
      </c>
      <c r="H70" s="94" t="str">
        <f aca="false">IFERROR(IF(B70=0,"",SUMPRODUCT(MAX(($B$76:$B$375=$A70)*($I$76:$I$375)))),"")</f>
        <v/>
      </c>
      <c r="I70" s="79" t="str">
        <f aca="false">IFERROR(IF(C70="","",C70/$C$16),"")</f>
        <v/>
      </c>
      <c r="J70" s="79" t="str">
        <f aca="false">IFERROR(IF(D70="","",D70/$D$16),"")</f>
        <v/>
      </c>
      <c r="K70" s="79" t="str">
        <f aca="false">IFERROR(IF(E70="","",E70/$E$16),"")</f>
        <v/>
      </c>
    </row>
    <row r="71" customFormat="false" ht="15" hidden="false" customHeight="false" outlineLevel="0" collapsed="false">
      <c r="A71" s="65" t="n">
        <v>52</v>
      </c>
      <c r="B71" s="92" t="n">
        <f aca="false">COUNTIFS($B$76:$B$375,$A71)</f>
        <v>0</v>
      </c>
      <c r="C71" s="93" t="str">
        <f aca="false">IF(B71=0,"",SUMIFS($D$76:$D$375,$B$76:$B$375,$A71))</f>
        <v/>
      </c>
      <c r="D71" s="93" t="str">
        <f aca="false">IF(B71=0,"",SUMIFS($E$76:$E$375,$B$76:$B$375,$A71))</f>
        <v/>
      </c>
      <c r="E71" s="93" t="str">
        <f aca="false">IF(B71=0,"",SUMIFS($F$76:$F$375,$B$76:$B$375,$A71))</f>
        <v/>
      </c>
      <c r="F71" s="93" t="str">
        <f aca="false">IF(B71=0,"",SUMIFS($G$76:$G$375,$B$76:$B$375,$A71))</f>
        <v/>
      </c>
      <c r="G71" s="93" t="str">
        <f aca="false">IF(B71=0,"",SUMIFS($H$76:$H$375,$B$76:$B$375,$A71))</f>
        <v/>
      </c>
      <c r="H71" s="94" t="str">
        <f aca="false">IFERROR(IF(B71=0,"",SUMPRODUCT(MAX(($B$76:$B$375=$A71)*($I$76:$I$375)))),"")</f>
        <v/>
      </c>
      <c r="I71" s="79" t="str">
        <f aca="false">IFERROR(IF(C71="","",C71/$C$16),"")</f>
        <v/>
      </c>
      <c r="J71" s="79" t="str">
        <f aca="false">IFERROR(IF(D71="","",D71/$D$16),"")</f>
        <v/>
      </c>
      <c r="K71" s="79" t="str">
        <f aca="false">IFERROR(IF(E71="","",E71/$E$16),"")</f>
        <v/>
      </c>
    </row>
    <row r="74" customFormat="false" ht="19.5" hidden="false" customHeight="true" outlineLevel="0" collapsed="false">
      <c r="A74" s="62" t="s">
        <v>305</v>
      </c>
      <c r="B74" s="62"/>
      <c r="C74" s="62"/>
      <c r="D74" s="62"/>
      <c r="E74" s="62"/>
      <c r="F74" s="62"/>
      <c r="G74" s="62"/>
      <c r="H74" s="62"/>
      <c r="I74" s="62"/>
      <c r="J74" s="62"/>
      <c r="K74" s="62"/>
    </row>
    <row r="75" customFormat="false" ht="30" hidden="false" customHeight="true" outlineLevel="0" collapsed="false">
      <c r="A75" s="55" t="s">
        <v>52</v>
      </c>
      <c r="B75" s="55" t="s">
        <v>306</v>
      </c>
      <c r="C75" s="55" t="s">
        <v>307</v>
      </c>
      <c r="D75" s="55" t="s">
        <v>53</v>
      </c>
      <c r="E75" s="55" t="s">
        <v>54</v>
      </c>
      <c r="F75" s="55" t="s">
        <v>55</v>
      </c>
      <c r="G75" s="55" t="s">
        <v>56</v>
      </c>
      <c r="H75" s="55" t="s">
        <v>57</v>
      </c>
      <c r="I75" s="55" t="s">
        <v>58</v>
      </c>
      <c r="J75" s="55" t="s">
        <v>84</v>
      </c>
      <c r="K75" s="55"/>
    </row>
    <row r="76" customFormat="false" ht="22.35" hidden="false" customHeight="true" outlineLevel="0" collapsed="false">
      <c r="A76" s="56" t="n">
        <v>46308</v>
      </c>
      <c r="B76" s="92" t="n">
        <f aca="false">IF(A76="","",IF(Dashboard!$L$5="","",INT((A76-Dashboard!$L$5)/7)+1))</f>
        <v>10</v>
      </c>
      <c r="C76" s="67" t="s">
        <v>308</v>
      </c>
      <c r="D76" s="67" t="n">
        <v>4850</v>
      </c>
      <c r="E76" s="67" t="n">
        <v>210</v>
      </c>
      <c r="F76" s="67" t="n">
        <v>45</v>
      </c>
      <c r="G76" s="67" t="n">
        <v>22</v>
      </c>
      <c r="H76" s="67" t="n">
        <v>19</v>
      </c>
      <c r="I76" s="90" t="n">
        <v>7.4</v>
      </c>
      <c r="J76" s="61" t="s">
        <v>87</v>
      </c>
      <c r="K76" s="61"/>
    </row>
    <row r="77" customFormat="false" ht="22.35" hidden="false" customHeight="true" outlineLevel="0" collapsed="false">
      <c r="A77" s="56" t="n">
        <v>46310</v>
      </c>
      <c r="B77" s="92" t="n">
        <f aca="false">IF(A77="","",IF(Dashboard!$L$5="","",INT((A77-Dashboard!$L$5)/7)+1))</f>
        <v>10</v>
      </c>
      <c r="C77" s="67" t="s">
        <v>308</v>
      </c>
      <c r="D77" s="67" t="n">
        <v>5620</v>
      </c>
      <c r="E77" s="67" t="n">
        <v>265</v>
      </c>
      <c r="F77" s="67" t="n">
        <v>80</v>
      </c>
      <c r="G77" s="67" t="n">
        <v>25</v>
      </c>
      <c r="H77" s="67" t="n">
        <v>23</v>
      </c>
      <c r="I77" s="90" t="n">
        <v>7.9</v>
      </c>
      <c r="J77" s="61" t="s">
        <v>87</v>
      </c>
      <c r="K77" s="61"/>
    </row>
    <row r="78" customFormat="false" ht="22.35" hidden="false" customHeight="true" outlineLevel="0" collapsed="false">
      <c r="A78" s="56" t="n">
        <v>46314</v>
      </c>
      <c r="B78" s="92" t="n">
        <f aca="false">IF(A78="","",IF(Dashboard!$L$5="","",INT((A78-Dashboard!$L$5)/7)+1))</f>
        <v>11</v>
      </c>
      <c r="C78" s="67" t="s">
        <v>309</v>
      </c>
      <c r="D78" s="67" t="n">
        <v>3900</v>
      </c>
      <c r="E78" s="67" t="n">
        <v>140</v>
      </c>
      <c r="F78" s="67" t="n">
        <v>30</v>
      </c>
      <c r="G78" s="67" t="n">
        <v>15</v>
      </c>
      <c r="H78" s="67" t="n">
        <v>14</v>
      </c>
      <c r="I78" s="90" t="n">
        <v>7.1</v>
      </c>
      <c r="J78" s="61" t="s">
        <v>87</v>
      </c>
      <c r="K78" s="61"/>
    </row>
    <row r="79" customFormat="false" ht="15" hidden="false" customHeight="false" outlineLevel="0" collapsed="false">
      <c r="A79" s="56"/>
      <c r="B79" s="92" t="str">
        <f aca="false">IF(A79="","",IF(Dashboard!$L$5="","",INT((A79-Dashboard!$L$5)/7)+1))</f>
        <v/>
      </c>
      <c r="C79" s="67"/>
      <c r="D79" s="67"/>
      <c r="E79" s="67"/>
      <c r="F79" s="67"/>
      <c r="G79" s="67"/>
      <c r="H79" s="67"/>
      <c r="I79" s="90"/>
      <c r="J79" s="58"/>
      <c r="K79" s="58"/>
    </row>
    <row r="80" customFormat="false" ht="15" hidden="false" customHeight="false" outlineLevel="0" collapsed="false">
      <c r="A80" s="56"/>
      <c r="B80" s="92" t="str">
        <f aca="false">IF(A80="","",IF(Dashboard!$L$5="","",INT((A80-Dashboard!$L$5)/7)+1))</f>
        <v/>
      </c>
      <c r="C80" s="67"/>
      <c r="D80" s="67"/>
      <c r="E80" s="67"/>
      <c r="F80" s="67"/>
      <c r="G80" s="67"/>
      <c r="H80" s="67"/>
      <c r="I80" s="90"/>
      <c r="J80" s="58"/>
      <c r="K80" s="58"/>
    </row>
    <row r="81" customFormat="false" ht="15" hidden="false" customHeight="false" outlineLevel="0" collapsed="false">
      <c r="A81" s="56"/>
      <c r="B81" s="92" t="str">
        <f aca="false">IF(A81="","",IF(Dashboard!$L$5="","",INT((A81-Dashboard!$L$5)/7)+1))</f>
        <v/>
      </c>
      <c r="C81" s="67"/>
      <c r="D81" s="67"/>
      <c r="E81" s="67"/>
      <c r="F81" s="67"/>
      <c r="G81" s="67"/>
      <c r="H81" s="67"/>
      <c r="I81" s="90"/>
      <c r="J81" s="58"/>
      <c r="K81" s="58"/>
    </row>
    <row r="82" customFormat="false" ht="15" hidden="false" customHeight="false" outlineLevel="0" collapsed="false">
      <c r="A82" s="56"/>
      <c r="B82" s="92" t="str">
        <f aca="false">IF(A82="","",IF(Dashboard!$L$5="","",INT((A82-Dashboard!$L$5)/7)+1))</f>
        <v/>
      </c>
      <c r="C82" s="67"/>
      <c r="D82" s="67"/>
      <c r="E82" s="67"/>
      <c r="F82" s="67"/>
      <c r="G82" s="67"/>
      <c r="H82" s="67"/>
      <c r="I82" s="90"/>
      <c r="J82" s="58"/>
      <c r="K82" s="58"/>
    </row>
    <row r="83" customFormat="false" ht="15" hidden="false" customHeight="false" outlineLevel="0" collapsed="false">
      <c r="A83" s="56"/>
      <c r="B83" s="92" t="str">
        <f aca="false">IF(A83="","",IF(Dashboard!$L$5="","",INT((A83-Dashboard!$L$5)/7)+1))</f>
        <v/>
      </c>
      <c r="C83" s="67"/>
      <c r="D83" s="67"/>
      <c r="E83" s="67"/>
      <c r="F83" s="67"/>
      <c r="G83" s="67"/>
      <c r="H83" s="67"/>
      <c r="I83" s="90"/>
      <c r="J83" s="58"/>
      <c r="K83" s="58"/>
    </row>
    <row r="84" customFormat="false" ht="15" hidden="false" customHeight="false" outlineLevel="0" collapsed="false">
      <c r="A84" s="56"/>
      <c r="B84" s="92" t="str">
        <f aca="false">IF(A84="","",IF(Dashboard!$L$5="","",INT((A84-Dashboard!$L$5)/7)+1))</f>
        <v/>
      </c>
      <c r="C84" s="67"/>
      <c r="D84" s="67"/>
      <c r="E84" s="67"/>
      <c r="F84" s="67"/>
      <c r="G84" s="67"/>
      <c r="H84" s="67"/>
      <c r="I84" s="90"/>
      <c r="J84" s="58"/>
      <c r="K84" s="58"/>
    </row>
    <row r="85" customFormat="false" ht="15" hidden="false" customHeight="false" outlineLevel="0" collapsed="false">
      <c r="A85" s="56"/>
      <c r="B85" s="92" t="str">
        <f aca="false">IF(A85="","",IF(Dashboard!$L$5="","",INT((A85-Dashboard!$L$5)/7)+1))</f>
        <v/>
      </c>
      <c r="C85" s="67"/>
      <c r="D85" s="67"/>
      <c r="E85" s="67"/>
      <c r="F85" s="67"/>
      <c r="G85" s="67"/>
      <c r="H85" s="67"/>
      <c r="I85" s="90"/>
      <c r="J85" s="58"/>
      <c r="K85" s="58"/>
    </row>
    <row r="86" customFormat="false" ht="15" hidden="false" customHeight="false" outlineLevel="0" collapsed="false">
      <c r="A86" s="56"/>
      <c r="B86" s="92" t="str">
        <f aca="false">IF(A86="","",IF(Dashboard!$L$5="","",INT((A86-Dashboard!$L$5)/7)+1))</f>
        <v/>
      </c>
      <c r="C86" s="67"/>
      <c r="D86" s="67"/>
      <c r="E86" s="67"/>
      <c r="F86" s="67"/>
      <c r="G86" s="67"/>
      <c r="H86" s="67"/>
      <c r="I86" s="90"/>
      <c r="J86" s="58"/>
      <c r="K86" s="58"/>
    </row>
    <row r="87" customFormat="false" ht="15" hidden="false" customHeight="false" outlineLevel="0" collapsed="false">
      <c r="A87" s="56"/>
      <c r="B87" s="92" t="str">
        <f aca="false">IF(A87="","",IF(Dashboard!$L$5="","",INT((A87-Dashboard!$L$5)/7)+1))</f>
        <v/>
      </c>
      <c r="C87" s="67"/>
      <c r="D87" s="67"/>
      <c r="E87" s="67"/>
      <c r="F87" s="67"/>
      <c r="G87" s="67"/>
      <c r="H87" s="67"/>
      <c r="I87" s="90"/>
      <c r="J87" s="58"/>
      <c r="K87" s="58"/>
    </row>
    <row r="88" customFormat="false" ht="15" hidden="false" customHeight="false" outlineLevel="0" collapsed="false">
      <c r="A88" s="56"/>
      <c r="B88" s="92" t="str">
        <f aca="false">IF(A88="","",IF(Dashboard!$L$5="","",INT((A88-Dashboard!$L$5)/7)+1))</f>
        <v/>
      </c>
      <c r="C88" s="67"/>
      <c r="D88" s="67"/>
      <c r="E88" s="67"/>
      <c r="F88" s="67"/>
      <c r="G88" s="67"/>
      <c r="H88" s="67"/>
      <c r="I88" s="90"/>
      <c r="J88" s="58"/>
      <c r="K88" s="58"/>
    </row>
    <row r="89" customFormat="false" ht="15" hidden="false" customHeight="false" outlineLevel="0" collapsed="false">
      <c r="A89" s="56"/>
      <c r="B89" s="92" t="str">
        <f aca="false">IF(A89="","",IF(Dashboard!$L$5="","",INT((A89-Dashboard!$L$5)/7)+1))</f>
        <v/>
      </c>
      <c r="C89" s="67"/>
      <c r="D89" s="67"/>
      <c r="E89" s="67"/>
      <c r="F89" s="67"/>
      <c r="G89" s="67"/>
      <c r="H89" s="67"/>
      <c r="I89" s="90"/>
      <c r="J89" s="58"/>
      <c r="K89" s="58"/>
    </row>
    <row r="90" customFormat="false" ht="15" hidden="false" customHeight="false" outlineLevel="0" collapsed="false">
      <c r="A90" s="56"/>
      <c r="B90" s="92" t="str">
        <f aca="false">IF(A90="","",IF(Dashboard!$L$5="","",INT((A90-Dashboard!$L$5)/7)+1))</f>
        <v/>
      </c>
      <c r="C90" s="67"/>
      <c r="D90" s="67"/>
      <c r="E90" s="67"/>
      <c r="F90" s="67"/>
      <c r="G90" s="67"/>
      <c r="H90" s="67"/>
      <c r="I90" s="90"/>
      <c r="J90" s="58"/>
      <c r="K90" s="58"/>
    </row>
    <row r="91" customFormat="false" ht="15" hidden="false" customHeight="false" outlineLevel="0" collapsed="false">
      <c r="A91" s="56"/>
      <c r="B91" s="92" t="str">
        <f aca="false">IF(A91="","",IF(Dashboard!$L$5="","",INT((A91-Dashboard!$L$5)/7)+1))</f>
        <v/>
      </c>
      <c r="C91" s="67"/>
      <c r="D91" s="67"/>
      <c r="E91" s="67"/>
      <c r="F91" s="67"/>
      <c r="G91" s="67"/>
      <c r="H91" s="67"/>
      <c r="I91" s="90"/>
      <c r="J91" s="58"/>
      <c r="K91" s="58"/>
    </row>
    <row r="92" customFormat="false" ht="15" hidden="false" customHeight="false" outlineLevel="0" collapsed="false">
      <c r="A92" s="56"/>
      <c r="B92" s="92" t="str">
        <f aca="false">IF(A92="","",IF(Dashboard!$L$5="","",INT((A92-Dashboard!$L$5)/7)+1))</f>
        <v/>
      </c>
      <c r="C92" s="67"/>
      <c r="D92" s="67"/>
      <c r="E92" s="67"/>
      <c r="F92" s="67"/>
      <c r="G92" s="67"/>
      <c r="H92" s="67"/>
      <c r="I92" s="90"/>
      <c r="J92" s="58"/>
      <c r="K92" s="58"/>
    </row>
    <row r="93" customFormat="false" ht="15" hidden="false" customHeight="false" outlineLevel="0" collapsed="false">
      <c r="A93" s="56"/>
      <c r="B93" s="92" t="str">
        <f aca="false">IF(A93="","",IF(Dashboard!$L$5="","",INT((A93-Dashboard!$L$5)/7)+1))</f>
        <v/>
      </c>
      <c r="C93" s="67"/>
      <c r="D93" s="67"/>
      <c r="E93" s="67"/>
      <c r="F93" s="67"/>
      <c r="G93" s="67"/>
      <c r="H93" s="67"/>
      <c r="I93" s="90"/>
      <c r="J93" s="58"/>
      <c r="K93" s="58"/>
    </row>
    <row r="94" customFormat="false" ht="15" hidden="false" customHeight="false" outlineLevel="0" collapsed="false">
      <c r="A94" s="56"/>
      <c r="B94" s="92" t="str">
        <f aca="false">IF(A94="","",IF(Dashboard!$L$5="","",INT((A94-Dashboard!$L$5)/7)+1))</f>
        <v/>
      </c>
      <c r="C94" s="67"/>
      <c r="D94" s="67"/>
      <c r="E94" s="67"/>
      <c r="F94" s="67"/>
      <c r="G94" s="67"/>
      <c r="H94" s="67"/>
      <c r="I94" s="90"/>
      <c r="J94" s="58"/>
      <c r="K94" s="58"/>
    </row>
    <row r="95" customFormat="false" ht="15" hidden="false" customHeight="false" outlineLevel="0" collapsed="false">
      <c r="A95" s="56"/>
      <c r="B95" s="92" t="str">
        <f aca="false">IF(A95="","",IF(Dashboard!$L$5="","",INT((A95-Dashboard!$L$5)/7)+1))</f>
        <v/>
      </c>
      <c r="C95" s="67"/>
      <c r="D95" s="67"/>
      <c r="E95" s="67"/>
      <c r="F95" s="67"/>
      <c r="G95" s="67"/>
      <c r="H95" s="67"/>
      <c r="I95" s="90"/>
      <c r="J95" s="58"/>
      <c r="K95" s="58"/>
    </row>
    <row r="96" customFormat="false" ht="15" hidden="false" customHeight="false" outlineLevel="0" collapsed="false">
      <c r="A96" s="56"/>
      <c r="B96" s="92" t="str">
        <f aca="false">IF(A96="","",IF(Dashboard!$L$5="","",INT((A96-Dashboard!$L$5)/7)+1))</f>
        <v/>
      </c>
      <c r="C96" s="67"/>
      <c r="D96" s="67"/>
      <c r="E96" s="67"/>
      <c r="F96" s="67"/>
      <c r="G96" s="67"/>
      <c r="H96" s="67"/>
      <c r="I96" s="90"/>
      <c r="J96" s="58"/>
      <c r="K96" s="58"/>
    </row>
    <row r="97" customFormat="false" ht="15" hidden="false" customHeight="false" outlineLevel="0" collapsed="false">
      <c r="A97" s="56"/>
      <c r="B97" s="92" t="str">
        <f aca="false">IF(A97="","",IF(Dashboard!$L$5="","",INT((A97-Dashboard!$L$5)/7)+1))</f>
        <v/>
      </c>
      <c r="C97" s="67"/>
      <c r="D97" s="67"/>
      <c r="E97" s="67"/>
      <c r="F97" s="67"/>
      <c r="G97" s="67"/>
      <c r="H97" s="67"/>
      <c r="I97" s="90"/>
      <c r="J97" s="58"/>
      <c r="K97" s="58"/>
    </row>
    <row r="98" customFormat="false" ht="15" hidden="false" customHeight="false" outlineLevel="0" collapsed="false">
      <c r="A98" s="56"/>
      <c r="B98" s="92" t="str">
        <f aca="false">IF(A98="","",IF(Dashboard!$L$5="","",INT((A98-Dashboard!$L$5)/7)+1))</f>
        <v/>
      </c>
      <c r="C98" s="67"/>
      <c r="D98" s="67"/>
      <c r="E98" s="67"/>
      <c r="F98" s="67"/>
      <c r="G98" s="67"/>
      <c r="H98" s="67"/>
      <c r="I98" s="90"/>
      <c r="J98" s="58"/>
      <c r="K98" s="58"/>
    </row>
    <row r="99" customFormat="false" ht="15" hidden="false" customHeight="false" outlineLevel="0" collapsed="false">
      <c r="A99" s="56"/>
      <c r="B99" s="92" t="str">
        <f aca="false">IF(A99="","",IF(Dashboard!$L$5="","",INT((A99-Dashboard!$L$5)/7)+1))</f>
        <v/>
      </c>
      <c r="C99" s="67"/>
      <c r="D99" s="67"/>
      <c r="E99" s="67"/>
      <c r="F99" s="67"/>
      <c r="G99" s="67"/>
      <c r="H99" s="67"/>
      <c r="I99" s="90"/>
      <c r="J99" s="58"/>
      <c r="K99" s="58"/>
    </row>
    <row r="100" customFormat="false" ht="15" hidden="false" customHeight="false" outlineLevel="0" collapsed="false">
      <c r="A100" s="56"/>
      <c r="B100" s="92" t="str">
        <f aca="false">IF(A100="","",IF(Dashboard!$L$5="","",INT((A100-Dashboard!$L$5)/7)+1))</f>
        <v/>
      </c>
      <c r="C100" s="67"/>
      <c r="D100" s="67"/>
      <c r="E100" s="67"/>
      <c r="F100" s="67"/>
      <c r="G100" s="67"/>
      <c r="H100" s="67"/>
      <c r="I100" s="90"/>
      <c r="J100" s="58"/>
      <c r="K100" s="58"/>
    </row>
    <row r="101" customFormat="false" ht="15" hidden="false" customHeight="false" outlineLevel="0" collapsed="false">
      <c r="A101" s="56"/>
      <c r="B101" s="92" t="str">
        <f aca="false">IF(A101="","",IF(Dashboard!$L$5="","",INT((A101-Dashboard!$L$5)/7)+1))</f>
        <v/>
      </c>
      <c r="C101" s="67"/>
      <c r="D101" s="67"/>
      <c r="E101" s="67"/>
      <c r="F101" s="67"/>
      <c r="G101" s="67"/>
      <c r="H101" s="67"/>
      <c r="I101" s="90"/>
      <c r="J101" s="58"/>
      <c r="K101" s="58"/>
    </row>
    <row r="102" customFormat="false" ht="15" hidden="false" customHeight="false" outlineLevel="0" collapsed="false">
      <c r="A102" s="56"/>
      <c r="B102" s="92" t="str">
        <f aca="false">IF(A102="","",IF(Dashboard!$L$5="","",INT((A102-Dashboard!$L$5)/7)+1))</f>
        <v/>
      </c>
      <c r="C102" s="67"/>
      <c r="D102" s="67"/>
      <c r="E102" s="67"/>
      <c r="F102" s="67"/>
      <c r="G102" s="67"/>
      <c r="H102" s="67"/>
      <c r="I102" s="90"/>
      <c r="J102" s="58"/>
      <c r="K102" s="58"/>
    </row>
    <row r="103" customFormat="false" ht="15" hidden="false" customHeight="false" outlineLevel="0" collapsed="false">
      <c r="A103" s="56"/>
      <c r="B103" s="92" t="str">
        <f aca="false">IF(A103="","",IF(Dashboard!$L$5="","",INT((A103-Dashboard!$L$5)/7)+1))</f>
        <v/>
      </c>
      <c r="C103" s="67"/>
      <c r="D103" s="67"/>
      <c r="E103" s="67"/>
      <c r="F103" s="67"/>
      <c r="G103" s="67"/>
      <c r="H103" s="67"/>
      <c r="I103" s="90"/>
      <c r="J103" s="58"/>
      <c r="K103" s="58"/>
    </row>
    <row r="104" customFormat="false" ht="15" hidden="false" customHeight="false" outlineLevel="0" collapsed="false">
      <c r="A104" s="56"/>
      <c r="B104" s="92" t="str">
        <f aca="false">IF(A104="","",IF(Dashboard!$L$5="","",INT((A104-Dashboard!$L$5)/7)+1))</f>
        <v/>
      </c>
      <c r="C104" s="67"/>
      <c r="D104" s="67"/>
      <c r="E104" s="67"/>
      <c r="F104" s="67"/>
      <c r="G104" s="67"/>
      <c r="H104" s="67"/>
      <c r="I104" s="90"/>
      <c r="J104" s="58"/>
      <c r="K104" s="58"/>
    </row>
    <row r="105" customFormat="false" ht="15" hidden="false" customHeight="false" outlineLevel="0" collapsed="false">
      <c r="A105" s="56"/>
      <c r="B105" s="92" t="str">
        <f aca="false">IF(A105="","",IF(Dashboard!$L$5="","",INT((A105-Dashboard!$L$5)/7)+1))</f>
        <v/>
      </c>
      <c r="C105" s="67"/>
      <c r="D105" s="67"/>
      <c r="E105" s="67"/>
      <c r="F105" s="67"/>
      <c r="G105" s="67"/>
      <c r="H105" s="67"/>
      <c r="I105" s="90"/>
      <c r="J105" s="58"/>
      <c r="K105" s="58"/>
    </row>
    <row r="106" customFormat="false" ht="15" hidden="false" customHeight="false" outlineLevel="0" collapsed="false">
      <c r="A106" s="56"/>
      <c r="B106" s="92" t="str">
        <f aca="false">IF(A106="","",IF(Dashboard!$L$5="","",INT((A106-Dashboard!$L$5)/7)+1))</f>
        <v/>
      </c>
      <c r="C106" s="67"/>
      <c r="D106" s="67"/>
      <c r="E106" s="67"/>
      <c r="F106" s="67"/>
      <c r="G106" s="67"/>
      <c r="H106" s="67"/>
      <c r="I106" s="90"/>
      <c r="J106" s="58"/>
      <c r="K106" s="58"/>
    </row>
    <row r="107" customFormat="false" ht="15" hidden="false" customHeight="false" outlineLevel="0" collapsed="false">
      <c r="A107" s="56"/>
      <c r="B107" s="92" t="str">
        <f aca="false">IF(A107="","",IF(Dashboard!$L$5="","",INT((A107-Dashboard!$L$5)/7)+1))</f>
        <v/>
      </c>
      <c r="C107" s="67"/>
      <c r="D107" s="67"/>
      <c r="E107" s="67"/>
      <c r="F107" s="67"/>
      <c r="G107" s="67"/>
      <c r="H107" s="67"/>
      <c r="I107" s="90"/>
      <c r="J107" s="58"/>
      <c r="K107" s="58"/>
    </row>
    <row r="108" customFormat="false" ht="15" hidden="false" customHeight="false" outlineLevel="0" collapsed="false">
      <c r="A108" s="56"/>
      <c r="B108" s="92" t="str">
        <f aca="false">IF(A108="","",IF(Dashboard!$L$5="","",INT((A108-Dashboard!$L$5)/7)+1))</f>
        <v/>
      </c>
      <c r="C108" s="67"/>
      <c r="D108" s="67"/>
      <c r="E108" s="67"/>
      <c r="F108" s="67"/>
      <c r="G108" s="67"/>
      <c r="H108" s="67"/>
      <c r="I108" s="90"/>
      <c r="J108" s="58"/>
      <c r="K108" s="58"/>
    </row>
    <row r="109" customFormat="false" ht="15" hidden="false" customHeight="false" outlineLevel="0" collapsed="false">
      <c r="A109" s="56"/>
      <c r="B109" s="92" t="str">
        <f aca="false">IF(A109="","",IF(Dashboard!$L$5="","",INT((A109-Dashboard!$L$5)/7)+1))</f>
        <v/>
      </c>
      <c r="C109" s="67"/>
      <c r="D109" s="67"/>
      <c r="E109" s="67"/>
      <c r="F109" s="67"/>
      <c r="G109" s="67"/>
      <c r="H109" s="67"/>
      <c r="I109" s="90"/>
      <c r="J109" s="58"/>
      <c r="K109" s="58"/>
    </row>
    <row r="110" customFormat="false" ht="15" hidden="false" customHeight="false" outlineLevel="0" collapsed="false">
      <c r="A110" s="56"/>
      <c r="B110" s="92" t="str">
        <f aca="false">IF(A110="","",IF(Dashboard!$L$5="","",INT((A110-Dashboard!$L$5)/7)+1))</f>
        <v/>
      </c>
      <c r="C110" s="67"/>
      <c r="D110" s="67"/>
      <c r="E110" s="67"/>
      <c r="F110" s="67"/>
      <c r="G110" s="67"/>
      <c r="H110" s="67"/>
      <c r="I110" s="90"/>
      <c r="J110" s="58"/>
      <c r="K110" s="58"/>
    </row>
    <row r="111" customFormat="false" ht="15" hidden="false" customHeight="false" outlineLevel="0" collapsed="false">
      <c r="A111" s="56"/>
      <c r="B111" s="92" t="str">
        <f aca="false">IF(A111="","",IF(Dashboard!$L$5="","",INT((A111-Dashboard!$L$5)/7)+1))</f>
        <v/>
      </c>
      <c r="C111" s="67"/>
      <c r="D111" s="67"/>
      <c r="E111" s="67"/>
      <c r="F111" s="67"/>
      <c r="G111" s="67"/>
      <c r="H111" s="67"/>
      <c r="I111" s="90"/>
      <c r="J111" s="58"/>
      <c r="K111" s="58"/>
    </row>
    <row r="112" customFormat="false" ht="15" hidden="false" customHeight="false" outlineLevel="0" collapsed="false">
      <c r="A112" s="56"/>
      <c r="B112" s="92" t="str">
        <f aca="false">IF(A112="","",IF(Dashboard!$L$5="","",INT((A112-Dashboard!$L$5)/7)+1))</f>
        <v/>
      </c>
      <c r="C112" s="67"/>
      <c r="D112" s="67"/>
      <c r="E112" s="67"/>
      <c r="F112" s="67"/>
      <c r="G112" s="67"/>
      <c r="H112" s="67"/>
      <c r="I112" s="90"/>
      <c r="J112" s="58"/>
      <c r="K112" s="58"/>
    </row>
    <row r="113" customFormat="false" ht="15" hidden="false" customHeight="false" outlineLevel="0" collapsed="false">
      <c r="A113" s="56"/>
      <c r="B113" s="92" t="str">
        <f aca="false">IF(A113="","",IF(Dashboard!$L$5="","",INT((A113-Dashboard!$L$5)/7)+1))</f>
        <v/>
      </c>
      <c r="C113" s="67"/>
      <c r="D113" s="67"/>
      <c r="E113" s="67"/>
      <c r="F113" s="67"/>
      <c r="G113" s="67"/>
      <c r="H113" s="67"/>
      <c r="I113" s="90"/>
      <c r="J113" s="58"/>
      <c r="K113" s="58"/>
    </row>
    <row r="114" customFormat="false" ht="15" hidden="false" customHeight="false" outlineLevel="0" collapsed="false">
      <c r="A114" s="56"/>
      <c r="B114" s="92" t="str">
        <f aca="false">IF(A114="","",IF(Dashboard!$L$5="","",INT((A114-Dashboard!$L$5)/7)+1))</f>
        <v/>
      </c>
      <c r="C114" s="67"/>
      <c r="D114" s="67"/>
      <c r="E114" s="67"/>
      <c r="F114" s="67"/>
      <c r="G114" s="67"/>
      <c r="H114" s="67"/>
      <c r="I114" s="90"/>
      <c r="J114" s="58"/>
      <c r="K114" s="58"/>
    </row>
    <row r="115" customFormat="false" ht="15" hidden="false" customHeight="false" outlineLevel="0" collapsed="false">
      <c r="A115" s="56"/>
      <c r="B115" s="92" t="str">
        <f aca="false">IF(A115="","",IF(Dashboard!$L$5="","",INT((A115-Dashboard!$L$5)/7)+1))</f>
        <v/>
      </c>
      <c r="C115" s="67"/>
      <c r="D115" s="67"/>
      <c r="E115" s="67"/>
      <c r="F115" s="67"/>
      <c r="G115" s="67"/>
      <c r="H115" s="67"/>
      <c r="I115" s="90"/>
      <c r="J115" s="58"/>
      <c r="K115" s="58"/>
    </row>
    <row r="116" customFormat="false" ht="15" hidden="false" customHeight="false" outlineLevel="0" collapsed="false">
      <c r="A116" s="56"/>
      <c r="B116" s="92" t="str">
        <f aca="false">IF(A116="","",IF(Dashboard!$L$5="","",INT((A116-Dashboard!$L$5)/7)+1))</f>
        <v/>
      </c>
      <c r="C116" s="67"/>
      <c r="D116" s="67"/>
      <c r="E116" s="67"/>
      <c r="F116" s="67"/>
      <c r="G116" s="67"/>
      <c r="H116" s="67"/>
      <c r="I116" s="90"/>
      <c r="J116" s="58"/>
      <c r="K116" s="58"/>
    </row>
    <row r="117" customFormat="false" ht="15" hidden="false" customHeight="false" outlineLevel="0" collapsed="false">
      <c r="A117" s="56"/>
      <c r="B117" s="92" t="str">
        <f aca="false">IF(A117="","",IF(Dashboard!$L$5="","",INT((A117-Dashboard!$L$5)/7)+1))</f>
        <v/>
      </c>
      <c r="C117" s="67"/>
      <c r="D117" s="67"/>
      <c r="E117" s="67"/>
      <c r="F117" s="67"/>
      <c r="G117" s="67"/>
      <c r="H117" s="67"/>
      <c r="I117" s="90"/>
      <c r="J117" s="58"/>
      <c r="K117" s="58"/>
    </row>
    <row r="118" customFormat="false" ht="15" hidden="false" customHeight="false" outlineLevel="0" collapsed="false">
      <c r="A118" s="56"/>
      <c r="B118" s="92" t="str">
        <f aca="false">IF(A118="","",IF(Dashboard!$L$5="","",INT((A118-Dashboard!$L$5)/7)+1))</f>
        <v/>
      </c>
      <c r="C118" s="67"/>
      <c r="D118" s="67"/>
      <c r="E118" s="67"/>
      <c r="F118" s="67"/>
      <c r="G118" s="67"/>
      <c r="H118" s="67"/>
      <c r="I118" s="90"/>
      <c r="J118" s="58"/>
      <c r="K118" s="58"/>
    </row>
    <row r="119" customFormat="false" ht="15" hidden="false" customHeight="false" outlineLevel="0" collapsed="false">
      <c r="A119" s="56"/>
      <c r="B119" s="92" t="str">
        <f aca="false">IF(A119="","",IF(Dashboard!$L$5="","",INT((A119-Dashboard!$L$5)/7)+1))</f>
        <v/>
      </c>
      <c r="C119" s="67"/>
      <c r="D119" s="67"/>
      <c r="E119" s="67"/>
      <c r="F119" s="67"/>
      <c r="G119" s="67"/>
      <c r="H119" s="67"/>
      <c r="I119" s="90"/>
      <c r="J119" s="58"/>
      <c r="K119" s="58"/>
    </row>
    <row r="120" customFormat="false" ht="15" hidden="false" customHeight="false" outlineLevel="0" collapsed="false">
      <c r="A120" s="56"/>
      <c r="B120" s="92" t="str">
        <f aca="false">IF(A120="","",IF(Dashboard!$L$5="","",INT((A120-Dashboard!$L$5)/7)+1))</f>
        <v/>
      </c>
      <c r="C120" s="67"/>
      <c r="D120" s="67"/>
      <c r="E120" s="67"/>
      <c r="F120" s="67"/>
      <c r="G120" s="67"/>
      <c r="H120" s="67"/>
      <c r="I120" s="90"/>
      <c r="J120" s="58"/>
      <c r="K120" s="58"/>
    </row>
    <row r="121" customFormat="false" ht="15" hidden="false" customHeight="false" outlineLevel="0" collapsed="false">
      <c r="A121" s="56"/>
      <c r="B121" s="92" t="str">
        <f aca="false">IF(A121="","",IF(Dashboard!$L$5="","",INT((A121-Dashboard!$L$5)/7)+1))</f>
        <v/>
      </c>
      <c r="C121" s="67"/>
      <c r="D121" s="67"/>
      <c r="E121" s="67"/>
      <c r="F121" s="67"/>
      <c r="G121" s="67"/>
      <c r="H121" s="67"/>
      <c r="I121" s="90"/>
      <c r="J121" s="58"/>
      <c r="K121" s="58"/>
    </row>
    <row r="122" customFormat="false" ht="15" hidden="false" customHeight="false" outlineLevel="0" collapsed="false">
      <c r="A122" s="56"/>
      <c r="B122" s="92" t="str">
        <f aca="false">IF(A122="","",IF(Dashboard!$L$5="","",INT((A122-Dashboard!$L$5)/7)+1))</f>
        <v/>
      </c>
      <c r="C122" s="67"/>
      <c r="D122" s="67"/>
      <c r="E122" s="67"/>
      <c r="F122" s="67"/>
      <c r="G122" s="67"/>
      <c r="H122" s="67"/>
      <c r="I122" s="90"/>
      <c r="J122" s="58"/>
      <c r="K122" s="58"/>
    </row>
    <row r="123" customFormat="false" ht="15" hidden="false" customHeight="false" outlineLevel="0" collapsed="false">
      <c r="A123" s="56"/>
      <c r="B123" s="92" t="str">
        <f aca="false">IF(A123="","",IF(Dashboard!$L$5="","",INT((A123-Dashboard!$L$5)/7)+1))</f>
        <v/>
      </c>
      <c r="C123" s="67"/>
      <c r="D123" s="67"/>
      <c r="E123" s="67"/>
      <c r="F123" s="67"/>
      <c r="G123" s="67"/>
      <c r="H123" s="67"/>
      <c r="I123" s="90"/>
      <c r="J123" s="58"/>
      <c r="K123" s="58"/>
    </row>
    <row r="124" customFormat="false" ht="15" hidden="false" customHeight="false" outlineLevel="0" collapsed="false">
      <c r="A124" s="56"/>
      <c r="B124" s="92" t="str">
        <f aca="false">IF(A124="","",IF(Dashboard!$L$5="","",INT((A124-Dashboard!$L$5)/7)+1))</f>
        <v/>
      </c>
      <c r="C124" s="67"/>
      <c r="D124" s="67"/>
      <c r="E124" s="67"/>
      <c r="F124" s="67"/>
      <c r="G124" s="67"/>
      <c r="H124" s="67"/>
      <c r="I124" s="90"/>
      <c r="J124" s="58"/>
      <c r="K124" s="58"/>
    </row>
    <row r="125" customFormat="false" ht="15" hidden="false" customHeight="false" outlineLevel="0" collapsed="false">
      <c r="A125" s="56"/>
      <c r="B125" s="92" t="str">
        <f aca="false">IF(A125="","",IF(Dashboard!$L$5="","",INT((A125-Dashboard!$L$5)/7)+1))</f>
        <v/>
      </c>
      <c r="C125" s="67"/>
      <c r="D125" s="67"/>
      <c r="E125" s="67"/>
      <c r="F125" s="67"/>
      <c r="G125" s="67"/>
      <c r="H125" s="67"/>
      <c r="I125" s="90"/>
      <c r="J125" s="58"/>
      <c r="K125" s="58"/>
    </row>
    <row r="126" customFormat="false" ht="15" hidden="false" customHeight="false" outlineLevel="0" collapsed="false">
      <c r="A126" s="56"/>
      <c r="B126" s="92" t="str">
        <f aca="false">IF(A126="","",IF(Dashboard!$L$5="","",INT((A126-Dashboard!$L$5)/7)+1))</f>
        <v/>
      </c>
      <c r="C126" s="67"/>
      <c r="D126" s="67"/>
      <c r="E126" s="67"/>
      <c r="F126" s="67"/>
      <c r="G126" s="67"/>
      <c r="H126" s="67"/>
      <c r="I126" s="90"/>
      <c r="J126" s="58"/>
      <c r="K126" s="58"/>
    </row>
    <row r="127" customFormat="false" ht="15" hidden="false" customHeight="false" outlineLevel="0" collapsed="false">
      <c r="A127" s="56"/>
      <c r="B127" s="92" t="str">
        <f aca="false">IF(A127="","",IF(Dashboard!$L$5="","",INT((A127-Dashboard!$L$5)/7)+1))</f>
        <v/>
      </c>
      <c r="C127" s="67"/>
      <c r="D127" s="67"/>
      <c r="E127" s="67"/>
      <c r="F127" s="67"/>
      <c r="G127" s="67"/>
      <c r="H127" s="67"/>
      <c r="I127" s="90"/>
      <c r="J127" s="58"/>
      <c r="K127" s="58"/>
    </row>
    <row r="128" customFormat="false" ht="15" hidden="false" customHeight="false" outlineLevel="0" collapsed="false">
      <c r="A128" s="56"/>
      <c r="B128" s="92" t="str">
        <f aca="false">IF(A128="","",IF(Dashboard!$L$5="","",INT((A128-Dashboard!$L$5)/7)+1))</f>
        <v/>
      </c>
      <c r="C128" s="67"/>
      <c r="D128" s="67"/>
      <c r="E128" s="67"/>
      <c r="F128" s="67"/>
      <c r="G128" s="67"/>
      <c r="H128" s="67"/>
      <c r="I128" s="90"/>
      <c r="J128" s="58"/>
      <c r="K128" s="58"/>
    </row>
    <row r="129" customFormat="false" ht="15" hidden="false" customHeight="false" outlineLevel="0" collapsed="false">
      <c r="A129" s="56"/>
      <c r="B129" s="92" t="str">
        <f aca="false">IF(A129="","",IF(Dashboard!$L$5="","",INT((A129-Dashboard!$L$5)/7)+1))</f>
        <v/>
      </c>
      <c r="C129" s="67"/>
      <c r="D129" s="67"/>
      <c r="E129" s="67"/>
      <c r="F129" s="67"/>
      <c r="G129" s="67"/>
      <c r="H129" s="67"/>
      <c r="I129" s="90"/>
      <c r="J129" s="58"/>
      <c r="K129" s="58"/>
    </row>
    <row r="130" customFormat="false" ht="15" hidden="false" customHeight="false" outlineLevel="0" collapsed="false">
      <c r="A130" s="56"/>
      <c r="B130" s="92" t="str">
        <f aca="false">IF(A130="","",IF(Dashboard!$L$5="","",INT((A130-Dashboard!$L$5)/7)+1))</f>
        <v/>
      </c>
      <c r="C130" s="67"/>
      <c r="D130" s="67"/>
      <c r="E130" s="67"/>
      <c r="F130" s="67"/>
      <c r="G130" s="67"/>
      <c r="H130" s="67"/>
      <c r="I130" s="90"/>
      <c r="J130" s="58"/>
      <c r="K130" s="58"/>
    </row>
    <row r="131" customFormat="false" ht="15" hidden="false" customHeight="false" outlineLevel="0" collapsed="false">
      <c r="A131" s="56"/>
      <c r="B131" s="92" t="str">
        <f aca="false">IF(A131="","",IF(Dashboard!$L$5="","",INT((A131-Dashboard!$L$5)/7)+1))</f>
        <v/>
      </c>
      <c r="C131" s="67"/>
      <c r="D131" s="67"/>
      <c r="E131" s="67"/>
      <c r="F131" s="67"/>
      <c r="G131" s="67"/>
      <c r="H131" s="67"/>
      <c r="I131" s="90"/>
      <c r="J131" s="58"/>
      <c r="K131" s="58"/>
    </row>
    <row r="132" customFormat="false" ht="15" hidden="false" customHeight="false" outlineLevel="0" collapsed="false">
      <c r="A132" s="56"/>
      <c r="B132" s="92" t="str">
        <f aca="false">IF(A132="","",IF(Dashboard!$L$5="","",INT((A132-Dashboard!$L$5)/7)+1))</f>
        <v/>
      </c>
      <c r="C132" s="67"/>
      <c r="D132" s="67"/>
      <c r="E132" s="67"/>
      <c r="F132" s="67"/>
      <c r="G132" s="67"/>
      <c r="H132" s="67"/>
      <c r="I132" s="90"/>
      <c r="J132" s="58"/>
      <c r="K132" s="58"/>
    </row>
    <row r="133" customFormat="false" ht="15" hidden="false" customHeight="false" outlineLevel="0" collapsed="false">
      <c r="A133" s="56"/>
      <c r="B133" s="92" t="str">
        <f aca="false">IF(A133="","",IF(Dashboard!$L$5="","",INT((A133-Dashboard!$L$5)/7)+1))</f>
        <v/>
      </c>
      <c r="C133" s="67"/>
      <c r="D133" s="67"/>
      <c r="E133" s="67"/>
      <c r="F133" s="67"/>
      <c r="G133" s="67"/>
      <c r="H133" s="67"/>
      <c r="I133" s="90"/>
      <c r="J133" s="58"/>
      <c r="K133" s="58"/>
    </row>
    <row r="134" customFormat="false" ht="15" hidden="false" customHeight="false" outlineLevel="0" collapsed="false">
      <c r="A134" s="56"/>
      <c r="B134" s="92" t="str">
        <f aca="false">IF(A134="","",IF(Dashboard!$L$5="","",INT((A134-Dashboard!$L$5)/7)+1))</f>
        <v/>
      </c>
      <c r="C134" s="67"/>
      <c r="D134" s="67"/>
      <c r="E134" s="67"/>
      <c r="F134" s="67"/>
      <c r="G134" s="67"/>
      <c r="H134" s="67"/>
      <c r="I134" s="90"/>
      <c r="J134" s="58"/>
      <c r="K134" s="58"/>
    </row>
    <row r="135" customFormat="false" ht="15" hidden="false" customHeight="false" outlineLevel="0" collapsed="false">
      <c r="A135" s="56"/>
      <c r="B135" s="92" t="str">
        <f aca="false">IF(A135="","",IF(Dashboard!$L$5="","",INT((A135-Dashboard!$L$5)/7)+1))</f>
        <v/>
      </c>
      <c r="C135" s="67"/>
      <c r="D135" s="67"/>
      <c r="E135" s="67"/>
      <c r="F135" s="67"/>
      <c r="G135" s="67"/>
      <c r="H135" s="67"/>
      <c r="I135" s="90"/>
      <c r="J135" s="58"/>
      <c r="K135" s="58"/>
    </row>
    <row r="136" customFormat="false" ht="15" hidden="false" customHeight="false" outlineLevel="0" collapsed="false">
      <c r="A136" s="56"/>
      <c r="B136" s="92" t="str">
        <f aca="false">IF(A136="","",IF(Dashboard!$L$5="","",INT((A136-Dashboard!$L$5)/7)+1))</f>
        <v/>
      </c>
      <c r="C136" s="67"/>
      <c r="D136" s="67"/>
      <c r="E136" s="67"/>
      <c r="F136" s="67"/>
      <c r="G136" s="67"/>
      <c r="H136" s="67"/>
      <c r="I136" s="90"/>
      <c r="J136" s="58"/>
      <c r="K136" s="58"/>
    </row>
    <row r="137" customFormat="false" ht="15" hidden="false" customHeight="false" outlineLevel="0" collapsed="false">
      <c r="A137" s="56"/>
      <c r="B137" s="92" t="str">
        <f aca="false">IF(A137="","",IF(Dashboard!$L$5="","",INT((A137-Dashboard!$L$5)/7)+1))</f>
        <v/>
      </c>
      <c r="C137" s="67"/>
      <c r="D137" s="67"/>
      <c r="E137" s="67"/>
      <c r="F137" s="67"/>
      <c r="G137" s="67"/>
      <c r="H137" s="67"/>
      <c r="I137" s="90"/>
      <c r="J137" s="58"/>
      <c r="K137" s="58"/>
    </row>
    <row r="138" customFormat="false" ht="15" hidden="false" customHeight="false" outlineLevel="0" collapsed="false">
      <c r="A138" s="56"/>
      <c r="B138" s="92" t="str">
        <f aca="false">IF(A138="","",IF(Dashboard!$L$5="","",INT((A138-Dashboard!$L$5)/7)+1))</f>
        <v/>
      </c>
      <c r="C138" s="67"/>
      <c r="D138" s="67"/>
      <c r="E138" s="67"/>
      <c r="F138" s="67"/>
      <c r="G138" s="67"/>
      <c r="H138" s="67"/>
      <c r="I138" s="90"/>
      <c r="J138" s="58"/>
      <c r="K138" s="58"/>
    </row>
    <row r="139" customFormat="false" ht="15" hidden="false" customHeight="false" outlineLevel="0" collapsed="false">
      <c r="A139" s="56"/>
      <c r="B139" s="92" t="str">
        <f aca="false">IF(A139="","",IF(Dashboard!$L$5="","",INT((A139-Dashboard!$L$5)/7)+1))</f>
        <v/>
      </c>
      <c r="C139" s="67"/>
      <c r="D139" s="67"/>
      <c r="E139" s="67"/>
      <c r="F139" s="67"/>
      <c r="G139" s="67"/>
      <c r="H139" s="67"/>
      <c r="I139" s="90"/>
      <c r="J139" s="58"/>
      <c r="K139" s="58"/>
    </row>
    <row r="140" customFormat="false" ht="15" hidden="false" customHeight="false" outlineLevel="0" collapsed="false">
      <c r="A140" s="56"/>
      <c r="B140" s="92" t="str">
        <f aca="false">IF(A140="","",IF(Dashboard!$L$5="","",INT((A140-Dashboard!$L$5)/7)+1))</f>
        <v/>
      </c>
      <c r="C140" s="67"/>
      <c r="D140" s="67"/>
      <c r="E140" s="67"/>
      <c r="F140" s="67"/>
      <c r="G140" s="67"/>
      <c r="H140" s="67"/>
      <c r="I140" s="90"/>
      <c r="J140" s="58"/>
      <c r="K140" s="58"/>
    </row>
    <row r="141" customFormat="false" ht="15" hidden="false" customHeight="false" outlineLevel="0" collapsed="false">
      <c r="A141" s="56"/>
      <c r="B141" s="92" t="str">
        <f aca="false">IF(A141="","",IF(Dashboard!$L$5="","",INT((A141-Dashboard!$L$5)/7)+1))</f>
        <v/>
      </c>
      <c r="C141" s="67"/>
      <c r="D141" s="67"/>
      <c r="E141" s="67"/>
      <c r="F141" s="67"/>
      <c r="G141" s="67"/>
      <c r="H141" s="67"/>
      <c r="I141" s="90"/>
      <c r="J141" s="58"/>
      <c r="K141" s="58"/>
    </row>
    <row r="142" customFormat="false" ht="15" hidden="false" customHeight="false" outlineLevel="0" collapsed="false">
      <c r="A142" s="56"/>
      <c r="B142" s="92" t="str">
        <f aca="false">IF(A142="","",IF(Dashboard!$L$5="","",INT((A142-Dashboard!$L$5)/7)+1))</f>
        <v/>
      </c>
      <c r="C142" s="67"/>
      <c r="D142" s="67"/>
      <c r="E142" s="67"/>
      <c r="F142" s="67"/>
      <c r="G142" s="67"/>
      <c r="H142" s="67"/>
      <c r="I142" s="90"/>
      <c r="J142" s="58"/>
      <c r="K142" s="58"/>
    </row>
    <row r="143" customFormat="false" ht="15" hidden="false" customHeight="false" outlineLevel="0" collapsed="false">
      <c r="A143" s="56"/>
      <c r="B143" s="92" t="str">
        <f aca="false">IF(A143="","",IF(Dashboard!$L$5="","",INT((A143-Dashboard!$L$5)/7)+1))</f>
        <v/>
      </c>
      <c r="C143" s="67"/>
      <c r="D143" s="67"/>
      <c r="E143" s="67"/>
      <c r="F143" s="67"/>
      <c r="G143" s="67"/>
      <c r="H143" s="67"/>
      <c r="I143" s="90"/>
      <c r="J143" s="58"/>
      <c r="K143" s="58"/>
    </row>
    <row r="144" customFormat="false" ht="15" hidden="false" customHeight="false" outlineLevel="0" collapsed="false">
      <c r="A144" s="56"/>
      <c r="B144" s="92" t="str">
        <f aca="false">IF(A144="","",IF(Dashboard!$L$5="","",INT((A144-Dashboard!$L$5)/7)+1))</f>
        <v/>
      </c>
      <c r="C144" s="67"/>
      <c r="D144" s="67"/>
      <c r="E144" s="67"/>
      <c r="F144" s="67"/>
      <c r="G144" s="67"/>
      <c r="H144" s="67"/>
      <c r="I144" s="90"/>
      <c r="J144" s="58"/>
      <c r="K144" s="58"/>
    </row>
    <row r="145" customFormat="false" ht="15" hidden="false" customHeight="false" outlineLevel="0" collapsed="false">
      <c r="A145" s="56"/>
      <c r="B145" s="92" t="str">
        <f aca="false">IF(A145="","",IF(Dashboard!$L$5="","",INT((A145-Dashboard!$L$5)/7)+1))</f>
        <v/>
      </c>
      <c r="C145" s="67"/>
      <c r="D145" s="67"/>
      <c r="E145" s="67"/>
      <c r="F145" s="67"/>
      <c r="G145" s="67"/>
      <c r="H145" s="67"/>
      <c r="I145" s="90"/>
      <c r="J145" s="58"/>
      <c r="K145" s="58"/>
    </row>
    <row r="146" customFormat="false" ht="15" hidden="false" customHeight="false" outlineLevel="0" collapsed="false">
      <c r="A146" s="56"/>
      <c r="B146" s="92" t="str">
        <f aca="false">IF(A146="","",IF(Dashboard!$L$5="","",INT((A146-Dashboard!$L$5)/7)+1))</f>
        <v/>
      </c>
      <c r="C146" s="67"/>
      <c r="D146" s="67"/>
      <c r="E146" s="67"/>
      <c r="F146" s="67"/>
      <c r="G146" s="67"/>
      <c r="H146" s="67"/>
      <c r="I146" s="90"/>
      <c r="J146" s="58"/>
      <c r="K146" s="58"/>
    </row>
    <row r="147" customFormat="false" ht="15" hidden="false" customHeight="false" outlineLevel="0" collapsed="false">
      <c r="A147" s="56"/>
      <c r="B147" s="92" t="str">
        <f aca="false">IF(A147="","",IF(Dashboard!$L$5="","",INT((A147-Dashboard!$L$5)/7)+1))</f>
        <v/>
      </c>
      <c r="C147" s="67"/>
      <c r="D147" s="67"/>
      <c r="E147" s="67"/>
      <c r="F147" s="67"/>
      <c r="G147" s="67"/>
      <c r="H147" s="67"/>
      <c r="I147" s="90"/>
      <c r="J147" s="58"/>
      <c r="K147" s="58"/>
    </row>
    <row r="148" customFormat="false" ht="15" hidden="false" customHeight="false" outlineLevel="0" collapsed="false">
      <c r="A148" s="56"/>
      <c r="B148" s="92" t="str">
        <f aca="false">IF(A148="","",IF(Dashboard!$L$5="","",INT((A148-Dashboard!$L$5)/7)+1))</f>
        <v/>
      </c>
      <c r="C148" s="67"/>
      <c r="D148" s="67"/>
      <c r="E148" s="67"/>
      <c r="F148" s="67"/>
      <c r="G148" s="67"/>
      <c r="H148" s="67"/>
      <c r="I148" s="90"/>
      <c r="J148" s="58"/>
      <c r="K148" s="58"/>
    </row>
    <row r="149" customFormat="false" ht="15" hidden="false" customHeight="false" outlineLevel="0" collapsed="false">
      <c r="A149" s="56"/>
      <c r="B149" s="92" t="str">
        <f aca="false">IF(A149="","",IF(Dashboard!$L$5="","",INT((A149-Dashboard!$L$5)/7)+1))</f>
        <v/>
      </c>
      <c r="C149" s="67"/>
      <c r="D149" s="67"/>
      <c r="E149" s="67"/>
      <c r="F149" s="67"/>
      <c r="G149" s="67"/>
      <c r="H149" s="67"/>
      <c r="I149" s="90"/>
      <c r="J149" s="58"/>
      <c r="K149" s="58"/>
    </row>
    <row r="150" customFormat="false" ht="15" hidden="false" customHeight="false" outlineLevel="0" collapsed="false">
      <c r="A150" s="56"/>
      <c r="B150" s="92" t="str">
        <f aca="false">IF(A150="","",IF(Dashboard!$L$5="","",INT((A150-Dashboard!$L$5)/7)+1))</f>
        <v/>
      </c>
      <c r="C150" s="67"/>
      <c r="D150" s="67"/>
      <c r="E150" s="67"/>
      <c r="F150" s="67"/>
      <c r="G150" s="67"/>
      <c r="H150" s="67"/>
      <c r="I150" s="90"/>
      <c r="J150" s="58"/>
      <c r="K150" s="58"/>
    </row>
    <row r="151" customFormat="false" ht="15" hidden="false" customHeight="false" outlineLevel="0" collapsed="false">
      <c r="A151" s="56"/>
      <c r="B151" s="92" t="str">
        <f aca="false">IF(A151="","",IF(Dashboard!$L$5="","",INT((A151-Dashboard!$L$5)/7)+1))</f>
        <v/>
      </c>
      <c r="C151" s="67"/>
      <c r="D151" s="67"/>
      <c r="E151" s="67"/>
      <c r="F151" s="67"/>
      <c r="G151" s="67"/>
      <c r="H151" s="67"/>
      <c r="I151" s="90"/>
      <c r="J151" s="58"/>
      <c r="K151" s="58"/>
    </row>
    <row r="152" customFormat="false" ht="15" hidden="false" customHeight="false" outlineLevel="0" collapsed="false">
      <c r="A152" s="56"/>
      <c r="B152" s="92" t="str">
        <f aca="false">IF(A152="","",IF(Dashboard!$L$5="","",INT((A152-Dashboard!$L$5)/7)+1))</f>
        <v/>
      </c>
      <c r="C152" s="67"/>
      <c r="D152" s="67"/>
      <c r="E152" s="67"/>
      <c r="F152" s="67"/>
      <c r="G152" s="67"/>
      <c r="H152" s="67"/>
      <c r="I152" s="90"/>
      <c r="J152" s="58"/>
      <c r="K152" s="58"/>
    </row>
    <row r="153" customFormat="false" ht="15" hidden="false" customHeight="false" outlineLevel="0" collapsed="false">
      <c r="A153" s="56"/>
      <c r="B153" s="92" t="str">
        <f aca="false">IF(A153="","",IF(Dashboard!$L$5="","",INT((A153-Dashboard!$L$5)/7)+1))</f>
        <v/>
      </c>
      <c r="C153" s="67"/>
      <c r="D153" s="67"/>
      <c r="E153" s="67"/>
      <c r="F153" s="67"/>
      <c r="G153" s="67"/>
      <c r="H153" s="67"/>
      <c r="I153" s="90"/>
      <c r="J153" s="58"/>
      <c r="K153" s="58"/>
    </row>
    <row r="154" customFormat="false" ht="15" hidden="false" customHeight="false" outlineLevel="0" collapsed="false">
      <c r="A154" s="56"/>
      <c r="B154" s="92" t="str">
        <f aca="false">IF(A154="","",IF(Dashboard!$L$5="","",INT((A154-Dashboard!$L$5)/7)+1))</f>
        <v/>
      </c>
      <c r="C154" s="67"/>
      <c r="D154" s="67"/>
      <c r="E154" s="67"/>
      <c r="F154" s="67"/>
      <c r="G154" s="67"/>
      <c r="H154" s="67"/>
      <c r="I154" s="90"/>
      <c r="J154" s="58"/>
      <c r="K154" s="58"/>
    </row>
    <row r="155" customFormat="false" ht="15" hidden="false" customHeight="false" outlineLevel="0" collapsed="false">
      <c r="A155" s="56"/>
      <c r="B155" s="92" t="str">
        <f aca="false">IF(A155="","",IF(Dashboard!$L$5="","",INT((A155-Dashboard!$L$5)/7)+1))</f>
        <v/>
      </c>
      <c r="C155" s="67"/>
      <c r="D155" s="67"/>
      <c r="E155" s="67"/>
      <c r="F155" s="67"/>
      <c r="G155" s="67"/>
      <c r="H155" s="67"/>
      <c r="I155" s="90"/>
      <c r="J155" s="58"/>
      <c r="K155" s="58"/>
    </row>
    <row r="156" customFormat="false" ht="15" hidden="false" customHeight="false" outlineLevel="0" collapsed="false">
      <c r="A156" s="56"/>
      <c r="B156" s="92" t="str">
        <f aca="false">IF(A156="","",IF(Dashboard!$L$5="","",INT((A156-Dashboard!$L$5)/7)+1))</f>
        <v/>
      </c>
      <c r="C156" s="67"/>
      <c r="D156" s="67"/>
      <c r="E156" s="67"/>
      <c r="F156" s="67"/>
      <c r="G156" s="67"/>
      <c r="H156" s="67"/>
      <c r="I156" s="90"/>
      <c r="J156" s="58"/>
      <c r="K156" s="58"/>
    </row>
    <row r="157" customFormat="false" ht="15" hidden="false" customHeight="false" outlineLevel="0" collapsed="false">
      <c r="A157" s="56"/>
      <c r="B157" s="92" t="str">
        <f aca="false">IF(A157="","",IF(Dashboard!$L$5="","",INT((A157-Dashboard!$L$5)/7)+1))</f>
        <v/>
      </c>
      <c r="C157" s="67"/>
      <c r="D157" s="67"/>
      <c r="E157" s="67"/>
      <c r="F157" s="67"/>
      <c r="G157" s="67"/>
      <c r="H157" s="67"/>
      <c r="I157" s="90"/>
      <c r="J157" s="58"/>
      <c r="K157" s="58"/>
    </row>
    <row r="158" customFormat="false" ht="15" hidden="false" customHeight="false" outlineLevel="0" collapsed="false">
      <c r="A158" s="56"/>
      <c r="B158" s="92" t="str">
        <f aca="false">IF(A158="","",IF(Dashboard!$L$5="","",INT((A158-Dashboard!$L$5)/7)+1))</f>
        <v/>
      </c>
      <c r="C158" s="67"/>
      <c r="D158" s="67"/>
      <c r="E158" s="67"/>
      <c r="F158" s="67"/>
      <c r="G158" s="67"/>
      <c r="H158" s="67"/>
      <c r="I158" s="90"/>
      <c r="J158" s="58"/>
      <c r="K158" s="58"/>
    </row>
    <row r="159" customFormat="false" ht="15" hidden="false" customHeight="false" outlineLevel="0" collapsed="false">
      <c r="A159" s="56"/>
      <c r="B159" s="92" t="str">
        <f aca="false">IF(A159="","",IF(Dashboard!$L$5="","",INT((A159-Dashboard!$L$5)/7)+1))</f>
        <v/>
      </c>
      <c r="C159" s="67"/>
      <c r="D159" s="67"/>
      <c r="E159" s="67"/>
      <c r="F159" s="67"/>
      <c r="G159" s="67"/>
      <c r="H159" s="67"/>
      <c r="I159" s="90"/>
      <c r="J159" s="58"/>
      <c r="K159" s="58"/>
    </row>
    <row r="160" customFormat="false" ht="15" hidden="false" customHeight="false" outlineLevel="0" collapsed="false">
      <c r="A160" s="56"/>
      <c r="B160" s="92" t="str">
        <f aca="false">IF(A160="","",IF(Dashboard!$L$5="","",INT((A160-Dashboard!$L$5)/7)+1))</f>
        <v/>
      </c>
      <c r="C160" s="67"/>
      <c r="D160" s="67"/>
      <c r="E160" s="67"/>
      <c r="F160" s="67"/>
      <c r="G160" s="67"/>
      <c r="H160" s="67"/>
      <c r="I160" s="90"/>
      <c r="J160" s="58"/>
      <c r="K160" s="58"/>
    </row>
    <row r="161" customFormat="false" ht="15" hidden="false" customHeight="false" outlineLevel="0" collapsed="false">
      <c r="A161" s="56"/>
      <c r="B161" s="92" t="str">
        <f aca="false">IF(A161="","",IF(Dashboard!$L$5="","",INT((A161-Dashboard!$L$5)/7)+1))</f>
        <v/>
      </c>
      <c r="C161" s="67"/>
      <c r="D161" s="67"/>
      <c r="E161" s="67"/>
      <c r="F161" s="67"/>
      <c r="G161" s="67"/>
      <c r="H161" s="67"/>
      <c r="I161" s="90"/>
      <c r="J161" s="58"/>
      <c r="K161" s="58"/>
    </row>
    <row r="162" customFormat="false" ht="15" hidden="false" customHeight="false" outlineLevel="0" collapsed="false">
      <c r="A162" s="56"/>
      <c r="B162" s="92" t="str">
        <f aca="false">IF(A162="","",IF(Dashboard!$L$5="","",INT((A162-Dashboard!$L$5)/7)+1))</f>
        <v/>
      </c>
      <c r="C162" s="67"/>
      <c r="D162" s="67"/>
      <c r="E162" s="67"/>
      <c r="F162" s="67"/>
      <c r="G162" s="67"/>
      <c r="H162" s="67"/>
      <c r="I162" s="90"/>
      <c r="J162" s="58"/>
      <c r="K162" s="58"/>
    </row>
    <row r="163" customFormat="false" ht="15" hidden="false" customHeight="false" outlineLevel="0" collapsed="false">
      <c r="A163" s="56"/>
      <c r="B163" s="92" t="str">
        <f aca="false">IF(A163="","",IF(Dashboard!$L$5="","",INT((A163-Dashboard!$L$5)/7)+1))</f>
        <v/>
      </c>
      <c r="C163" s="67"/>
      <c r="D163" s="67"/>
      <c r="E163" s="67"/>
      <c r="F163" s="67"/>
      <c r="G163" s="67"/>
      <c r="H163" s="67"/>
      <c r="I163" s="90"/>
      <c r="J163" s="58"/>
      <c r="K163" s="58"/>
    </row>
    <row r="164" customFormat="false" ht="15" hidden="false" customHeight="false" outlineLevel="0" collapsed="false">
      <c r="A164" s="56"/>
      <c r="B164" s="92" t="str">
        <f aca="false">IF(A164="","",IF(Dashboard!$L$5="","",INT((A164-Dashboard!$L$5)/7)+1))</f>
        <v/>
      </c>
      <c r="C164" s="67"/>
      <c r="D164" s="67"/>
      <c r="E164" s="67"/>
      <c r="F164" s="67"/>
      <c r="G164" s="67"/>
      <c r="H164" s="67"/>
      <c r="I164" s="90"/>
      <c r="J164" s="58"/>
      <c r="K164" s="58"/>
    </row>
    <row r="165" customFormat="false" ht="15" hidden="false" customHeight="false" outlineLevel="0" collapsed="false">
      <c r="A165" s="56"/>
      <c r="B165" s="92" t="str">
        <f aca="false">IF(A165="","",IF(Dashboard!$L$5="","",INT((A165-Dashboard!$L$5)/7)+1))</f>
        <v/>
      </c>
      <c r="C165" s="67"/>
      <c r="D165" s="67"/>
      <c r="E165" s="67"/>
      <c r="F165" s="67"/>
      <c r="G165" s="67"/>
      <c r="H165" s="67"/>
      <c r="I165" s="90"/>
      <c r="J165" s="58"/>
      <c r="K165" s="58"/>
    </row>
    <row r="166" customFormat="false" ht="15" hidden="false" customHeight="false" outlineLevel="0" collapsed="false">
      <c r="A166" s="56"/>
      <c r="B166" s="92" t="str">
        <f aca="false">IF(A166="","",IF(Dashboard!$L$5="","",INT((A166-Dashboard!$L$5)/7)+1))</f>
        <v/>
      </c>
      <c r="C166" s="67"/>
      <c r="D166" s="67"/>
      <c r="E166" s="67"/>
      <c r="F166" s="67"/>
      <c r="G166" s="67"/>
      <c r="H166" s="67"/>
      <c r="I166" s="90"/>
      <c r="J166" s="58"/>
      <c r="K166" s="58"/>
    </row>
    <row r="167" customFormat="false" ht="15" hidden="false" customHeight="false" outlineLevel="0" collapsed="false">
      <c r="A167" s="56"/>
      <c r="B167" s="92" t="str">
        <f aca="false">IF(A167="","",IF(Dashboard!$L$5="","",INT((A167-Dashboard!$L$5)/7)+1))</f>
        <v/>
      </c>
      <c r="C167" s="67"/>
      <c r="D167" s="67"/>
      <c r="E167" s="67"/>
      <c r="F167" s="67"/>
      <c r="G167" s="67"/>
      <c r="H167" s="67"/>
      <c r="I167" s="90"/>
      <c r="J167" s="58"/>
      <c r="K167" s="58"/>
    </row>
    <row r="168" customFormat="false" ht="15" hidden="false" customHeight="false" outlineLevel="0" collapsed="false">
      <c r="A168" s="56"/>
      <c r="B168" s="92" t="str">
        <f aca="false">IF(A168="","",IF(Dashboard!$L$5="","",INT((A168-Dashboard!$L$5)/7)+1))</f>
        <v/>
      </c>
      <c r="C168" s="67"/>
      <c r="D168" s="67"/>
      <c r="E168" s="67"/>
      <c r="F168" s="67"/>
      <c r="G168" s="67"/>
      <c r="H168" s="67"/>
      <c r="I168" s="90"/>
      <c r="J168" s="58"/>
      <c r="K168" s="58"/>
    </row>
    <row r="169" customFormat="false" ht="15" hidden="false" customHeight="false" outlineLevel="0" collapsed="false">
      <c r="A169" s="56"/>
      <c r="B169" s="92" t="str">
        <f aca="false">IF(A169="","",IF(Dashboard!$L$5="","",INT((A169-Dashboard!$L$5)/7)+1))</f>
        <v/>
      </c>
      <c r="C169" s="67"/>
      <c r="D169" s="67"/>
      <c r="E169" s="67"/>
      <c r="F169" s="67"/>
      <c r="G169" s="67"/>
      <c r="H169" s="67"/>
      <c r="I169" s="90"/>
      <c r="J169" s="58"/>
      <c r="K169" s="58"/>
    </row>
    <row r="170" customFormat="false" ht="15" hidden="false" customHeight="false" outlineLevel="0" collapsed="false">
      <c r="A170" s="56"/>
      <c r="B170" s="92" t="str">
        <f aca="false">IF(A170="","",IF(Dashboard!$L$5="","",INT((A170-Dashboard!$L$5)/7)+1))</f>
        <v/>
      </c>
      <c r="C170" s="67"/>
      <c r="D170" s="67"/>
      <c r="E170" s="67"/>
      <c r="F170" s="67"/>
      <c r="G170" s="67"/>
      <c r="H170" s="67"/>
      <c r="I170" s="90"/>
      <c r="J170" s="58"/>
      <c r="K170" s="58"/>
    </row>
    <row r="171" customFormat="false" ht="15" hidden="false" customHeight="false" outlineLevel="0" collapsed="false">
      <c r="A171" s="56"/>
      <c r="B171" s="92" t="str">
        <f aca="false">IF(A171="","",IF(Dashboard!$L$5="","",INT((A171-Dashboard!$L$5)/7)+1))</f>
        <v/>
      </c>
      <c r="C171" s="67"/>
      <c r="D171" s="67"/>
      <c r="E171" s="67"/>
      <c r="F171" s="67"/>
      <c r="G171" s="67"/>
      <c r="H171" s="67"/>
      <c r="I171" s="90"/>
      <c r="J171" s="58"/>
      <c r="K171" s="58"/>
    </row>
    <row r="172" customFormat="false" ht="15" hidden="false" customHeight="false" outlineLevel="0" collapsed="false">
      <c r="A172" s="56"/>
      <c r="B172" s="92" t="str">
        <f aca="false">IF(A172="","",IF(Dashboard!$L$5="","",INT((A172-Dashboard!$L$5)/7)+1))</f>
        <v/>
      </c>
      <c r="C172" s="67"/>
      <c r="D172" s="67"/>
      <c r="E172" s="67"/>
      <c r="F172" s="67"/>
      <c r="G172" s="67"/>
      <c r="H172" s="67"/>
      <c r="I172" s="90"/>
      <c r="J172" s="58"/>
      <c r="K172" s="58"/>
    </row>
    <row r="173" customFormat="false" ht="15" hidden="false" customHeight="false" outlineLevel="0" collapsed="false">
      <c r="A173" s="56"/>
      <c r="B173" s="92" t="str">
        <f aca="false">IF(A173="","",IF(Dashboard!$L$5="","",INT((A173-Dashboard!$L$5)/7)+1))</f>
        <v/>
      </c>
      <c r="C173" s="67"/>
      <c r="D173" s="67"/>
      <c r="E173" s="67"/>
      <c r="F173" s="67"/>
      <c r="G173" s="67"/>
      <c r="H173" s="67"/>
      <c r="I173" s="90"/>
      <c r="J173" s="58"/>
      <c r="K173" s="58"/>
    </row>
    <row r="174" customFormat="false" ht="15" hidden="false" customHeight="false" outlineLevel="0" collapsed="false">
      <c r="A174" s="56"/>
      <c r="B174" s="92" t="str">
        <f aca="false">IF(A174="","",IF(Dashboard!$L$5="","",INT((A174-Dashboard!$L$5)/7)+1))</f>
        <v/>
      </c>
      <c r="C174" s="67"/>
      <c r="D174" s="67"/>
      <c r="E174" s="67"/>
      <c r="F174" s="67"/>
      <c r="G174" s="67"/>
      <c r="H174" s="67"/>
      <c r="I174" s="90"/>
      <c r="J174" s="58"/>
      <c r="K174" s="58"/>
    </row>
    <row r="175" customFormat="false" ht="15" hidden="false" customHeight="false" outlineLevel="0" collapsed="false">
      <c r="A175" s="56"/>
      <c r="B175" s="92" t="str">
        <f aca="false">IF(A175="","",IF(Dashboard!$L$5="","",INT((A175-Dashboard!$L$5)/7)+1))</f>
        <v/>
      </c>
      <c r="C175" s="67"/>
      <c r="D175" s="67"/>
      <c r="E175" s="67"/>
      <c r="F175" s="67"/>
      <c r="G175" s="67"/>
      <c r="H175" s="67"/>
      <c r="I175" s="90"/>
      <c r="J175" s="58"/>
      <c r="K175" s="58"/>
    </row>
    <row r="176" customFormat="false" ht="15" hidden="false" customHeight="false" outlineLevel="0" collapsed="false">
      <c r="A176" s="56"/>
      <c r="B176" s="92" t="str">
        <f aca="false">IF(A176="","",IF(Dashboard!$L$5="","",INT((A176-Dashboard!$L$5)/7)+1))</f>
        <v/>
      </c>
      <c r="C176" s="67"/>
      <c r="D176" s="67"/>
      <c r="E176" s="67"/>
      <c r="F176" s="67"/>
      <c r="G176" s="67"/>
      <c r="H176" s="67"/>
      <c r="I176" s="90"/>
      <c r="J176" s="58"/>
      <c r="K176" s="58"/>
    </row>
    <row r="177" customFormat="false" ht="15" hidden="false" customHeight="false" outlineLevel="0" collapsed="false">
      <c r="A177" s="56"/>
      <c r="B177" s="92" t="str">
        <f aca="false">IF(A177="","",IF(Dashboard!$L$5="","",INT((A177-Dashboard!$L$5)/7)+1))</f>
        <v/>
      </c>
      <c r="C177" s="67"/>
      <c r="D177" s="67"/>
      <c r="E177" s="67"/>
      <c r="F177" s="67"/>
      <c r="G177" s="67"/>
      <c r="H177" s="67"/>
      <c r="I177" s="90"/>
      <c r="J177" s="58"/>
      <c r="K177" s="58"/>
    </row>
    <row r="178" customFormat="false" ht="15" hidden="false" customHeight="false" outlineLevel="0" collapsed="false">
      <c r="A178" s="56"/>
      <c r="B178" s="92" t="str">
        <f aca="false">IF(A178="","",IF(Dashboard!$L$5="","",INT((A178-Dashboard!$L$5)/7)+1))</f>
        <v/>
      </c>
      <c r="C178" s="67"/>
      <c r="D178" s="67"/>
      <c r="E178" s="67"/>
      <c r="F178" s="67"/>
      <c r="G178" s="67"/>
      <c r="H178" s="67"/>
      <c r="I178" s="90"/>
      <c r="J178" s="58"/>
      <c r="K178" s="58"/>
    </row>
    <row r="179" customFormat="false" ht="15" hidden="false" customHeight="false" outlineLevel="0" collapsed="false">
      <c r="A179" s="56"/>
      <c r="B179" s="92" t="str">
        <f aca="false">IF(A179="","",IF(Dashboard!$L$5="","",INT((A179-Dashboard!$L$5)/7)+1))</f>
        <v/>
      </c>
      <c r="C179" s="67"/>
      <c r="D179" s="67"/>
      <c r="E179" s="67"/>
      <c r="F179" s="67"/>
      <c r="G179" s="67"/>
      <c r="H179" s="67"/>
      <c r="I179" s="90"/>
      <c r="J179" s="58"/>
      <c r="K179" s="58"/>
    </row>
    <row r="180" customFormat="false" ht="15" hidden="false" customHeight="false" outlineLevel="0" collapsed="false">
      <c r="A180" s="56"/>
      <c r="B180" s="92" t="str">
        <f aca="false">IF(A180="","",IF(Dashboard!$L$5="","",INT((A180-Dashboard!$L$5)/7)+1))</f>
        <v/>
      </c>
      <c r="C180" s="67"/>
      <c r="D180" s="67"/>
      <c r="E180" s="67"/>
      <c r="F180" s="67"/>
      <c r="G180" s="67"/>
      <c r="H180" s="67"/>
      <c r="I180" s="90"/>
      <c r="J180" s="58"/>
      <c r="K180" s="58"/>
    </row>
    <row r="181" customFormat="false" ht="15" hidden="false" customHeight="false" outlineLevel="0" collapsed="false">
      <c r="A181" s="56"/>
      <c r="B181" s="92" t="str">
        <f aca="false">IF(A181="","",IF(Dashboard!$L$5="","",INT((A181-Dashboard!$L$5)/7)+1))</f>
        <v/>
      </c>
      <c r="C181" s="67"/>
      <c r="D181" s="67"/>
      <c r="E181" s="67"/>
      <c r="F181" s="67"/>
      <c r="G181" s="67"/>
      <c r="H181" s="67"/>
      <c r="I181" s="90"/>
      <c r="J181" s="58"/>
      <c r="K181" s="58"/>
    </row>
    <row r="182" customFormat="false" ht="15" hidden="false" customHeight="false" outlineLevel="0" collapsed="false">
      <c r="A182" s="56"/>
      <c r="B182" s="92" t="str">
        <f aca="false">IF(A182="","",IF(Dashboard!$L$5="","",INT((A182-Dashboard!$L$5)/7)+1))</f>
        <v/>
      </c>
      <c r="C182" s="67"/>
      <c r="D182" s="67"/>
      <c r="E182" s="67"/>
      <c r="F182" s="67"/>
      <c r="G182" s="67"/>
      <c r="H182" s="67"/>
      <c r="I182" s="90"/>
      <c r="J182" s="58"/>
      <c r="K182" s="58"/>
    </row>
    <row r="183" customFormat="false" ht="15" hidden="false" customHeight="false" outlineLevel="0" collapsed="false">
      <c r="A183" s="56"/>
      <c r="B183" s="92" t="str">
        <f aca="false">IF(A183="","",IF(Dashboard!$L$5="","",INT((A183-Dashboard!$L$5)/7)+1))</f>
        <v/>
      </c>
      <c r="C183" s="67"/>
      <c r="D183" s="67"/>
      <c r="E183" s="67"/>
      <c r="F183" s="67"/>
      <c r="G183" s="67"/>
      <c r="H183" s="67"/>
      <c r="I183" s="90"/>
      <c r="J183" s="58"/>
      <c r="K183" s="58"/>
    </row>
    <row r="184" customFormat="false" ht="15" hidden="false" customHeight="false" outlineLevel="0" collapsed="false">
      <c r="A184" s="56"/>
      <c r="B184" s="92" t="str">
        <f aca="false">IF(A184="","",IF(Dashboard!$L$5="","",INT((A184-Dashboard!$L$5)/7)+1))</f>
        <v/>
      </c>
      <c r="C184" s="67"/>
      <c r="D184" s="67"/>
      <c r="E184" s="67"/>
      <c r="F184" s="67"/>
      <c r="G184" s="67"/>
      <c r="H184" s="67"/>
      <c r="I184" s="90"/>
      <c r="J184" s="58"/>
      <c r="K184" s="58"/>
    </row>
    <row r="185" customFormat="false" ht="15" hidden="false" customHeight="false" outlineLevel="0" collapsed="false">
      <c r="A185" s="56"/>
      <c r="B185" s="92" t="str">
        <f aca="false">IF(A185="","",IF(Dashboard!$L$5="","",INT((A185-Dashboard!$L$5)/7)+1))</f>
        <v/>
      </c>
      <c r="C185" s="67"/>
      <c r="D185" s="67"/>
      <c r="E185" s="67"/>
      <c r="F185" s="67"/>
      <c r="G185" s="67"/>
      <c r="H185" s="67"/>
      <c r="I185" s="90"/>
      <c r="J185" s="58"/>
      <c r="K185" s="58"/>
    </row>
    <row r="186" customFormat="false" ht="15" hidden="false" customHeight="false" outlineLevel="0" collapsed="false">
      <c r="A186" s="56"/>
      <c r="B186" s="92" t="str">
        <f aca="false">IF(A186="","",IF(Dashboard!$L$5="","",INT((A186-Dashboard!$L$5)/7)+1))</f>
        <v/>
      </c>
      <c r="C186" s="67"/>
      <c r="D186" s="67"/>
      <c r="E186" s="67"/>
      <c r="F186" s="67"/>
      <c r="G186" s="67"/>
      <c r="H186" s="67"/>
      <c r="I186" s="90"/>
      <c r="J186" s="58"/>
      <c r="K186" s="58"/>
    </row>
    <row r="187" customFormat="false" ht="15" hidden="false" customHeight="false" outlineLevel="0" collapsed="false">
      <c r="A187" s="56"/>
      <c r="B187" s="92" t="str">
        <f aca="false">IF(A187="","",IF(Dashboard!$L$5="","",INT((A187-Dashboard!$L$5)/7)+1))</f>
        <v/>
      </c>
      <c r="C187" s="67"/>
      <c r="D187" s="67"/>
      <c r="E187" s="67"/>
      <c r="F187" s="67"/>
      <c r="G187" s="67"/>
      <c r="H187" s="67"/>
      <c r="I187" s="90"/>
      <c r="J187" s="58"/>
      <c r="K187" s="58"/>
    </row>
    <row r="188" customFormat="false" ht="15" hidden="false" customHeight="false" outlineLevel="0" collapsed="false">
      <c r="A188" s="56"/>
      <c r="B188" s="92" t="str">
        <f aca="false">IF(A188="","",IF(Dashboard!$L$5="","",INT((A188-Dashboard!$L$5)/7)+1))</f>
        <v/>
      </c>
      <c r="C188" s="67"/>
      <c r="D188" s="67"/>
      <c r="E188" s="67"/>
      <c r="F188" s="67"/>
      <c r="G188" s="67"/>
      <c r="H188" s="67"/>
      <c r="I188" s="90"/>
      <c r="J188" s="58"/>
      <c r="K188" s="58"/>
    </row>
    <row r="189" customFormat="false" ht="15" hidden="false" customHeight="false" outlineLevel="0" collapsed="false">
      <c r="A189" s="56"/>
      <c r="B189" s="92" t="str">
        <f aca="false">IF(A189="","",IF(Dashboard!$L$5="","",INT((A189-Dashboard!$L$5)/7)+1))</f>
        <v/>
      </c>
      <c r="C189" s="67"/>
      <c r="D189" s="67"/>
      <c r="E189" s="67"/>
      <c r="F189" s="67"/>
      <c r="G189" s="67"/>
      <c r="H189" s="67"/>
      <c r="I189" s="90"/>
      <c r="J189" s="58"/>
      <c r="K189" s="58"/>
    </row>
    <row r="190" customFormat="false" ht="15" hidden="false" customHeight="false" outlineLevel="0" collapsed="false">
      <c r="A190" s="56"/>
      <c r="B190" s="92" t="str">
        <f aca="false">IF(A190="","",IF(Dashboard!$L$5="","",INT((A190-Dashboard!$L$5)/7)+1))</f>
        <v/>
      </c>
      <c r="C190" s="67"/>
      <c r="D190" s="67"/>
      <c r="E190" s="67"/>
      <c r="F190" s="67"/>
      <c r="G190" s="67"/>
      <c r="H190" s="67"/>
      <c r="I190" s="90"/>
      <c r="J190" s="58"/>
      <c r="K190" s="58"/>
    </row>
    <row r="191" customFormat="false" ht="15" hidden="false" customHeight="false" outlineLevel="0" collapsed="false">
      <c r="A191" s="56"/>
      <c r="B191" s="92" t="str">
        <f aca="false">IF(A191="","",IF(Dashboard!$L$5="","",INT((A191-Dashboard!$L$5)/7)+1))</f>
        <v/>
      </c>
      <c r="C191" s="67"/>
      <c r="D191" s="67"/>
      <c r="E191" s="67"/>
      <c r="F191" s="67"/>
      <c r="G191" s="67"/>
      <c r="H191" s="67"/>
      <c r="I191" s="90"/>
      <c r="J191" s="58"/>
      <c r="K191" s="58"/>
    </row>
    <row r="192" customFormat="false" ht="15" hidden="false" customHeight="false" outlineLevel="0" collapsed="false">
      <c r="A192" s="56"/>
      <c r="B192" s="92" t="str">
        <f aca="false">IF(A192="","",IF(Dashboard!$L$5="","",INT((A192-Dashboard!$L$5)/7)+1))</f>
        <v/>
      </c>
      <c r="C192" s="67"/>
      <c r="D192" s="67"/>
      <c r="E192" s="67"/>
      <c r="F192" s="67"/>
      <c r="G192" s="67"/>
      <c r="H192" s="67"/>
      <c r="I192" s="90"/>
      <c r="J192" s="58"/>
      <c r="K192" s="58"/>
    </row>
    <row r="193" customFormat="false" ht="15" hidden="false" customHeight="false" outlineLevel="0" collapsed="false">
      <c r="A193" s="56"/>
      <c r="B193" s="92" t="str">
        <f aca="false">IF(A193="","",IF(Dashboard!$L$5="","",INT((A193-Dashboard!$L$5)/7)+1))</f>
        <v/>
      </c>
      <c r="C193" s="67"/>
      <c r="D193" s="67"/>
      <c r="E193" s="67"/>
      <c r="F193" s="67"/>
      <c r="G193" s="67"/>
      <c r="H193" s="67"/>
      <c r="I193" s="90"/>
      <c r="J193" s="58"/>
      <c r="K193" s="58"/>
    </row>
    <row r="194" customFormat="false" ht="15" hidden="false" customHeight="false" outlineLevel="0" collapsed="false">
      <c r="A194" s="56"/>
      <c r="B194" s="92" t="str">
        <f aca="false">IF(A194="","",IF(Dashboard!$L$5="","",INT((A194-Dashboard!$L$5)/7)+1))</f>
        <v/>
      </c>
      <c r="C194" s="67"/>
      <c r="D194" s="67"/>
      <c r="E194" s="67"/>
      <c r="F194" s="67"/>
      <c r="G194" s="67"/>
      <c r="H194" s="67"/>
      <c r="I194" s="90"/>
      <c r="J194" s="58"/>
      <c r="K194" s="58"/>
    </row>
    <row r="195" customFormat="false" ht="15" hidden="false" customHeight="false" outlineLevel="0" collapsed="false">
      <c r="A195" s="56"/>
      <c r="B195" s="92" t="str">
        <f aca="false">IF(A195="","",IF(Dashboard!$L$5="","",INT((A195-Dashboard!$L$5)/7)+1))</f>
        <v/>
      </c>
      <c r="C195" s="67"/>
      <c r="D195" s="67"/>
      <c r="E195" s="67"/>
      <c r="F195" s="67"/>
      <c r="G195" s="67"/>
      <c r="H195" s="67"/>
      <c r="I195" s="90"/>
      <c r="J195" s="58"/>
      <c r="K195" s="58"/>
    </row>
    <row r="196" customFormat="false" ht="15" hidden="false" customHeight="false" outlineLevel="0" collapsed="false">
      <c r="A196" s="56"/>
      <c r="B196" s="92" t="str">
        <f aca="false">IF(A196="","",IF(Dashboard!$L$5="","",INT((A196-Dashboard!$L$5)/7)+1))</f>
        <v/>
      </c>
      <c r="C196" s="67"/>
      <c r="D196" s="67"/>
      <c r="E196" s="67"/>
      <c r="F196" s="67"/>
      <c r="G196" s="67"/>
      <c r="H196" s="67"/>
      <c r="I196" s="90"/>
      <c r="J196" s="58"/>
      <c r="K196" s="58"/>
    </row>
    <row r="197" customFormat="false" ht="15" hidden="false" customHeight="false" outlineLevel="0" collapsed="false">
      <c r="A197" s="56"/>
      <c r="B197" s="92" t="str">
        <f aca="false">IF(A197="","",IF(Dashboard!$L$5="","",INT((A197-Dashboard!$L$5)/7)+1))</f>
        <v/>
      </c>
      <c r="C197" s="67"/>
      <c r="D197" s="67"/>
      <c r="E197" s="67"/>
      <c r="F197" s="67"/>
      <c r="G197" s="67"/>
      <c r="H197" s="67"/>
      <c r="I197" s="90"/>
      <c r="J197" s="58"/>
      <c r="K197" s="58"/>
    </row>
    <row r="198" customFormat="false" ht="15" hidden="false" customHeight="false" outlineLevel="0" collapsed="false">
      <c r="A198" s="56"/>
      <c r="B198" s="92" t="str">
        <f aca="false">IF(A198="","",IF(Dashboard!$L$5="","",INT((A198-Dashboard!$L$5)/7)+1))</f>
        <v/>
      </c>
      <c r="C198" s="67"/>
      <c r="D198" s="67"/>
      <c r="E198" s="67"/>
      <c r="F198" s="67"/>
      <c r="G198" s="67"/>
      <c r="H198" s="67"/>
      <c r="I198" s="90"/>
      <c r="J198" s="58"/>
      <c r="K198" s="58"/>
    </row>
    <row r="199" customFormat="false" ht="15" hidden="false" customHeight="false" outlineLevel="0" collapsed="false">
      <c r="A199" s="56"/>
      <c r="B199" s="92" t="str">
        <f aca="false">IF(A199="","",IF(Dashboard!$L$5="","",INT((A199-Dashboard!$L$5)/7)+1))</f>
        <v/>
      </c>
      <c r="C199" s="67"/>
      <c r="D199" s="67"/>
      <c r="E199" s="67"/>
      <c r="F199" s="67"/>
      <c r="G199" s="67"/>
      <c r="H199" s="67"/>
      <c r="I199" s="90"/>
      <c r="J199" s="58"/>
      <c r="K199" s="58"/>
    </row>
    <row r="200" customFormat="false" ht="15" hidden="false" customHeight="false" outlineLevel="0" collapsed="false">
      <c r="A200" s="56"/>
      <c r="B200" s="92" t="str">
        <f aca="false">IF(A200="","",IF(Dashboard!$L$5="","",INT((A200-Dashboard!$L$5)/7)+1))</f>
        <v/>
      </c>
      <c r="C200" s="67"/>
      <c r="D200" s="67"/>
      <c r="E200" s="67"/>
      <c r="F200" s="67"/>
      <c r="G200" s="67"/>
      <c r="H200" s="67"/>
      <c r="I200" s="90"/>
      <c r="J200" s="58"/>
      <c r="K200" s="58"/>
    </row>
    <row r="201" customFormat="false" ht="15" hidden="false" customHeight="false" outlineLevel="0" collapsed="false">
      <c r="A201" s="56"/>
      <c r="B201" s="92" t="str">
        <f aca="false">IF(A201="","",IF(Dashboard!$L$5="","",INT((A201-Dashboard!$L$5)/7)+1))</f>
        <v/>
      </c>
      <c r="C201" s="67"/>
      <c r="D201" s="67"/>
      <c r="E201" s="67"/>
      <c r="F201" s="67"/>
      <c r="G201" s="67"/>
      <c r="H201" s="67"/>
      <c r="I201" s="90"/>
      <c r="J201" s="58"/>
      <c r="K201" s="58"/>
    </row>
    <row r="202" customFormat="false" ht="15" hidden="false" customHeight="false" outlineLevel="0" collapsed="false">
      <c r="A202" s="56"/>
      <c r="B202" s="92" t="str">
        <f aca="false">IF(A202="","",IF(Dashboard!$L$5="","",INT((A202-Dashboard!$L$5)/7)+1))</f>
        <v/>
      </c>
      <c r="C202" s="67"/>
      <c r="D202" s="67"/>
      <c r="E202" s="67"/>
      <c r="F202" s="67"/>
      <c r="G202" s="67"/>
      <c r="H202" s="67"/>
      <c r="I202" s="90"/>
      <c r="J202" s="58"/>
      <c r="K202" s="58"/>
    </row>
    <row r="203" customFormat="false" ht="15" hidden="false" customHeight="false" outlineLevel="0" collapsed="false">
      <c r="A203" s="56"/>
      <c r="B203" s="92" t="str">
        <f aca="false">IF(A203="","",IF(Dashboard!$L$5="","",INT((A203-Dashboard!$L$5)/7)+1))</f>
        <v/>
      </c>
      <c r="C203" s="67"/>
      <c r="D203" s="67"/>
      <c r="E203" s="67"/>
      <c r="F203" s="67"/>
      <c r="G203" s="67"/>
      <c r="H203" s="67"/>
      <c r="I203" s="90"/>
      <c r="J203" s="58"/>
      <c r="K203" s="58"/>
    </row>
    <row r="204" customFormat="false" ht="15" hidden="false" customHeight="false" outlineLevel="0" collapsed="false">
      <c r="A204" s="56"/>
      <c r="B204" s="92" t="str">
        <f aca="false">IF(A204="","",IF(Dashboard!$L$5="","",INT((A204-Dashboard!$L$5)/7)+1))</f>
        <v/>
      </c>
      <c r="C204" s="67"/>
      <c r="D204" s="67"/>
      <c r="E204" s="67"/>
      <c r="F204" s="67"/>
      <c r="G204" s="67"/>
      <c r="H204" s="67"/>
      <c r="I204" s="90"/>
      <c r="J204" s="58"/>
      <c r="K204" s="58"/>
    </row>
    <row r="205" customFormat="false" ht="15" hidden="false" customHeight="false" outlineLevel="0" collapsed="false">
      <c r="A205" s="56"/>
      <c r="B205" s="92" t="str">
        <f aca="false">IF(A205="","",IF(Dashboard!$L$5="","",INT((A205-Dashboard!$L$5)/7)+1))</f>
        <v/>
      </c>
      <c r="C205" s="67"/>
      <c r="D205" s="67"/>
      <c r="E205" s="67"/>
      <c r="F205" s="67"/>
      <c r="G205" s="67"/>
      <c r="H205" s="67"/>
      <c r="I205" s="90"/>
      <c r="J205" s="58"/>
      <c r="K205" s="58"/>
    </row>
    <row r="206" customFormat="false" ht="15" hidden="false" customHeight="false" outlineLevel="0" collapsed="false">
      <c r="A206" s="56"/>
      <c r="B206" s="92" t="str">
        <f aca="false">IF(A206="","",IF(Dashboard!$L$5="","",INT((A206-Dashboard!$L$5)/7)+1))</f>
        <v/>
      </c>
      <c r="C206" s="67"/>
      <c r="D206" s="67"/>
      <c r="E206" s="67"/>
      <c r="F206" s="67"/>
      <c r="G206" s="67"/>
      <c r="H206" s="67"/>
      <c r="I206" s="90"/>
      <c r="J206" s="58"/>
      <c r="K206" s="58"/>
    </row>
    <row r="207" customFormat="false" ht="15" hidden="false" customHeight="false" outlineLevel="0" collapsed="false">
      <c r="A207" s="56"/>
      <c r="B207" s="92" t="str">
        <f aca="false">IF(A207="","",IF(Dashboard!$L$5="","",INT((A207-Dashboard!$L$5)/7)+1))</f>
        <v/>
      </c>
      <c r="C207" s="67"/>
      <c r="D207" s="67"/>
      <c r="E207" s="67"/>
      <c r="F207" s="67"/>
      <c r="G207" s="67"/>
      <c r="H207" s="67"/>
      <c r="I207" s="90"/>
      <c r="J207" s="58"/>
      <c r="K207" s="58"/>
    </row>
    <row r="208" customFormat="false" ht="15" hidden="false" customHeight="false" outlineLevel="0" collapsed="false">
      <c r="A208" s="56"/>
      <c r="B208" s="92" t="str">
        <f aca="false">IF(A208="","",IF(Dashboard!$L$5="","",INT((A208-Dashboard!$L$5)/7)+1))</f>
        <v/>
      </c>
      <c r="C208" s="67"/>
      <c r="D208" s="67"/>
      <c r="E208" s="67"/>
      <c r="F208" s="67"/>
      <c r="G208" s="67"/>
      <c r="H208" s="67"/>
      <c r="I208" s="90"/>
      <c r="J208" s="58"/>
      <c r="K208" s="58"/>
    </row>
    <row r="209" customFormat="false" ht="15" hidden="false" customHeight="false" outlineLevel="0" collapsed="false">
      <c r="A209" s="56"/>
      <c r="B209" s="92" t="str">
        <f aca="false">IF(A209="","",IF(Dashboard!$L$5="","",INT((A209-Dashboard!$L$5)/7)+1))</f>
        <v/>
      </c>
      <c r="C209" s="67"/>
      <c r="D209" s="67"/>
      <c r="E209" s="67"/>
      <c r="F209" s="67"/>
      <c r="G209" s="67"/>
      <c r="H209" s="67"/>
      <c r="I209" s="90"/>
      <c r="J209" s="58"/>
      <c r="K209" s="58"/>
    </row>
    <row r="210" customFormat="false" ht="15" hidden="false" customHeight="false" outlineLevel="0" collapsed="false">
      <c r="A210" s="56"/>
      <c r="B210" s="92" t="str">
        <f aca="false">IF(A210="","",IF(Dashboard!$L$5="","",INT((A210-Dashboard!$L$5)/7)+1))</f>
        <v/>
      </c>
      <c r="C210" s="67"/>
      <c r="D210" s="67"/>
      <c r="E210" s="67"/>
      <c r="F210" s="67"/>
      <c r="G210" s="67"/>
      <c r="H210" s="67"/>
      <c r="I210" s="90"/>
      <c r="J210" s="58"/>
      <c r="K210" s="58"/>
    </row>
    <row r="211" customFormat="false" ht="15" hidden="false" customHeight="false" outlineLevel="0" collapsed="false">
      <c r="A211" s="56"/>
      <c r="B211" s="92" t="str">
        <f aca="false">IF(A211="","",IF(Dashboard!$L$5="","",INT((A211-Dashboard!$L$5)/7)+1))</f>
        <v/>
      </c>
      <c r="C211" s="67"/>
      <c r="D211" s="67"/>
      <c r="E211" s="67"/>
      <c r="F211" s="67"/>
      <c r="G211" s="67"/>
      <c r="H211" s="67"/>
      <c r="I211" s="90"/>
      <c r="J211" s="58"/>
      <c r="K211" s="58"/>
    </row>
    <row r="212" customFormat="false" ht="15" hidden="false" customHeight="false" outlineLevel="0" collapsed="false">
      <c r="A212" s="56"/>
      <c r="B212" s="92" t="str">
        <f aca="false">IF(A212="","",IF(Dashboard!$L$5="","",INT((A212-Dashboard!$L$5)/7)+1))</f>
        <v/>
      </c>
      <c r="C212" s="67"/>
      <c r="D212" s="67"/>
      <c r="E212" s="67"/>
      <c r="F212" s="67"/>
      <c r="G212" s="67"/>
      <c r="H212" s="67"/>
      <c r="I212" s="90"/>
      <c r="J212" s="58"/>
      <c r="K212" s="58"/>
    </row>
    <row r="213" customFormat="false" ht="15" hidden="false" customHeight="false" outlineLevel="0" collapsed="false">
      <c r="A213" s="56"/>
      <c r="B213" s="92" t="str">
        <f aca="false">IF(A213="","",IF(Dashboard!$L$5="","",INT((A213-Dashboard!$L$5)/7)+1))</f>
        <v/>
      </c>
      <c r="C213" s="67"/>
      <c r="D213" s="67"/>
      <c r="E213" s="67"/>
      <c r="F213" s="67"/>
      <c r="G213" s="67"/>
      <c r="H213" s="67"/>
      <c r="I213" s="90"/>
      <c r="J213" s="58"/>
      <c r="K213" s="58"/>
    </row>
    <row r="214" customFormat="false" ht="15" hidden="false" customHeight="false" outlineLevel="0" collapsed="false">
      <c r="A214" s="56"/>
      <c r="B214" s="92" t="str">
        <f aca="false">IF(A214="","",IF(Dashboard!$L$5="","",INT((A214-Dashboard!$L$5)/7)+1))</f>
        <v/>
      </c>
      <c r="C214" s="67"/>
      <c r="D214" s="67"/>
      <c r="E214" s="67"/>
      <c r="F214" s="67"/>
      <c r="G214" s="67"/>
      <c r="H214" s="67"/>
      <c r="I214" s="90"/>
      <c r="J214" s="58"/>
      <c r="K214" s="58"/>
    </row>
    <row r="215" customFormat="false" ht="15" hidden="false" customHeight="false" outlineLevel="0" collapsed="false">
      <c r="A215" s="56"/>
      <c r="B215" s="92" t="str">
        <f aca="false">IF(A215="","",IF(Dashboard!$L$5="","",INT((A215-Dashboard!$L$5)/7)+1))</f>
        <v/>
      </c>
      <c r="C215" s="67"/>
      <c r="D215" s="67"/>
      <c r="E215" s="67"/>
      <c r="F215" s="67"/>
      <c r="G215" s="67"/>
      <c r="H215" s="67"/>
      <c r="I215" s="90"/>
      <c r="J215" s="58"/>
      <c r="K215" s="58"/>
    </row>
    <row r="216" customFormat="false" ht="15" hidden="false" customHeight="false" outlineLevel="0" collapsed="false">
      <c r="A216" s="56"/>
      <c r="B216" s="92" t="str">
        <f aca="false">IF(A216="","",IF(Dashboard!$L$5="","",INT((A216-Dashboard!$L$5)/7)+1))</f>
        <v/>
      </c>
      <c r="C216" s="67"/>
      <c r="D216" s="67"/>
      <c r="E216" s="67"/>
      <c r="F216" s="67"/>
      <c r="G216" s="67"/>
      <c r="H216" s="67"/>
      <c r="I216" s="90"/>
      <c r="J216" s="58"/>
      <c r="K216" s="58"/>
    </row>
    <row r="217" customFormat="false" ht="15" hidden="false" customHeight="false" outlineLevel="0" collapsed="false">
      <c r="A217" s="56"/>
      <c r="B217" s="92" t="str">
        <f aca="false">IF(A217="","",IF(Dashboard!$L$5="","",INT((A217-Dashboard!$L$5)/7)+1))</f>
        <v/>
      </c>
      <c r="C217" s="67"/>
      <c r="D217" s="67"/>
      <c r="E217" s="67"/>
      <c r="F217" s="67"/>
      <c r="G217" s="67"/>
      <c r="H217" s="67"/>
      <c r="I217" s="90"/>
      <c r="J217" s="58"/>
      <c r="K217" s="58"/>
    </row>
    <row r="218" customFormat="false" ht="15" hidden="false" customHeight="false" outlineLevel="0" collapsed="false">
      <c r="A218" s="56"/>
      <c r="B218" s="92" t="str">
        <f aca="false">IF(A218="","",IF(Dashboard!$L$5="","",INT((A218-Dashboard!$L$5)/7)+1))</f>
        <v/>
      </c>
      <c r="C218" s="67"/>
      <c r="D218" s="67"/>
      <c r="E218" s="67"/>
      <c r="F218" s="67"/>
      <c r="G218" s="67"/>
      <c r="H218" s="67"/>
      <c r="I218" s="90"/>
      <c r="J218" s="58"/>
      <c r="K218" s="58"/>
    </row>
    <row r="219" customFormat="false" ht="15" hidden="false" customHeight="false" outlineLevel="0" collapsed="false">
      <c r="A219" s="56"/>
      <c r="B219" s="92" t="str">
        <f aca="false">IF(A219="","",IF(Dashboard!$L$5="","",INT((A219-Dashboard!$L$5)/7)+1))</f>
        <v/>
      </c>
      <c r="C219" s="67"/>
      <c r="D219" s="67"/>
      <c r="E219" s="67"/>
      <c r="F219" s="67"/>
      <c r="G219" s="67"/>
      <c r="H219" s="67"/>
      <c r="I219" s="90"/>
      <c r="J219" s="58"/>
      <c r="K219" s="58"/>
    </row>
    <row r="220" customFormat="false" ht="15" hidden="false" customHeight="false" outlineLevel="0" collapsed="false">
      <c r="A220" s="56"/>
      <c r="B220" s="92" t="str">
        <f aca="false">IF(A220="","",IF(Dashboard!$L$5="","",INT((A220-Dashboard!$L$5)/7)+1))</f>
        <v/>
      </c>
      <c r="C220" s="67"/>
      <c r="D220" s="67"/>
      <c r="E220" s="67"/>
      <c r="F220" s="67"/>
      <c r="G220" s="67"/>
      <c r="H220" s="67"/>
      <c r="I220" s="90"/>
      <c r="J220" s="58"/>
      <c r="K220" s="58"/>
    </row>
    <row r="221" customFormat="false" ht="15" hidden="false" customHeight="false" outlineLevel="0" collapsed="false">
      <c r="A221" s="56"/>
      <c r="B221" s="92" t="str">
        <f aca="false">IF(A221="","",IF(Dashboard!$L$5="","",INT((A221-Dashboard!$L$5)/7)+1))</f>
        <v/>
      </c>
      <c r="C221" s="67"/>
      <c r="D221" s="67"/>
      <c r="E221" s="67"/>
      <c r="F221" s="67"/>
      <c r="G221" s="67"/>
      <c r="H221" s="67"/>
      <c r="I221" s="90"/>
      <c r="J221" s="58"/>
      <c r="K221" s="58"/>
    </row>
    <row r="222" customFormat="false" ht="15" hidden="false" customHeight="false" outlineLevel="0" collapsed="false">
      <c r="A222" s="56"/>
      <c r="B222" s="92" t="str">
        <f aca="false">IF(A222="","",IF(Dashboard!$L$5="","",INT((A222-Dashboard!$L$5)/7)+1))</f>
        <v/>
      </c>
      <c r="C222" s="67"/>
      <c r="D222" s="67"/>
      <c r="E222" s="67"/>
      <c r="F222" s="67"/>
      <c r="G222" s="67"/>
      <c r="H222" s="67"/>
      <c r="I222" s="90"/>
      <c r="J222" s="58"/>
      <c r="K222" s="58"/>
    </row>
    <row r="223" customFormat="false" ht="15" hidden="false" customHeight="false" outlineLevel="0" collapsed="false">
      <c r="A223" s="56"/>
      <c r="B223" s="92" t="str">
        <f aca="false">IF(A223="","",IF(Dashboard!$L$5="","",INT((A223-Dashboard!$L$5)/7)+1))</f>
        <v/>
      </c>
      <c r="C223" s="67"/>
      <c r="D223" s="67"/>
      <c r="E223" s="67"/>
      <c r="F223" s="67"/>
      <c r="G223" s="67"/>
      <c r="H223" s="67"/>
      <c r="I223" s="90"/>
      <c r="J223" s="58"/>
      <c r="K223" s="58"/>
    </row>
    <row r="224" customFormat="false" ht="15" hidden="false" customHeight="false" outlineLevel="0" collapsed="false">
      <c r="A224" s="56"/>
      <c r="B224" s="92" t="str">
        <f aca="false">IF(A224="","",IF(Dashboard!$L$5="","",INT((A224-Dashboard!$L$5)/7)+1))</f>
        <v/>
      </c>
      <c r="C224" s="67"/>
      <c r="D224" s="67"/>
      <c r="E224" s="67"/>
      <c r="F224" s="67"/>
      <c r="G224" s="67"/>
      <c r="H224" s="67"/>
      <c r="I224" s="90"/>
      <c r="J224" s="58"/>
      <c r="K224" s="58"/>
    </row>
    <row r="225" customFormat="false" ht="15" hidden="false" customHeight="false" outlineLevel="0" collapsed="false">
      <c r="A225" s="56"/>
      <c r="B225" s="92" t="str">
        <f aca="false">IF(A225="","",IF(Dashboard!$L$5="","",INT((A225-Dashboard!$L$5)/7)+1))</f>
        <v/>
      </c>
      <c r="C225" s="67"/>
      <c r="D225" s="67"/>
      <c r="E225" s="67"/>
      <c r="F225" s="67"/>
      <c r="G225" s="67"/>
      <c r="H225" s="67"/>
      <c r="I225" s="90"/>
      <c r="J225" s="58"/>
      <c r="K225" s="58"/>
    </row>
    <row r="226" customFormat="false" ht="15" hidden="false" customHeight="false" outlineLevel="0" collapsed="false">
      <c r="A226" s="56"/>
      <c r="B226" s="92" t="str">
        <f aca="false">IF(A226="","",IF(Dashboard!$L$5="","",INT((A226-Dashboard!$L$5)/7)+1))</f>
        <v/>
      </c>
      <c r="C226" s="67"/>
      <c r="D226" s="67"/>
      <c r="E226" s="67"/>
      <c r="F226" s="67"/>
      <c r="G226" s="67"/>
      <c r="H226" s="67"/>
      <c r="I226" s="90"/>
      <c r="J226" s="58"/>
      <c r="K226" s="58"/>
    </row>
    <row r="227" customFormat="false" ht="15" hidden="false" customHeight="false" outlineLevel="0" collapsed="false">
      <c r="A227" s="56"/>
      <c r="B227" s="92" t="str">
        <f aca="false">IF(A227="","",IF(Dashboard!$L$5="","",INT((A227-Dashboard!$L$5)/7)+1))</f>
        <v/>
      </c>
      <c r="C227" s="67"/>
      <c r="D227" s="67"/>
      <c r="E227" s="67"/>
      <c r="F227" s="67"/>
      <c r="G227" s="67"/>
      <c r="H227" s="67"/>
      <c r="I227" s="90"/>
      <c r="J227" s="58"/>
      <c r="K227" s="58"/>
    </row>
    <row r="228" customFormat="false" ht="15" hidden="false" customHeight="false" outlineLevel="0" collapsed="false">
      <c r="A228" s="56"/>
      <c r="B228" s="92" t="str">
        <f aca="false">IF(A228="","",IF(Dashboard!$L$5="","",INT((A228-Dashboard!$L$5)/7)+1))</f>
        <v/>
      </c>
      <c r="C228" s="67"/>
      <c r="D228" s="67"/>
      <c r="E228" s="67"/>
      <c r="F228" s="67"/>
      <c r="G228" s="67"/>
      <c r="H228" s="67"/>
      <c r="I228" s="90"/>
      <c r="J228" s="58"/>
      <c r="K228" s="58"/>
    </row>
    <row r="229" customFormat="false" ht="15" hidden="false" customHeight="false" outlineLevel="0" collapsed="false">
      <c r="A229" s="56"/>
      <c r="B229" s="92" t="str">
        <f aca="false">IF(A229="","",IF(Dashboard!$L$5="","",INT((A229-Dashboard!$L$5)/7)+1))</f>
        <v/>
      </c>
      <c r="C229" s="67"/>
      <c r="D229" s="67"/>
      <c r="E229" s="67"/>
      <c r="F229" s="67"/>
      <c r="G229" s="67"/>
      <c r="H229" s="67"/>
      <c r="I229" s="90"/>
      <c r="J229" s="58"/>
      <c r="K229" s="58"/>
    </row>
    <row r="230" customFormat="false" ht="15" hidden="false" customHeight="false" outlineLevel="0" collapsed="false">
      <c r="A230" s="56"/>
      <c r="B230" s="92" t="str">
        <f aca="false">IF(A230="","",IF(Dashboard!$L$5="","",INT((A230-Dashboard!$L$5)/7)+1))</f>
        <v/>
      </c>
      <c r="C230" s="67"/>
      <c r="D230" s="67"/>
      <c r="E230" s="67"/>
      <c r="F230" s="67"/>
      <c r="G230" s="67"/>
      <c r="H230" s="67"/>
      <c r="I230" s="90"/>
      <c r="J230" s="58"/>
      <c r="K230" s="58"/>
    </row>
    <row r="231" customFormat="false" ht="15" hidden="false" customHeight="false" outlineLevel="0" collapsed="false">
      <c r="A231" s="56"/>
      <c r="B231" s="92" t="str">
        <f aca="false">IF(A231="","",IF(Dashboard!$L$5="","",INT((A231-Dashboard!$L$5)/7)+1))</f>
        <v/>
      </c>
      <c r="C231" s="67"/>
      <c r="D231" s="67"/>
      <c r="E231" s="67"/>
      <c r="F231" s="67"/>
      <c r="G231" s="67"/>
      <c r="H231" s="67"/>
      <c r="I231" s="90"/>
      <c r="J231" s="58"/>
      <c r="K231" s="58"/>
    </row>
    <row r="232" customFormat="false" ht="15" hidden="false" customHeight="false" outlineLevel="0" collapsed="false">
      <c r="A232" s="56"/>
      <c r="B232" s="92" t="str">
        <f aca="false">IF(A232="","",IF(Dashboard!$L$5="","",INT((A232-Dashboard!$L$5)/7)+1))</f>
        <v/>
      </c>
      <c r="C232" s="67"/>
      <c r="D232" s="67"/>
      <c r="E232" s="67"/>
      <c r="F232" s="67"/>
      <c r="G232" s="67"/>
      <c r="H232" s="67"/>
      <c r="I232" s="90"/>
      <c r="J232" s="58"/>
      <c r="K232" s="58"/>
    </row>
    <row r="233" customFormat="false" ht="15" hidden="false" customHeight="false" outlineLevel="0" collapsed="false">
      <c r="A233" s="56"/>
      <c r="B233" s="92" t="str">
        <f aca="false">IF(A233="","",IF(Dashboard!$L$5="","",INT((A233-Dashboard!$L$5)/7)+1))</f>
        <v/>
      </c>
      <c r="C233" s="67"/>
      <c r="D233" s="67"/>
      <c r="E233" s="67"/>
      <c r="F233" s="67"/>
      <c r="G233" s="67"/>
      <c r="H233" s="67"/>
      <c r="I233" s="90"/>
      <c r="J233" s="58"/>
      <c r="K233" s="58"/>
    </row>
    <row r="234" customFormat="false" ht="15" hidden="false" customHeight="false" outlineLevel="0" collapsed="false">
      <c r="A234" s="56"/>
      <c r="B234" s="92" t="str">
        <f aca="false">IF(A234="","",IF(Dashboard!$L$5="","",INT((A234-Dashboard!$L$5)/7)+1))</f>
        <v/>
      </c>
      <c r="C234" s="67"/>
      <c r="D234" s="67"/>
      <c r="E234" s="67"/>
      <c r="F234" s="67"/>
      <c r="G234" s="67"/>
      <c r="H234" s="67"/>
      <c r="I234" s="90"/>
      <c r="J234" s="58"/>
      <c r="K234" s="58"/>
    </row>
    <row r="235" customFormat="false" ht="15" hidden="false" customHeight="false" outlineLevel="0" collapsed="false">
      <c r="A235" s="56"/>
      <c r="B235" s="92" t="str">
        <f aca="false">IF(A235="","",IF(Dashboard!$L$5="","",INT((A235-Dashboard!$L$5)/7)+1))</f>
        <v/>
      </c>
      <c r="C235" s="67"/>
      <c r="D235" s="67"/>
      <c r="E235" s="67"/>
      <c r="F235" s="67"/>
      <c r="G235" s="67"/>
      <c r="H235" s="67"/>
      <c r="I235" s="90"/>
      <c r="J235" s="58"/>
      <c r="K235" s="58"/>
    </row>
    <row r="236" customFormat="false" ht="15" hidden="false" customHeight="false" outlineLevel="0" collapsed="false">
      <c r="A236" s="56"/>
      <c r="B236" s="92" t="str">
        <f aca="false">IF(A236="","",IF(Dashboard!$L$5="","",INT((A236-Dashboard!$L$5)/7)+1))</f>
        <v/>
      </c>
      <c r="C236" s="67"/>
      <c r="D236" s="67"/>
      <c r="E236" s="67"/>
      <c r="F236" s="67"/>
      <c r="G236" s="67"/>
      <c r="H236" s="67"/>
      <c r="I236" s="90"/>
      <c r="J236" s="58"/>
      <c r="K236" s="58"/>
    </row>
    <row r="237" customFormat="false" ht="15" hidden="false" customHeight="false" outlineLevel="0" collapsed="false">
      <c r="A237" s="56"/>
      <c r="B237" s="92" t="str">
        <f aca="false">IF(A237="","",IF(Dashboard!$L$5="","",INT((A237-Dashboard!$L$5)/7)+1))</f>
        <v/>
      </c>
      <c r="C237" s="67"/>
      <c r="D237" s="67"/>
      <c r="E237" s="67"/>
      <c r="F237" s="67"/>
      <c r="G237" s="67"/>
      <c r="H237" s="67"/>
      <c r="I237" s="90"/>
      <c r="J237" s="58"/>
      <c r="K237" s="58"/>
    </row>
    <row r="238" customFormat="false" ht="15" hidden="false" customHeight="false" outlineLevel="0" collapsed="false">
      <c r="A238" s="56"/>
      <c r="B238" s="92" t="str">
        <f aca="false">IF(A238="","",IF(Dashboard!$L$5="","",INT((A238-Dashboard!$L$5)/7)+1))</f>
        <v/>
      </c>
      <c r="C238" s="67"/>
      <c r="D238" s="67"/>
      <c r="E238" s="67"/>
      <c r="F238" s="67"/>
      <c r="G238" s="67"/>
      <c r="H238" s="67"/>
      <c r="I238" s="90"/>
      <c r="J238" s="58"/>
      <c r="K238" s="58"/>
    </row>
    <row r="239" customFormat="false" ht="15" hidden="false" customHeight="false" outlineLevel="0" collapsed="false">
      <c r="A239" s="56"/>
      <c r="B239" s="92" t="str">
        <f aca="false">IF(A239="","",IF(Dashboard!$L$5="","",INT((A239-Dashboard!$L$5)/7)+1))</f>
        <v/>
      </c>
      <c r="C239" s="67"/>
      <c r="D239" s="67"/>
      <c r="E239" s="67"/>
      <c r="F239" s="67"/>
      <c r="G239" s="67"/>
      <c r="H239" s="67"/>
      <c r="I239" s="90"/>
      <c r="J239" s="58"/>
      <c r="K239" s="58"/>
    </row>
    <row r="240" customFormat="false" ht="15" hidden="false" customHeight="false" outlineLevel="0" collapsed="false">
      <c r="A240" s="56"/>
      <c r="B240" s="92" t="str">
        <f aca="false">IF(A240="","",IF(Dashboard!$L$5="","",INT((A240-Dashboard!$L$5)/7)+1))</f>
        <v/>
      </c>
      <c r="C240" s="67"/>
      <c r="D240" s="67"/>
      <c r="E240" s="67"/>
      <c r="F240" s="67"/>
      <c r="G240" s="67"/>
      <c r="H240" s="67"/>
      <c r="I240" s="90"/>
      <c r="J240" s="58"/>
      <c r="K240" s="58"/>
    </row>
    <row r="241" customFormat="false" ht="15" hidden="false" customHeight="false" outlineLevel="0" collapsed="false">
      <c r="A241" s="56"/>
      <c r="B241" s="92" t="str">
        <f aca="false">IF(A241="","",IF(Dashboard!$L$5="","",INT((A241-Dashboard!$L$5)/7)+1))</f>
        <v/>
      </c>
      <c r="C241" s="67"/>
      <c r="D241" s="67"/>
      <c r="E241" s="67"/>
      <c r="F241" s="67"/>
      <c r="G241" s="67"/>
      <c r="H241" s="67"/>
      <c r="I241" s="90"/>
      <c r="J241" s="58"/>
      <c r="K241" s="58"/>
    </row>
    <row r="242" customFormat="false" ht="15" hidden="false" customHeight="false" outlineLevel="0" collapsed="false">
      <c r="A242" s="56"/>
      <c r="B242" s="92" t="str">
        <f aca="false">IF(A242="","",IF(Dashboard!$L$5="","",INT((A242-Dashboard!$L$5)/7)+1))</f>
        <v/>
      </c>
      <c r="C242" s="67"/>
      <c r="D242" s="67"/>
      <c r="E242" s="67"/>
      <c r="F242" s="67"/>
      <c r="G242" s="67"/>
      <c r="H242" s="67"/>
      <c r="I242" s="90"/>
      <c r="J242" s="58"/>
      <c r="K242" s="58"/>
    </row>
    <row r="243" customFormat="false" ht="15" hidden="false" customHeight="false" outlineLevel="0" collapsed="false">
      <c r="A243" s="56"/>
      <c r="B243" s="92" t="str">
        <f aca="false">IF(A243="","",IF(Dashboard!$L$5="","",INT((A243-Dashboard!$L$5)/7)+1))</f>
        <v/>
      </c>
      <c r="C243" s="67"/>
      <c r="D243" s="67"/>
      <c r="E243" s="67"/>
      <c r="F243" s="67"/>
      <c r="G243" s="67"/>
      <c r="H243" s="67"/>
      <c r="I243" s="90"/>
      <c r="J243" s="58"/>
      <c r="K243" s="58"/>
    </row>
    <row r="244" customFormat="false" ht="15" hidden="false" customHeight="false" outlineLevel="0" collapsed="false">
      <c r="A244" s="56"/>
      <c r="B244" s="92" t="str">
        <f aca="false">IF(A244="","",IF(Dashboard!$L$5="","",INT((A244-Dashboard!$L$5)/7)+1))</f>
        <v/>
      </c>
      <c r="C244" s="67"/>
      <c r="D244" s="67"/>
      <c r="E244" s="67"/>
      <c r="F244" s="67"/>
      <c r="G244" s="67"/>
      <c r="H244" s="67"/>
      <c r="I244" s="90"/>
      <c r="J244" s="58"/>
      <c r="K244" s="58"/>
    </row>
    <row r="245" customFormat="false" ht="15" hidden="false" customHeight="false" outlineLevel="0" collapsed="false">
      <c r="A245" s="56"/>
      <c r="B245" s="92" t="str">
        <f aca="false">IF(A245="","",IF(Dashboard!$L$5="","",INT((A245-Dashboard!$L$5)/7)+1))</f>
        <v/>
      </c>
      <c r="C245" s="67"/>
      <c r="D245" s="67"/>
      <c r="E245" s="67"/>
      <c r="F245" s="67"/>
      <c r="G245" s="67"/>
      <c r="H245" s="67"/>
      <c r="I245" s="90"/>
      <c r="J245" s="58"/>
      <c r="K245" s="58"/>
    </row>
    <row r="246" customFormat="false" ht="15" hidden="false" customHeight="false" outlineLevel="0" collapsed="false">
      <c r="A246" s="56"/>
      <c r="B246" s="92" t="str">
        <f aca="false">IF(A246="","",IF(Dashboard!$L$5="","",INT((A246-Dashboard!$L$5)/7)+1))</f>
        <v/>
      </c>
      <c r="C246" s="67"/>
      <c r="D246" s="67"/>
      <c r="E246" s="67"/>
      <c r="F246" s="67"/>
      <c r="G246" s="67"/>
      <c r="H246" s="67"/>
      <c r="I246" s="90"/>
      <c r="J246" s="58"/>
      <c r="K246" s="58"/>
    </row>
    <row r="247" customFormat="false" ht="15" hidden="false" customHeight="false" outlineLevel="0" collapsed="false">
      <c r="A247" s="56"/>
      <c r="B247" s="92" t="str">
        <f aca="false">IF(A247="","",IF(Dashboard!$L$5="","",INT((A247-Dashboard!$L$5)/7)+1))</f>
        <v/>
      </c>
      <c r="C247" s="67"/>
      <c r="D247" s="67"/>
      <c r="E247" s="67"/>
      <c r="F247" s="67"/>
      <c r="G247" s="67"/>
      <c r="H247" s="67"/>
      <c r="I247" s="90"/>
      <c r="J247" s="58"/>
      <c r="K247" s="58"/>
    </row>
    <row r="248" customFormat="false" ht="15" hidden="false" customHeight="false" outlineLevel="0" collapsed="false">
      <c r="A248" s="56"/>
      <c r="B248" s="92" t="str">
        <f aca="false">IF(A248="","",IF(Dashboard!$L$5="","",INT((A248-Dashboard!$L$5)/7)+1))</f>
        <v/>
      </c>
      <c r="C248" s="67"/>
      <c r="D248" s="67"/>
      <c r="E248" s="67"/>
      <c r="F248" s="67"/>
      <c r="G248" s="67"/>
      <c r="H248" s="67"/>
      <c r="I248" s="90"/>
      <c r="J248" s="58"/>
      <c r="K248" s="58"/>
    </row>
    <row r="249" customFormat="false" ht="15" hidden="false" customHeight="false" outlineLevel="0" collapsed="false">
      <c r="A249" s="56"/>
      <c r="B249" s="92" t="str">
        <f aca="false">IF(A249="","",IF(Dashboard!$L$5="","",INT((A249-Dashboard!$L$5)/7)+1))</f>
        <v/>
      </c>
      <c r="C249" s="67"/>
      <c r="D249" s="67"/>
      <c r="E249" s="67"/>
      <c r="F249" s="67"/>
      <c r="G249" s="67"/>
      <c r="H249" s="67"/>
      <c r="I249" s="90"/>
      <c r="J249" s="58"/>
      <c r="K249" s="58"/>
    </row>
    <row r="250" customFormat="false" ht="15" hidden="false" customHeight="false" outlineLevel="0" collapsed="false">
      <c r="A250" s="56"/>
      <c r="B250" s="92" t="str">
        <f aca="false">IF(A250="","",IF(Dashboard!$L$5="","",INT((A250-Dashboard!$L$5)/7)+1))</f>
        <v/>
      </c>
      <c r="C250" s="67"/>
      <c r="D250" s="67"/>
      <c r="E250" s="67"/>
      <c r="F250" s="67"/>
      <c r="G250" s="67"/>
      <c r="H250" s="67"/>
      <c r="I250" s="90"/>
      <c r="J250" s="58"/>
      <c r="K250" s="58"/>
    </row>
    <row r="251" customFormat="false" ht="15" hidden="false" customHeight="false" outlineLevel="0" collapsed="false">
      <c r="A251" s="56"/>
      <c r="B251" s="92" t="str">
        <f aca="false">IF(A251="","",IF(Dashboard!$L$5="","",INT((A251-Dashboard!$L$5)/7)+1))</f>
        <v/>
      </c>
      <c r="C251" s="67"/>
      <c r="D251" s="67"/>
      <c r="E251" s="67"/>
      <c r="F251" s="67"/>
      <c r="G251" s="67"/>
      <c r="H251" s="67"/>
      <c r="I251" s="90"/>
      <c r="J251" s="58"/>
      <c r="K251" s="58"/>
    </row>
    <row r="252" customFormat="false" ht="15" hidden="false" customHeight="false" outlineLevel="0" collapsed="false">
      <c r="A252" s="56"/>
      <c r="B252" s="92" t="str">
        <f aca="false">IF(A252="","",IF(Dashboard!$L$5="","",INT((A252-Dashboard!$L$5)/7)+1))</f>
        <v/>
      </c>
      <c r="C252" s="67"/>
      <c r="D252" s="67"/>
      <c r="E252" s="67"/>
      <c r="F252" s="67"/>
      <c r="G252" s="67"/>
      <c r="H252" s="67"/>
      <c r="I252" s="90"/>
      <c r="J252" s="58"/>
      <c r="K252" s="58"/>
    </row>
    <row r="253" customFormat="false" ht="15" hidden="false" customHeight="false" outlineLevel="0" collapsed="false">
      <c r="A253" s="56"/>
      <c r="B253" s="92" t="str">
        <f aca="false">IF(A253="","",IF(Dashboard!$L$5="","",INT((A253-Dashboard!$L$5)/7)+1))</f>
        <v/>
      </c>
      <c r="C253" s="67"/>
      <c r="D253" s="67"/>
      <c r="E253" s="67"/>
      <c r="F253" s="67"/>
      <c r="G253" s="67"/>
      <c r="H253" s="67"/>
      <c r="I253" s="90"/>
      <c r="J253" s="58"/>
      <c r="K253" s="58"/>
    </row>
    <row r="254" customFormat="false" ht="15" hidden="false" customHeight="false" outlineLevel="0" collapsed="false">
      <c r="A254" s="56"/>
      <c r="B254" s="92" t="str">
        <f aca="false">IF(A254="","",IF(Dashboard!$L$5="","",INT((A254-Dashboard!$L$5)/7)+1))</f>
        <v/>
      </c>
      <c r="C254" s="67"/>
      <c r="D254" s="67"/>
      <c r="E254" s="67"/>
      <c r="F254" s="67"/>
      <c r="G254" s="67"/>
      <c r="H254" s="67"/>
      <c r="I254" s="90"/>
      <c r="J254" s="58"/>
      <c r="K254" s="58"/>
    </row>
    <row r="255" customFormat="false" ht="15" hidden="false" customHeight="false" outlineLevel="0" collapsed="false">
      <c r="A255" s="56"/>
      <c r="B255" s="92" t="str">
        <f aca="false">IF(A255="","",IF(Dashboard!$L$5="","",INT((A255-Dashboard!$L$5)/7)+1))</f>
        <v/>
      </c>
      <c r="C255" s="67"/>
      <c r="D255" s="67"/>
      <c r="E255" s="67"/>
      <c r="F255" s="67"/>
      <c r="G255" s="67"/>
      <c r="H255" s="67"/>
      <c r="I255" s="90"/>
      <c r="J255" s="58"/>
      <c r="K255" s="58"/>
    </row>
    <row r="256" customFormat="false" ht="15" hidden="false" customHeight="false" outlineLevel="0" collapsed="false">
      <c r="A256" s="56"/>
      <c r="B256" s="92" t="str">
        <f aca="false">IF(A256="","",IF(Dashboard!$L$5="","",INT((A256-Dashboard!$L$5)/7)+1))</f>
        <v/>
      </c>
      <c r="C256" s="67"/>
      <c r="D256" s="67"/>
      <c r="E256" s="67"/>
      <c r="F256" s="67"/>
      <c r="G256" s="67"/>
      <c r="H256" s="67"/>
      <c r="I256" s="90"/>
      <c r="J256" s="58"/>
      <c r="K256" s="58"/>
    </row>
    <row r="257" customFormat="false" ht="15" hidden="false" customHeight="false" outlineLevel="0" collapsed="false">
      <c r="A257" s="56"/>
      <c r="B257" s="92" t="str">
        <f aca="false">IF(A257="","",IF(Dashboard!$L$5="","",INT((A257-Dashboard!$L$5)/7)+1))</f>
        <v/>
      </c>
      <c r="C257" s="67"/>
      <c r="D257" s="67"/>
      <c r="E257" s="67"/>
      <c r="F257" s="67"/>
      <c r="G257" s="67"/>
      <c r="H257" s="67"/>
      <c r="I257" s="90"/>
      <c r="J257" s="58"/>
      <c r="K257" s="58"/>
    </row>
    <row r="258" customFormat="false" ht="15" hidden="false" customHeight="false" outlineLevel="0" collapsed="false">
      <c r="A258" s="56"/>
      <c r="B258" s="92" t="str">
        <f aca="false">IF(A258="","",IF(Dashboard!$L$5="","",INT((A258-Dashboard!$L$5)/7)+1))</f>
        <v/>
      </c>
      <c r="C258" s="67"/>
      <c r="D258" s="67"/>
      <c r="E258" s="67"/>
      <c r="F258" s="67"/>
      <c r="G258" s="67"/>
      <c r="H258" s="67"/>
      <c r="I258" s="90"/>
      <c r="J258" s="58"/>
      <c r="K258" s="58"/>
    </row>
    <row r="259" customFormat="false" ht="15" hidden="false" customHeight="false" outlineLevel="0" collapsed="false">
      <c r="A259" s="56"/>
      <c r="B259" s="92" t="str">
        <f aca="false">IF(A259="","",IF(Dashboard!$L$5="","",INT((A259-Dashboard!$L$5)/7)+1))</f>
        <v/>
      </c>
      <c r="C259" s="67"/>
      <c r="D259" s="67"/>
      <c r="E259" s="67"/>
      <c r="F259" s="67"/>
      <c r="G259" s="67"/>
      <c r="H259" s="67"/>
      <c r="I259" s="90"/>
      <c r="J259" s="58"/>
      <c r="K259" s="58"/>
    </row>
    <row r="260" customFormat="false" ht="15" hidden="false" customHeight="false" outlineLevel="0" collapsed="false">
      <c r="A260" s="56"/>
      <c r="B260" s="92" t="str">
        <f aca="false">IF(A260="","",IF(Dashboard!$L$5="","",INT((A260-Dashboard!$L$5)/7)+1))</f>
        <v/>
      </c>
      <c r="C260" s="67"/>
      <c r="D260" s="67"/>
      <c r="E260" s="67"/>
      <c r="F260" s="67"/>
      <c r="G260" s="67"/>
      <c r="H260" s="67"/>
      <c r="I260" s="90"/>
      <c r="J260" s="58"/>
      <c r="K260" s="58"/>
    </row>
    <row r="261" customFormat="false" ht="15" hidden="false" customHeight="false" outlineLevel="0" collapsed="false">
      <c r="A261" s="56"/>
      <c r="B261" s="92" t="str">
        <f aca="false">IF(A261="","",IF(Dashboard!$L$5="","",INT((A261-Dashboard!$L$5)/7)+1))</f>
        <v/>
      </c>
      <c r="C261" s="67"/>
      <c r="D261" s="67"/>
      <c r="E261" s="67"/>
      <c r="F261" s="67"/>
      <c r="G261" s="67"/>
      <c r="H261" s="67"/>
      <c r="I261" s="90"/>
      <c r="J261" s="58"/>
      <c r="K261" s="58"/>
    </row>
    <row r="262" customFormat="false" ht="15" hidden="false" customHeight="false" outlineLevel="0" collapsed="false">
      <c r="A262" s="56"/>
      <c r="B262" s="92" t="str">
        <f aca="false">IF(A262="","",IF(Dashboard!$L$5="","",INT((A262-Dashboard!$L$5)/7)+1))</f>
        <v/>
      </c>
      <c r="C262" s="67"/>
      <c r="D262" s="67"/>
      <c r="E262" s="67"/>
      <c r="F262" s="67"/>
      <c r="G262" s="67"/>
      <c r="H262" s="67"/>
      <c r="I262" s="90"/>
      <c r="J262" s="58"/>
      <c r="K262" s="58"/>
    </row>
    <row r="263" customFormat="false" ht="15" hidden="false" customHeight="false" outlineLevel="0" collapsed="false">
      <c r="A263" s="56"/>
      <c r="B263" s="92" t="str">
        <f aca="false">IF(A263="","",IF(Dashboard!$L$5="","",INT((A263-Dashboard!$L$5)/7)+1))</f>
        <v/>
      </c>
      <c r="C263" s="67"/>
      <c r="D263" s="67"/>
      <c r="E263" s="67"/>
      <c r="F263" s="67"/>
      <c r="G263" s="67"/>
      <c r="H263" s="67"/>
      <c r="I263" s="90"/>
      <c r="J263" s="58"/>
      <c r="K263" s="58"/>
    </row>
    <row r="264" customFormat="false" ht="15" hidden="false" customHeight="false" outlineLevel="0" collapsed="false">
      <c r="A264" s="56"/>
      <c r="B264" s="92" t="str">
        <f aca="false">IF(A264="","",IF(Dashboard!$L$5="","",INT((A264-Dashboard!$L$5)/7)+1))</f>
        <v/>
      </c>
      <c r="C264" s="67"/>
      <c r="D264" s="67"/>
      <c r="E264" s="67"/>
      <c r="F264" s="67"/>
      <c r="G264" s="67"/>
      <c r="H264" s="67"/>
      <c r="I264" s="90"/>
      <c r="J264" s="58"/>
      <c r="K264" s="58"/>
    </row>
    <row r="265" customFormat="false" ht="15" hidden="false" customHeight="false" outlineLevel="0" collapsed="false">
      <c r="A265" s="56"/>
      <c r="B265" s="92" t="str">
        <f aca="false">IF(A265="","",IF(Dashboard!$L$5="","",INT((A265-Dashboard!$L$5)/7)+1))</f>
        <v/>
      </c>
      <c r="C265" s="67"/>
      <c r="D265" s="67"/>
      <c r="E265" s="67"/>
      <c r="F265" s="67"/>
      <c r="G265" s="67"/>
      <c r="H265" s="67"/>
      <c r="I265" s="90"/>
      <c r="J265" s="58"/>
      <c r="K265" s="58"/>
    </row>
    <row r="266" customFormat="false" ht="15" hidden="false" customHeight="false" outlineLevel="0" collapsed="false">
      <c r="A266" s="56"/>
      <c r="B266" s="92" t="str">
        <f aca="false">IF(A266="","",IF(Dashboard!$L$5="","",INT((A266-Dashboard!$L$5)/7)+1))</f>
        <v/>
      </c>
      <c r="C266" s="67"/>
      <c r="D266" s="67"/>
      <c r="E266" s="67"/>
      <c r="F266" s="67"/>
      <c r="G266" s="67"/>
      <c r="H266" s="67"/>
      <c r="I266" s="90"/>
      <c r="J266" s="58"/>
      <c r="K266" s="58"/>
    </row>
    <row r="267" customFormat="false" ht="15" hidden="false" customHeight="false" outlineLevel="0" collapsed="false">
      <c r="A267" s="56"/>
      <c r="B267" s="92" t="str">
        <f aca="false">IF(A267="","",IF(Dashboard!$L$5="","",INT((A267-Dashboard!$L$5)/7)+1))</f>
        <v/>
      </c>
      <c r="C267" s="67"/>
      <c r="D267" s="67"/>
      <c r="E267" s="67"/>
      <c r="F267" s="67"/>
      <c r="G267" s="67"/>
      <c r="H267" s="67"/>
      <c r="I267" s="90"/>
      <c r="J267" s="58"/>
      <c r="K267" s="58"/>
    </row>
    <row r="268" customFormat="false" ht="15" hidden="false" customHeight="false" outlineLevel="0" collapsed="false">
      <c r="A268" s="56"/>
      <c r="B268" s="92" t="str">
        <f aca="false">IF(A268="","",IF(Dashboard!$L$5="","",INT((A268-Dashboard!$L$5)/7)+1))</f>
        <v/>
      </c>
      <c r="C268" s="67"/>
      <c r="D268" s="67"/>
      <c r="E268" s="67"/>
      <c r="F268" s="67"/>
      <c r="G268" s="67"/>
      <c r="H268" s="67"/>
      <c r="I268" s="90"/>
      <c r="J268" s="58"/>
      <c r="K268" s="58"/>
    </row>
    <row r="269" customFormat="false" ht="15" hidden="false" customHeight="false" outlineLevel="0" collapsed="false">
      <c r="A269" s="56"/>
      <c r="B269" s="92" t="str">
        <f aca="false">IF(A269="","",IF(Dashboard!$L$5="","",INT((A269-Dashboard!$L$5)/7)+1))</f>
        <v/>
      </c>
      <c r="C269" s="67"/>
      <c r="D269" s="67"/>
      <c r="E269" s="67"/>
      <c r="F269" s="67"/>
      <c r="G269" s="67"/>
      <c r="H269" s="67"/>
      <c r="I269" s="90"/>
      <c r="J269" s="58"/>
      <c r="K269" s="58"/>
    </row>
    <row r="270" customFormat="false" ht="15" hidden="false" customHeight="false" outlineLevel="0" collapsed="false">
      <c r="A270" s="56"/>
      <c r="B270" s="92" t="str">
        <f aca="false">IF(A270="","",IF(Dashboard!$L$5="","",INT((A270-Dashboard!$L$5)/7)+1))</f>
        <v/>
      </c>
      <c r="C270" s="67"/>
      <c r="D270" s="67"/>
      <c r="E270" s="67"/>
      <c r="F270" s="67"/>
      <c r="G270" s="67"/>
      <c r="H270" s="67"/>
      <c r="I270" s="90"/>
      <c r="J270" s="58"/>
      <c r="K270" s="58"/>
    </row>
    <row r="271" customFormat="false" ht="15" hidden="false" customHeight="false" outlineLevel="0" collapsed="false">
      <c r="A271" s="56"/>
      <c r="B271" s="92" t="str">
        <f aca="false">IF(A271="","",IF(Dashboard!$L$5="","",INT((A271-Dashboard!$L$5)/7)+1))</f>
        <v/>
      </c>
      <c r="C271" s="67"/>
      <c r="D271" s="67"/>
      <c r="E271" s="67"/>
      <c r="F271" s="67"/>
      <c r="G271" s="67"/>
      <c r="H271" s="67"/>
      <c r="I271" s="90"/>
      <c r="J271" s="58"/>
      <c r="K271" s="58"/>
    </row>
    <row r="272" customFormat="false" ht="15" hidden="false" customHeight="false" outlineLevel="0" collapsed="false">
      <c r="A272" s="56"/>
      <c r="B272" s="92" t="str">
        <f aca="false">IF(A272="","",IF(Dashboard!$L$5="","",INT((A272-Dashboard!$L$5)/7)+1))</f>
        <v/>
      </c>
      <c r="C272" s="67"/>
      <c r="D272" s="67"/>
      <c r="E272" s="67"/>
      <c r="F272" s="67"/>
      <c r="G272" s="67"/>
      <c r="H272" s="67"/>
      <c r="I272" s="90"/>
      <c r="J272" s="58"/>
      <c r="K272" s="58"/>
    </row>
    <row r="273" customFormat="false" ht="15" hidden="false" customHeight="false" outlineLevel="0" collapsed="false">
      <c r="A273" s="56"/>
      <c r="B273" s="92" t="str">
        <f aca="false">IF(A273="","",IF(Dashboard!$L$5="","",INT((A273-Dashboard!$L$5)/7)+1))</f>
        <v/>
      </c>
      <c r="C273" s="67"/>
      <c r="D273" s="67"/>
      <c r="E273" s="67"/>
      <c r="F273" s="67"/>
      <c r="G273" s="67"/>
      <c r="H273" s="67"/>
      <c r="I273" s="90"/>
      <c r="J273" s="58"/>
      <c r="K273" s="58"/>
    </row>
    <row r="274" customFormat="false" ht="15" hidden="false" customHeight="false" outlineLevel="0" collapsed="false">
      <c r="A274" s="56"/>
      <c r="B274" s="92" t="str">
        <f aca="false">IF(A274="","",IF(Dashboard!$L$5="","",INT((A274-Dashboard!$L$5)/7)+1))</f>
        <v/>
      </c>
      <c r="C274" s="67"/>
      <c r="D274" s="67"/>
      <c r="E274" s="67"/>
      <c r="F274" s="67"/>
      <c r="G274" s="67"/>
      <c r="H274" s="67"/>
      <c r="I274" s="90"/>
      <c r="J274" s="58"/>
      <c r="K274" s="58"/>
    </row>
    <row r="275" customFormat="false" ht="15" hidden="false" customHeight="false" outlineLevel="0" collapsed="false">
      <c r="A275" s="56"/>
      <c r="B275" s="92" t="str">
        <f aca="false">IF(A275="","",IF(Dashboard!$L$5="","",INT((A275-Dashboard!$L$5)/7)+1))</f>
        <v/>
      </c>
      <c r="C275" s="67"/>
      <c r="D275" s="67"/>
      <c r="E275" s="67"/>
      <c r="F275" s="67"/>
      <c r="G275" s="67"/>
      <c r="H275" s="67"/>
      <c r="I275" s="90"/>
      <c r="J275" s="58"/>
      <c r="K275" s="58"/>
    </row>
    <row r="276" customFormat="false" ht="15" hidden="false" customHeight="false" outlineLevel="0" collapsed="false">
      <c r="A276" s="56"/>
      <c r="B276" s="92" t="str">
        <f aca="false">IF(A276="","",IF(Dashboard!$L$5="","",INT((A276-Dashboard!$L$5)/7)+1))</f>
        <v/>
      </c>
      <c r="C276" s="67"/>
      <c r="D276" s="67"/>
      <c r="E276" s="67"/>
      <c r="F276" s="67"/>
      <c r="G276" s="67"/>
      <c r="H276" s="67"/>
      <c r="I276" s="90"/>
      <c r="J276" s="58"/>
      <c r="K276" s="58"/>
    </row>
    <row r="277" customFormat="false" ht="15" hidden="false" customHeight="false" outlineLevel="0" collapsed="false">
      <c r="A277" s="56"/>
      <c r="B277" s="92" t="str">
        <f aca="false">IF(A277="","",IF(Dashboard!$L$5="","",INT((A277-Dashboard!$L$5)/7)+1))</f>
        <v/>
      </c>
      <c r="C277" s="67"/>
      <c r="D277" s="67"/>
      <c r="E277" s="67"/>
      <c r="F277" s="67"/>
      <c r="G277" s="67"/>
      <c r="H277" s="67"/>
      <c r="I277" s="90"/>
      <c r="J277" s="58"/>
      <c r="K277" s="58"/>
    </row>
    <row r="278" customFormat="false" ht="15" hidden="false" customHeight="false" outlineLevel="0" collapsed="false">
      <c r="A278" s="56"/>
      <c r="B278" s="92" t="str">
        <f aca="false">IF(A278="","",IF(Dashboard!$L$5="","",INT((A278-Dashboard!$L$5)/7)+1))</f>
        <v/>
      </c>
      <c r="C278" s="67"/>
      <c r="D278" s="67"/>
      <c r="E278" s="67"/>
      <c r="F278" s="67"/>
      <c r="G278" s="67"/>
      <c r="H278" s="67"/>
      <c r="I278" s="90"/>
      <c r="J278" s="58"/>
      <c r="K278" s="58"/>
    </row>
    <row r="279" customFormat="false" ht="15" hidden="false" customHeight="false" outlineLevel="0" collapsed="false">
      <c r="A279" s="56"/>
      <c r="B279" s="92" t="str">
        <f aca="false">IF(A279="","",IF(Dashboard!$L$5="","",INT((A279-Dashboard!$L$5)/7)+1))</f>
        <v/>
      </c>
      <c r="C279" s="67"/>
      <c r="D279" s="67"/>
      <c r="E279" s="67"/>
      <c r="F279" s="67"/>
      <c r="G279" s="67"/>
      <c r="H279" s="67"/>
      <c r="I279" s="90"/>
      <c r="J279" s="58"/>
      <c r="K279" s="58"/>
    </row>
    <row r="280" customFormat="false" ht="15" hidden="false" customHeight="false" outlineLevel="0" collapsed="false">
      <c r="A280" s="56"/>
      <c r="B280" s="92" t="str">
        <f aca="false">IF(A280="","",IF(Dashboard!$L$5="","",INT((A280-Dashboard!$L$5)/7)+1))</f>
        <v/>
      </c>
      <c r="C280" s="67"/>
      <c r="D280" s="67"/>
      <c r="E280" s="67"/>
      <c r="F280" s="67"/>
      <c r="G280" s="67"/>
      <c r="H280" s="67"/>
      <c r="I280" s="90"/>
      <c r="J280" s="58"/>
      <c r="K280" s="58"/>
    </row>
    <row r="281" customFormat="false" ht="15" hidden="false" customHeight="false" outlineLevel="0" collapsed="false">
      <c r="A281" s="56"/>
      <c r="B281" s="92" t="str">
        <f aca="false">IF(A281="","",IF(Dashboard!$L$5="","",INT((A281-Dashboard!$L$5)/7)+1))</f>
        <v/>
      </c>
      <c r="C281" s="67"/>
      <c r="D281" s="67"/>
      <c r="E281" s="67"/>
      <c r="F281" s="67"/>
      <c r="G281" s="67"/>
      <c r="H281" s="67"/>
      <c r="I281" s="90"/>
      <c r="J281" s="58"/>
      <c r="K281" s="58"/>
    </row>
    <row r="282" customFormat="false" ht="15" hidden="false" customHeight="false" outlineLevel="0" collapsed="false">
      <c r="A282" s="56"/>
      <c r="B282" s="92" t="str">
        <f aca="false">IF(A282="","",IF(Dashboard!$L$5="","",INT((A282-Dashboard!$L$5)/7)+1))</f>
        <v/>
      </c>
      <c r="C282" s="67"/>
      <c r="D282" s="67"/>
      <c r="E282" s="67"/>
      <c r="F282" s="67"/>
      <c r="G282" s="67"/>
      <c r="H282" s="67"/>
      <c r="I282" s="90"/>
      <c r="J282" s="58"/>
      <c r="K282" s="58"/>
    </row>
    <row r="283" customFormat="false" ht="15" hidden="false" customHeight="false" outlineLevel="0" collapsed="false">
      <c r="A283" s="56"/>
      <c r="B283" s="92" t="str">
        <f aca="false">IF(A283="","",IF(Dashboard!$L$5="","",INT((A283-Dashboard!$L$5)/7)+1))</f>
        <v/>
      </c>
      <c r="C283" s="67"/>
      <c r="D283" s="67"/>
      <c r="E283" s="67"/>
      <c r="F283" s="67"/>
      <c r="G283" s="67"/>
      <c r="H283" s="67"/>
      <c r="I283" s="90"/>
      <c r="J283" s="58"/>
      <c r="K283" s="58"/>
    </row>
    <row r="284" customFormat="false" ht="15" hidden="false" customHeight="false" outlineLevel="0" collapsed="false">
      <c r="A284" s="56"/>
      <c r="B284" s="92" t="str">
        <f aca="false">IF(A284="","",IF(Dashboard!$L$5="","",INT((A284-Dashboard!$L$5)/7)+1))</f>
        <v/>
      </c>
      <c r="C284" s="67"/>
      <c r="D284" s="67"/>
      <c r="E284" s="67"/>
      <c r="F284" s="67"/>
      <c r="G284" s="67"/>
      <c r="H284" s="67"/>
      <c r="I284" s="90"/>
      <c r="J284" s="58"/>
      <c r="K284" s="58"/>
    </row>
    <row r="285" customFormat="false" ht="15" hidden="false" customHeight="false" outlineLevel="0" collapsed="false">
      <c r="A285" s="56"/>
      <c r="B285" s="92" t="str">
        <f aca="false">IF(A285="","",IF(Dashboard!$L$5="","",INT((A285-Dashboard!$L$5)/7)+1))</f>
        <v/>
      </c>
      <c r="C285" s="67"/>
      <c r="D285" s="67"/>
      <c r="E285" s="67"/>
      <c r="F285" s="67"/>
      <c r="G285" s="67"/>
      <c r="H285" s="67"/>
      <c r="I285" s="90"/>
      <c r="J285" s="58"/>
      <c r="K285" s="58"/>
    </row>
    <row r="286" customFormat="false" ht="15" hidden="false" customHeight="false" outlineLevel="0" collapsed="false">
      <c r="A286" s="56"/>
      <c r="B286" s="92" t="str">
        <f aca="false">IF(A286="","",IF(Dashboard!$L$5="","",INT((A286-Dashboard!$L$5)/7)+1))</f>
        <v/>
      </c>
      <c r="C286" s="67"/>
      <c r="D286" s="67"/>
      <c r="E286" s="67"/>
      <c r="F286" s="67"/>
      <c r="G286" s="67"/>
      <c r="H286" s="67"/>
      <c r="I286" s="90"/>
      <c r="J286" s="58"/>
      <c r="K286" s="58"/>
    </row>
    <row r="287" customFormat="false" ht="15" hidden="false" customHeight="false" outlineLevel="0" collapsed="false">
      <c r="A287" s="56"/>
      <c r="B287" s="92" t="str">
        <f aca="false">IF(A287="","",IF(Dashboard!$L$5="","",INT((A287-Dashboard!$L$5)/7)+1))</f>
        <v/>
      </c>
      <c r="C287" s="67"/>
      <c r="D287" s="67"/>
      <c r="E287" s="67"/>
      <c r="F287" s="67"/>
      <c r="G287" s="67"/>
      <c r="H287" s="67"/>
      <c r="I287" s="90"/>
      <c r="J287" s="58"/>
      <c r="K287" s="58"/>
    </row>
    <row r="288" customFormat="false" ht="15" hidden="false" customHeight="false" outlineLevel="0" collapsed="false">
      <c r="A288" s="56"/>
      <c r="B288" s="92" t="str">
        <f aca="false">IF(A288="","",IF(Dashboard!$L$5="","",INT((A288-Dashboard!$L$5)/7)+1))</f>
        <v/>
      </c>
      <c r="C288" s="67"/>
      <c r="D288" s="67"/>
      <c r="E288" s="67"/>
      <c r="F288" s="67"/>
      <c r="G288" s="67"/>
      <c r="H288" s="67"/>
      <c r="I288" s="90"/>
      <c r="J288" s="58"/>
      <c r="K288" s="58"/>
    </row>
    <row r="289" customFormat="false" ht="15" hidden="false" customHeight="false" outlineLevel="0" collapsed="false">
      <c r="A289" s="56"/>
      <c r="B289" s="92" t="str">
        <f aca="false">IF(A289="","",IF(Dashboard!$L$5="","",INT((A289-Dashboard!$L$5)/7)+1))</f>
        <v/>
      </c>
      <c r="C289" s="67"/>
      <c r="D289" s="67"/>
      <c r="E289" s="67"/>
      <c r="F289" s="67"/>
      <c r="G289" s="67"/>
      <c r="H289" s="67"/>
      <c r="I289" s="90"/>
      <c r="J289" s="58"/>
      <c r="K289" s="58"/>
    </row>
    <row r="290" customFormat="false" ht="15" hidden="false" customHeight="false" outlineLevel="0" collapsed="false">
      <c r="A290" s="56"/>
      <c r="B290" s="92" t="str">
        <f aca="false">IF(A290="","",IF(Dashboard!$L$5="","",INT((A290-Dashboard!$L$5)/7)+1))</f>
        <v/>
      </c>
      <c r="C290" s="67"/>
      <c r="D290" s="67"/>
      <c r="E290" s="67"/>
      <c r="F290" s="67"/>
      <c r="G290" s="67"/>
      <c r="H290" s="67"/>
      <c r="I290" s="90"/>
      <c r="J290" s="58"/>
      <c r="K290" s="58"/>
    </row>
    <row r="291" customFormat="false" ht="15" hidden="false" customHeight="false" outlineLevel="0" collapsed="false">
      <c r="A291" s="56"/>
      <c r="B291" s="92" t="str">
        <f aca="false">IF(A291="","",IF(Dashboard!$L$5="","",INT((A291-Dashboard!$L$5)/7)+1))</f>
        <v/>
      </c>
      <c r="C291" s="67"/>
      <c r="D291" s="67"/>
      <c r="E291" s="67"/>
      <c r="F291" s="67"/>
      <c r="G291" s="67"/>
      <c r="H291" s="67"/>
      <c r="I291" s="90"/>
      <c r="J291" s="58"/>
      <c r="K291" s="58"/>
    </row>
    <row r="292" customFormat="false" ht="15" hidden="false" customHeight="false" outlineLevel="0" collapsed="false">
      <c r="A292" s="56"/>
      <c r="B292" s="92" t="str">
        <f aca="false">IF(A292="","",IF(Dashboard!$L$5="","",INT((A292-Dashboard!$L$5)/7)+1))</f>
        <v/>
      </c>
      <c r="C292" s="67"/>
      <c r="D292" s="67"/>
      <c r="E292" s="67"/>
      <c r="F292" s="67"/>
      <c r="G292" s="67"/>
      <c r="H292" s="67"/>
      <c r="I292" s="90"/>
      <c r="J292" s="58"/>
      <c r="K292" s="58"/>
    </row>
    <row r="293" customFormat="false" ht="15" hidden="false" customHeight="false" outlineLevel="0" collapsed="false">
      <c r="A293" s="56"/>
      <c r="B293" s="92" t="str">
        <f aca="false">IF(A293="","",IF(Dashboard!$L$5="","",INT((A293-Dashboard!$L$5)/7)+1))</f>
        <v/>
      </c>
      <c r="C293" s="67"/>
      <c r="D293" s="67"/>
      <c r="E293" s="67"/>
      <c r="F293" s="67"/>
      <c r="G293" s="67"/>
      <c r="H293" s="67"/>
      <c r="I293" s="90"/>
      <c r="J293" s="58"/>
      <c r="K293" s="58"/>
    </row>
    <row r="294" customFormat="false" ht="15" hidden="false" customHeight="false" outlineLevel="0" collapsed="false">
      <c r="A294" s="56"/>
      <c r="B294" s="92" t="str">
        <f aca="false">IF(A294="","",IF(Dashboard!$L$5="","",INT((A294-Dashboard!$L$5)/7)+1))</f>
        <v/>
      </c>
      <c r="C294" s="67"/>
      <c r="D294" s="67"/>
      <c r="E294" s="67"/>
      <c r="F294" s="67"/>
      <c r="G294" s="67"/>
      <c r="H294" s="67"/>
      <c r="I294" s="90"/>
      <c r="J294" s="58"/>
      <c r="K294" s="58"/>
    </row>
    <row r="295" customFormat="false" ht="15" hidden="false" customHeight="false" outlineLevel="0" collapsed="false">
      <c r="A295" s="56"/>
      <c r="B295" s="92" t="str">
        <f aca="false">IF(A295="","",IF(Dashboard!$L$5="","",INT((A295-Dashboard!$L$5)/7)+1))</f>
        <v/>
      </c>
      <c r="C295" s="67"/>
      <c r="D295" s="67"/>
      <c r="E295" s="67"/>
      <c r="F295" s="67"/>
      <c r="G295" s="67"/>
      <c r="H295" s="67"/>
      <c r="I295" s="90"/>
      <c r="J295" s="58"/>
      <c r="K295" s="58"/>
    </row>
    <row r="296" customFormat="false" ht="15" hidden="false" customHeight="false" outlineLevel="0" collapsed="false">
      <c r="A296" s="56"/>
      <c r="B296" s="92" t="str">
        <f aca="false">IF(A296="","",IF(Dashboard!$L$5="","",INT((A296-Dashboard!$L$5)/7)+1))</f>
        <v/>
      </c>
      <c r="C296" s="67"/>
      <c r="D296" s="67"/>
      <c r="E296" s="67"/>
      <c r="F296" s="67"/>
      <c r="G296" s="67"/>
      <c r="H296" s="67"/>
      <c r="I296" s="90"/>
      <c r="J296" s="58"/>
      <c r="K296" s="58"/>
    </row>
    <row r="297" customFormat="false" ht="15" hidden="false" customHeight="false" outlineLevel="0" collapsed="false">
      <c r="A297" s="56"/>
      <c r="B297" s="92" t="str">
        <f aca="false">IF(A297="","",IF(Dashboard!$L$5="","",INT((A297-Dashboard!$L$5)/7)+1))</f>
        <v/>
      </c>
      <c r="C297" s="67"/>
      <c r="D297" s="67"/>
      <c r="E297" s="67"/>
      <c r="F297" s="67"/>
      <c r="G297" s="67"/>
      <c r="H297" s="67"/>
      <c r="I297" s="90"/>
      <c r="J297" s="58"/>
      <c r="K297" s="58"/>
    </row>
    <row r="298" customFormat="false" ht="15" hidden="false" customHeight="false" outlineLevel="0" collapsed="false">
      <c r="A298" s="56"/>
      <c r="B298" s="92" t="str">
        <f aca="false">IF(A298="","",IF(Dashboard!$L$5="","",INT((A298-Dashboard!$L$5)/7)+1))</f>
        <v/>
      </c>
      <c r="C298" s="67"/>
      <c r="D298" s="67"/>
      <c r="E298" s="67"/>
      <c r="F298" s="67"/>
      <c r="G298" s="67"/>
      <c r="H298" s="67"/>
      <c r="I298" s="90"/>
      <c r="J298" s="58"/>
      <c r="K298" s="58"/>
    </row>
    <row r="299" customFormat="false" ht="15" hidden="false" customHeight="false" outlineLevel="0" collapsed="false">
      <c r="A299" s="56"/>
      <c r="B299" s="92" t="str">
        <f aca="false">IF(A299="","",IF(Dashboard!$L$5="","",INT((A299-Dashboard!$L$5)/7)+1))</f>
        <v/>
      </c>
      <c r="C299" s="67"/>
      <c r="D299" s="67"/>
      <c r="E299" s="67"/>
      <c r="F299" s="67"/>
      <c r="G299" s="67"/>
      <c r="H299" s="67"/>
      <c r="I299" s="90"/>
      <c r="J299" s="58"/>
      <c r="K299" s="58"/>
    </row>
    <row r="300" customFormat="false" ht="15" hidden="false" customHeight="false" outlineLevel="0" collapsed="false">
      <c r="A300" s="56"/>
      <c r="B300" s="92" t="str">
        <f aca="false">IF(A300="","",IF(Dashboard!$L$5="","",INT((A300-Dashboard!$L$5)/7)+1))</f>
        <v/>
      </c>
      <c r="C300" s="67"/>
      <c r="D300" s="67"/>
      <c r="E300" s="67"/>
      <c r="F300" s="67"/>
      <c r="G300" s="67"/>
      <c r="H300" s="67"/>
      <c r="I300" s="90"/>
      <c r="J300" s="58"/>
      <c r="K300" s="58"/>
    </row>
    <row r="301" customFormat="false" ht="15" hidden="false" customHeight="false" outlineLevel="0" collapsed="false">
      <c r="A301" s="56"/>
      <c r="B301" s="92" t="str">
        <f aca="false">IF(A301="","",IF(Dashboard!$L$5="","",INT((A301-Dashboard!$L$5)/7)+1))</f>
        <v/>
      </c>
      <c r="C301" s="67"/>
      <c r="D301" s="67"/>
      <c r="E301" s="67"/>
      <c r="F301" s="67"/>
      <c r="G301" s="67"/>
      <c r="H301" s="67"/>
      <c r="I301" s="90"/>
      <c r="J301" s="58"/>
      <c r="K301" s="58"/>
    </row>
    <row r="302" customFormat="false" ht="15" hidden="false" customHeight="false" outlineLevel="0" collapsed="false">
      <c r="A302" s="56"/>
      <c r="B302" s="92" t="str">
        <f aca="false">IF(A302="","",IF(Dashboard!$L$5="","",INT((A302-Dashboard!$L$5)/7)+1))</f>
        <v/>
      </c>
      <c r="C302" s="67"/>
      <c r="D302" s="67"/>
      <c r="E302" s="67"/>
      <c r="F302" s="67"/>
      <c r="G302" s="67"/>
      <c r="H302" s="67"/>
      <c r="I302" s="90"/>
      <c r="J302" s="58"/>
      <c r="K302" s="58"/>
    </row>
    <row r="303" customFormat="false" ht="15" hidden="false" customHeight="false" outlineLevel="0" collapsed="false">
      <c r="A303" s="56"/>
      <c r="B303" s="92" t="str">
        <f aca="false">IF(A303="","",IF(Dashboard!$L$5="","",INT((A303-Dashboard!$L$5)/7)+1))</f>
        <v/>
      </c>
      <c r="C303" s="67"/>
      <c r="D303" s="67"/>
      <c r="E303" s="67"/>
      <c r="F303" s="67"/>
      <c r="G303" s="67"/>
      <c r="H303" s="67"/>
      <c r="I303" s="90"/>
      <c r="J303" s="58"/>
      <c r="K303" s="58"/>
    </row>
    <row r="304" customFormat="false" ht="15" hidden="false" customHeight="false" outlineLevel="0" collapsed="false">
      <c r="A304" s="56"/>
      <c r="B304" s="92" t="str">
        <f aca="false">IF(A304="","",IF(Dashboard!$L$5="","",INT((A304-Dashboard!$L$5)/7)+1))</f>
        <v/>
      </c>
      <c r="C304" s="67"/>
      <c r="D304" s="67"/>
      <c r="E304" s="67"/>
      <c r="F304" s="67"/>
      <c r="G304" s="67"/>
      <c r="H304" s="67"/>
      <c r="I304" s="90"/>
      <c r="J304" s="58"/>
      <c r="K304" s="58"/>
    </row>
    <row r="305" customFormat="false" ht="15" hidden="false" customHeight="false" outlineLevel="0" collapsed="false">
      <c r="A305" s="56"/>
      <c r="B305" s="92" t="str">
        <f aca="false">IF(A305="","",IF(Dashboard!$L$5="","",INT((A305-Dashboard!$L$5)/7)+1))</f>
        <v/>
      </c>
      <c r="C305" s="67"/>
      <c r="D305" s="67"/>
      <c r="E305" s="67"/>
      <c r="F305" s="67"/>
      <c r="G305" s="67"/>
      <c r="H305" s="67"/>
      <c r="I305" s="90"/>
      <c r="J305" s="58"/>
      <c r="K305" s="58"/>
    </row>
    <row r="306" customFormat="false" ht="15" hidden="false" customHeight="false" outlineLevel="0" collapsed="false">
      <c r="A306" s="56"/>
      <c r="B306" s="92" t="str">
        <f aca="false">IF(A306="","",IF(Dashboard!$L$5="","",INT((A306-Dashboard!$L$5)/7)+1))</f>
        <v/>
      </c>
      <c r="C306" s="67"/>
      <c r="D306" s="67"/>
      <c r="E306" s="67"/>
      <c r="F306" s="67"/>
      <c r="G306" s="67"/>
      <c r="H306" s="67"/>
      <c r="I306" s="90"/>
      <c r="J306" s="58"/>
      <c r="K306" s="58"/>
    </row>
    <row r="307" customFormat="false" ht="15" hidden="false" customHeight="false" outlineLevel="0" collapsed="false">
      <c r="A307" s="56"/>
      <c r="B307" s="92" t="str">
        <f aca="false">IF(A307="","",IF(Dashboard!$L$5="","",INT((A307-Dashboard!$L$5)/7)+1))</f>
        <v/>
      </c>
      <c r="C307" s="67"/>
      <c r="D307" s="67"/>
      <c r="E307" s="67"/>
      <c r="F307" s="67"/>
      <c r="G307" s="67"/>
      <c r="H307" s="67"/>
      <c r="I307" s="90"/>
      <c r="J307" s="58"/>
      <c r="K307" s="58"/>
    </row>
    <row r="308" customFormat="false" ht="15" hidden="false" customHeight="false" outlineLevel="0" collapsed="false">
      <c r="A308" s="56"/>
      <c r="B308" s="92" t="str">
        <f aca="false">IF(A308="","",IF(Dashboard!$L$5="","",INT((A308-Dashboard!$L$5)/7)+1))</f>
        <v/>
      </c>
      <c r="C308" s="67"/>
      <c r="D308" s="67"/>
      <c r="E308" s="67"/>
      <c r="F308" s="67"/>
      <c r="G308" s="67"/>
      <c r="H308" s="67"/>
      <c r="I308" s="90"/>
      <c r="J308" s="58"/>
      <c r="K308" s="58"/>
    </row>
    <row r="309" customFormat="false" ht="15" hidden="false" customHeight="false" outlineLevel="0" collapsed="false">
      <c r="A309" s="56"/>
      <c r="B309" s="92" t="str">
        <f aca="false">IF(A309="","",IF(Dashboard!$L$5="","",INT((A309-Dashboard!$L$5)/7)+1))</f>
        <v/>
      </c>
      <c r="C309" s="67"/>
      <c r="D309" s="67"/>
      <c r="E309" s="67"/>
      <c r="F309" s="67"/>
      <c r="G309" s="67"/>
      <c r="H309" s="67"/>
      <c r="I309" s="90"/>
      <c r="J309" s="58"/>
      <c r="K309" s="58"/>
    </row>
    <row r="310" customFormat="false" ht="15" hidden="false" customHeight="false" outlineLevel="0" collapsed="false">
      <c r="A310" s="56"/>
      <c r="B310" s="92" t="str">
        <f aca="false">IF(A310="","",IF(Dashboard!$L$5="","",INT((A310-Dashboard!$L$5)/7)+1))</f>
        <v/>
      </c>
      <c r="C310" s="67"/>
      <c r="D310" s="67"/>
      <c r="E310" s="67"/>
      <c r="F310" s="67"/>
      <c r="G310" s="67"/>
      <c r="H310" s="67"/>
      <c r="I310" s="90"/>
      <c r="J310" s="58"/>
      <c r="K310" s="58"/>
    </row>
    <row r="311" customFormat="false" ht="15" hidden="false" customHeight="false" outlineLevel="0" collapsed="false">
      <c r="A311" s="56"/>
      <c r="B311" s="92" t="str">
        <f aca="false">IF(A311="","",IF(Dashboard!$L$5="","",INT((A311-Dashboard!$L$5)/7)+1))</f>
        <v/>
      </c>
      <c r="C311" s="67"/>
      <c r="D311" s="67"/>
      <c r="E311" s="67"/>
      <c r="F311" s="67"/>
      <c r="G311" s="67"/>
      <c r="H311" s="67"/>
      <c r="I311" s="90"/>
      <c r="J311" s="58"/>
      <c r="K311" s="58"/>
    </row>
    <row r="312" customFormat="false" ht="15" hidden="false" customHeight="false" outlineLevel="0" collapsed="false">
      <c r="A312" s="56"/>
      <c r="B312" s="92" t="str">
        <f aca="false">IF(A312="","",IF(Dashboard!$L$5="","",INT((A312-Dashboard!$L$5)/7)+1))</f>
        <v/>
      </c>
      <c r="C312" s="67"/>
      <c r="D312" s="67"/>
      <c r="E312" s="67"/>
      <c r="F312" s="67"/>
      <c r="G312" s="67"/>
      <c r="H312" s="67"/>
      <c r="I312" s="90"/>
      <c r="J312" s="58"/>
      <c r="K312" s="58"/>
    </row>
    <row r="313" customFormat="false" ht="15" hidden="false" customHeight="false" outlineLevel="0" collapsed="false">
      <c r="A313" s="56"/>
      <c r="B313" s="92" t="str">
        <f aca="false">IF(A313="","",IF(Dashboard!$L$5="","",INT((A313-Dashboard!$L$5)/7)+1))</f>
        <v/>
      </c>
      <c r="C313" s="67"/>
      <c r="D313" s="67"/>
      <c r="E313" s="67"/>
      <c r="F313" s="67"/>
      <c r="G313" s="67"/>
      <c r="H313" s="67"/>
      <c r="I313" s="90"/>
      <c r="J313" s="58"/>
      <c r="K313" s="58"/>
    </row>
    <row r="314" customFormat="false" ht="15" hidden="false" customHeight="false" outlineLevel="0" collapsed="false">
      <c r="A314" s="56"/>
      <c r="B314" s="92" t="str">
        <f aca="false">IF(A314="","",IF(Dashboard!$L$5="","",INT((A314-Dashboard!$L$5)/7)+1))</f>
        <v/>
      </c>
      <c r="C314" s="67"/>
      <c r="D314" s="67"/>
      <c r="E314" s="67"/>
      <c r="F314" s="67"/>
      <c r="G314" s="67"/>
      <c r="H314" s="67"/>
      <c r="I314" s="90"/>
      <c r="J314" s="58"/>
      <c r="K314" s="58"/>
    </row>
    <row r="315" customFormat="false" ht="15" hidden="false" customHeight="false" outlineLevel="0" collapsed="false">
      <c r="A315" s="56"/>
      <c r="B315" s="92" t="str">
        <f aca="false">IF(A315="","",IF(Dashboard!$L$5="","",INT((A315-Dashboard!$L$5)/7)+1))</f>
        <v/>
      </c>
      <c r="C315" s="67"/>
      <c r="D315" s="67"/>
      <c r="E315" s="67"/>
      <c r="F315" s="67"/>
      <c r="G315" s="67"/>
      <c r="H315" s="67"/>
      <c r="I315" s="90"/>
      <c r="J315" s="58"/>
      <c r="K315" s="58"/>
    </row>
    <row r="316" customFormat="false" ht="15" hidden="false" customHeight="false" outlineLevel="0" collapsed="false">
      <c r="A316" s="56"/>
      <c r="B316" s="92" t="str">
        <f aca="false">IF(A316="","",IF(Dashboard!$L$5="","",INT((A316-Dashboard!$L$5)/7)+1))</f>
        <v/>
      </c>
      <c r="C316" s="67"/>
      <c r="D316" s="67"/>
      <c r="E316" s="67"/>
      <c r="F316" s="67"/>
      <c r="G316" s="67"/>
      <c r="H316" s="67"/>
      <c r="I316" s="90"/>
      <c r="J316" s="58"/>
      <c r="K316" s="58"/>
    </row>
    <row r="317" customFormat="false" ht="15" hidden="false" customHeight="false" outlineLevel="0" collapsed="false">
      <c r="A317" s="56"/>
      <c r="B317" s="92" t="str">
        <f aca="false">IF(A317="","",IF(Dashboard!$L$5="","",INT((A317-Dashboard!$L$5)/7)+1))</f>
        <v/>
      </c>
      <c r="C317" s="67"/>
      <c r="D317" s="67"/>
      <c r="E317" s="67"/>
      <c r="F317" s="67"/>
      <c r="G317" s="67"/>
      <c r="H317" s="67"/>
      <c r="I317" s="90"/>
      <c r="J317" s="58"/>
      <c r="K317" s="58"/>
    </row>
    <row r="318" customFormat="false" ht="15" hidden="false" customHeight="false" outlineLevel="0" collapsed="false">
      <c r="A318" s="56"/>
      <c r="B318" s="92" t="str">
        <f aca="false">IF(A318="","",IF(Dashboard!$L$5="","",INT((A318-Dashboard!$L$5)/7)+1))</f>
        <v/>
      </c>
      <c r="C318" s="67"/>
      <c r="D318" s="67"/>
      <c r="E318" s="67"/>
      <c r="F318" s="67"/>
      <c r="G318" s="67"/>
      <c r="H318" s="67"/>
      <c r="I318" s="90"/>
      <c r="J318" s="58"/>
      <c r="K318" s="58"/>
    </row>
    <row r="319" customFormat="false" ht="15" hidden="false" customHeight="false" outlineLevel="0" collapsed="false">
      <c r="A319" s="56"/>
      <c r="B319" s="92" t="str">
        <f aca="false">IF(A319="","",IF(Dashboard!$L$5="","",INT((A319-Dashboard!$L$5)/7)+1))</f>
        <v/>
      </c>
      <c r="C319" s="67"/>
      <c r="D319" s="67"/>
      <c r="E319" s="67"/>
      <c r="F319" s="67"/>
      <c r="G319" s="67"/>
      <c r="H319" s="67"/>
      <c r="I319" s="90"/>
      <c r="J319" s="58"/>
      <c r="K319" s="58"/>
    </row>
    <row r="320" customFormat="false" ht="15" hidden="false" customHeight="false" outlineLevel="0" collapsed="false">
      <c r="A320" s="56"/>
      <c r="B320" s="92" t="str">
        <f aca="false">IF(A320="","",IF(Dashboard!$L$5="","",INT((A320-Dashboard!$L$5)/7)+1))</f>
        <v/>
      </c>
      <c r="C320" s="67"/>
      <c r="D320" s="67"/>
      <c r="E320" s="67"/>
      <c r="F320" s="67"/>
      <c r="G320" s="67"/>
      <c r="H320" s="67"/>
      <c r="I320" s="90"/>
      <c r="J320" s="58"/>
      <c r="K320" s="58"/>
    </row>
    <row r="321" customFormat="false" ht="15" hidden="false" customHeight="false" outlineLevel="0" collapsed="false">
      <c r="A321" s="56"/>
      <c r="B321" s="92" t="str">
        <f aca="false">IF(A321="","",IF(Dashboard!$L$5="","",INT((A321-Dashboard!$L$5)/7)+1))</f>
        <v/>
      </c>
      <c r="C321" s="67"/>
      <c r="D321" s="67"/>
      <c r="E321" s="67"/>
      <c r="F321" s="67"/>
      <c r="G321" s="67"/>
      <c r="H321" s="67"/>
      <c r="I321" s="90"/>
      <c r="J321" s="58"/>
      <c r="K321" s="58"/>
    </row>
    <row r="322" customFormat="false" ht="15" hidden="false" customHeight="false" outlineLevel="0" collapsed="false">
      <c r="A322" s="56"/>
      <c r="B322" s="92" t="str">
        <f aca="false">IF(A322="","",IF(Dashboard!$L$5="","",INT((A322-Dashboard!$L$5)/7)+1))</f>
        <v/>
      </c>
      <c r="C322" s="67"/>
      <c r="D322" s="67"/>
      <c r="E322" s="67"/>
      <c r="F322" s="67"/>
      <c r="G322" s="67"/>
      <c r="H322" s="67"/>
      <c r="I322" s="90"/>
      <c r="J322" s="58"/>
      <c r="K322" s="58"/>
    </row>
    <row r="323" customFormat="false" ht="15" hidden="false" customHeight="false" outlineLevel="0" collapsed="false">
      <c r="A323" s="56"/>
      <c r="B323" s="92" t="str">
        <f aca="false">IF(A323="","",IF(Dashboard!$L$5="","",INT((A323-Dashboard!$L$5)/7)+1))</f>
        <v/>
      </c>
      <c r="C323" s="67"/>
      <c r="D323" s="67"/>
      <c r="E323" s="67"/>
      <c r="F323" s="67"/>
      <c r="G323" s="67"/>
      <c r="H323" s="67"/>
      <c r="I323" s="90"/>
      <c r="J323" s="58"/>
      <c r="K323" s="58"/>
    </row>
    <row r="324" customFormat="false" ht="15" hidden="false" customHeight="false" outlineLevel="0" collapsed="false">
      <c r="A324" s="56"/>
      <c r="B324" s="92" t="str">
        <f aca="false">IF(A324="","",IF(Dashboard!$L$5="","",INT((A324-Dashboard!$L$5)/7)+1))</f>
        <v/>
      </c>
      <c r="C324" s="67"/>
      <c r="D324" s="67"/>
      <c r="E324" s="67"/>
      <c r="F324" s="67"/>
      <c r="G324" s="67"/>
      <c r="H324" s="67"/>
      <c r="I324" s="90"/>
      <c r="J324" s="58"/>
      <c r="K324" s="58"/>
    </row>
    <row r="325" customFormat="false" ht="15" hidden="false" customHeight="false" outlineLevel="0" collapsed="false">
      <c r="A325" s="56"/>
      <c r="B325" s="92" t="str">
        <f aca="false">IF(A325="","",IF(Dashboard!$L$5="","",INT((A325-Dashboard!$L$5)/7)+1))</f>
        <v/>
      </c>
      <c r="C325" s="67"/>
      <c r="D325" s="67"/>
      <c r="E325" s="67"/>
      <c r="F325" s="67"/>
      <c r="G325" s="67"/>
      <c r="H325" s="67"/>
      <c r="I325" s="90"/>
      <c r="J325" s="58"/>
      <c r="K325" s="58"/>
    </row>
    <row r="326" customFormat="false" ht="15" hidden="false" customHeight="false" outlineLevel="0" collapsed="false">
      <c r="A326" s="56"/>
      <c r="B326" s="92" t="str">
        <f aca="false">IF(A326="","",IF(Dashboard!$L$5="","",INT((A326-Dashboard!$L$5)/7)+1))</f>
        <v/>
      </c>
      <c r="C326" s="67"/>
      <c r="D326" s="67"/>
      <c r="E326" s="67"/>
      <c r="F326" s="67"/>
      <c r="G326" s="67"/>
      <c r="H326" s="67"/>
      <c r="I326" s="90"/>
      <c r="J326" s="58"/>
      <c r="K326" s="58"/>
    </row>
    <row r="327" customFormat="false" ht="15" hidden="false" customHeight="false" outlineLevel="0" collapsed="false">
      <c r="A327" s="56"/>
      <c r="B327" s="92" t="str">
        <f aca="false">IF(A327="","",IF(Dashboard!$L$5="","",INT((A327-Dashboard!$L$5)/7)+1))</f>
        <v/>
      </c>
      <c r="C327" s="67"/>
      <c r="D327" s="67"/>
      <c r="E327" s="67"/>
      <c r="F327" s="67"/>
      <c r="G327" s="67"/>
      <c r="H327" s="67"/>
      <c r="I327" s="90"/>
      <c r="J327" s="58"/>
      <c r="K327" s="58"/>
    </row>
    <row r="328" customFormat="false" ht="15" hidden="false" customHeight="false" outlineLevel="0" collapsed="false">
      <c r="A328" s="56"/>
      <c r="B328" s="92" t="str">
        <f aca="false">IF(A328="","",IF(Dashboard!$L$5="","",INT((A328-Dashboard!$L$5)/7)+1))</f>
        <v/>
      </c>
      <c r="C328" s="67"/>
      <c r="D328" s="67"/>
      <c r="E328" s="67"/>
      <c r="F328" s="67"/>
      <c r="G328" s="67"/>
      <c r="H328" s="67"/>
      <c r="I328" s="90"/>
      <c r="J328" s="58"/>
      <c r="K328" s="58"/>
    </row>
    <row r="329" customFormat="false" ht="15" hidden="false" customHeight="false" outlineLevel="0" collapsed="false">
      <c r="A329" s="56"/>
      <c r="B329" s="92" t="str">
        <f aca="false">IF(A329="","",IF(Dashboard!$L$5="","",INT((A329-Dashboard!$L$5)/7)+1))</f>
        <v/>
      </c>
      <c r="C329" s="67"/>
      <c r="D329" s="67"/>
      <c r="E329" s="67"/>
      <c r="F329" s="67"/>
      <c r="G329" s="67"/>
      <c r="H329" s="67"/>
      <c r="I329" s="90"/>
      <c r="J329" s="58"/>
      <c r="K329" s="58"/>
    </row>
    <row r="330" customFormat="false" ht="15" hidden="false" customHeight="false" outlineLevel="0" collapsed="false">
      <c r="A330" s="56"/>
      <c r="B330" s="92" t="str">
        <f aca="false">IF(A330="","",IF(Dashboard!$L$5="","",INT((A330-Dashboard!$L$5)/7)+1))</f>
        <v/>
      </c>
      <c r="C330" s="67"/>
      <c r="D330" s="67"/>
      <c r="E330" s="67"/>
      <c r="F330" s="67"/>
      <c r="G330" s="67"/>
      <c r="H330" s="67"/>
      <c r="I330" s="90"/>
      <c r="J330" s="58"/>
      <c r="K330" s="58"/>
    </row>
    <row r="331" customFormat="false" ht="15" hidden="false" customHeight="false" outlineLevel="0" collapsed="false">
      <c r="A331" s="56"/>
      <c r="B331" s="92" t="str">
        <f aca="false">IF(A331="","",IF(Dashboard!$L$5="","",INT((A331-Dashboard!$L$5)/7)+1))</f>
        <v/>
      </c>
      <c r="C331" s="67"/>
      <c r="D331" s="67"/>
      <c r="E331" s="67"/>
      <c r="F331" s="67"/>
      <c r="G331" s="67"/>
      <c r="H331" s="67"/>
      <c r="I331" s="90"/>
      <c r="J331" s="58"/>
      <c r="K331" s="58"/>
    </row>
    <row r="332" customFormat="false" ht="15" hidden="false" customHeight="false" outlineLevel="0" collapsed="false">
      <c r="A332" s="56"/>
      <c r="B332" s="92" t="str">
        <f aca="false">IF(A332="","",IF(Dashboard!$L$5="","",INT((A332-Dashboard!$L$5)/7)+1))</f>
        <v/>
      </c>
      <c r="C332" s="67"/>
      <c r="D332" s="67"/>
      <c r="E332" s="67"/>
      <c r="F332" s="67"/>
      <c r="G332" s="67"/>
      <c r="H332" s="67"/>
      <c r="I332" s="90"/>
      <c r="J332" s="58"/>
      <c r="K332" s="58"/>
    </row>
    <row r="333" customFormat="false" ht="15" hidden="false" customHeight="false" outlineLevel="0" collapsed="false">
      <c r="A333" s="56"/>
      <c r="B333" s="92" t="str">
        <f aca="false">IF(A333="","",IF(Dashboard!$L$5="","",INT((A333-Dashboard!$L$5)/7)+1))</f>
        <v/>
      </c>
      <c r="C333" s="67"/>
      <c r="D333" s="67"/>
      <c r="E333" s="67"/>
      <c r="F333" s="67"/>
      <c r="G333" s="67"/>
      <c r="H333" s="67"/>
      <c r="I333" s="90"/>
      <c r="J333" s="58"/>
      <c r="K333" s="58"/>
    </row>
    <row r="334" customFormat="false" ht="15" hidden="false" customHeight="false" outlineLevel="0" collapsed="false">
      <c r="A334" s="56"/>
      <c r="B334" s="92" t="str">
        <f aca="false">IF(A334="","",IF(Dashboard!$L$5="","",INT((A334-Dashboard!$L$5)/7)+1))</f>
        <v/>
      </c>
      <c r="C334" s="67"/>
      <c r="D334" s="67"/>
      <c r="E334" s="67"/>
      <c r="F334" s="67"/>
      <c r="G334" s="67"/>
      <c r="H334" s="67"/>
      <c r="I334" s="90"/>
      <c r="J334" s="58"/>
      <c r="K334" s="58"/>
    </row>
    <row r="335" customFormat="false" ht="15" hidden="false" customHeight="false" outlineLevel="0" collapsed="false">
      <c r="A335" s="56"/>
      <c r="B335" s="92" t="str">
        <f aca="false">IF(A335="","",IF(Dashboard!$L$5="","",INT((A335-Dashboard!$L$5)/7)+1))</f>
        <v/>
      </c>
      <c r="C335" s="67"/>
      <c r="D335" s="67"/>
      <c r="E335" s="67"/>
      <c r="F335" s="67"/>
      <c r="G335" s="67"/>
      <c r="H335" s="67"/>
      <c r="I335" s="90"/>
      <c r="J335" s="58"/>
      <c r="K335" s="58"/>
    </row>
    <row r="336" customFormat="false" ht="15" hidden="false" customHeight="false" outlineLevel="0" collapsed="false">
      <c r="A336" s="56"/>
      <c r="B336" s="92" t="str">
        <f aca="false">IF(A336="","",IF(Dashboard!$L$5="","",INT((A336-Dashboard!$L$5)/7)+1))</f>
        <v/>
      </c>
      <c r="C336" s="67"/>
      <c r="D336" s="67"/>
      <c r="E336" s="67"/>
      <c r="F336" s="67"/>
      <c r="G336" s="67"/>
      <c r="H336" s="67"/>
      <c r="I336" s="90"/>
      <c r="J336" s="58"/>
      <c r="K336" s="58"/>
    </row>
    <row r="337" customFormat="false" ht="15" hidden="false" customHeight="false" outlineLevel="0" collapsed="false">
      <c r="A337" s="56"/>
      <c r="B337" s="92" t="str">
        <f aca="false">IF(A337="","",IF(Dashboard!$L$5="","",INT((A337-Dashboard!$L$5)/7)+1))</f>
        <v/>
      </c>
      <c r="C337" s="67"/>
      <c r="D337" s="67"/>
      <c r="E337" s="67"/>
      <c r="F337" s="67"/>
      <c r="G337" s="67"/>
      <c r="H337" s="67"/>
      <c r="I337" s="90"/>
      <c r="J337" s="58"/>
      <c r="K337" s="58"/>
    </row>
    <row r="338" customFormat="false" ht="15" hidden="false" customHeight="false" outlineLevel="0" collapsed="false">
      <c r="A338" s="56"/>
      <c r="B338" s="92" t="str">
        <f aca="false">IF(A338="","",IF(Dashboard!$L$5="","",INT((A338-Dashboard!$L$5)/7)+1))</f>
        <v/>
      </c>
      <c r="C338" s="67"/>
      <c r="D338" s="67"/>
      <c r="E338" s="67"/>
      <c r="F338" s="67"/>
      <c r="G338" s="67"/>
      <c r="H338" s="67"/>
      <c r="I338" s="90"/>
      <c r="J338" s="58"/>
      <c r="K338" s="58"/>
    </row>
    <row r="339" customFormat="false" ht="15" hidden="false" customHeight="false" outlineLevel="0" collapsed="false">
      <c r="A339" s="56"/>
      <c r="B339" s="92" t="str">
        <f aca="false">IF(A339="","",IF(Dashboard!$L$5="","",INT((A339-Dashboard!$L$5)/7)+1))</f>
        <v/>
      </c>
      <c r="C339" s="67"/>
      <c r="D339" s="67"/>
      <c r="E339" s="67"/>
      <c r="F339" s="67"/>
      <c r="G339" s="67"/>
      <c r="H339" s="67"/>
      <c r="I339" s="90"/>
      <c r="J339" s="58"/>
      <c r="K339" s="58"/>
    </row>
    <row r="340" customFormat="false" ht="15" hidden="false" customHeight="false" outlineLevel="0" collapsed="false">
      <c r="A340" s="56"/>
      <c r="B340" s="92" t="str">
        <f aca="false">IF(A340="","",IF(Dashboard!$L$5="","",INT((A340-Dashboard!$L$5)/7)+1))</f>
        <v/>
      </c>
      <c r="C340" s="67"/>
      <c r="D340" s="67"/>
      <c r="E340" s="67"/>
      <c r="F340" s="67"/>
      <c r="G340" s="67"/>
      <c r="H340" s="67"/>
      <c r="I340" s="90"/>
      <c r="J340" s="58"/>
      <c r="K340" s="58"/>
    </row>
    <row r="341" customFormat="false" ht="15" hidden="false" customHeight="false" outlineLevel="0" collapsed="false">
      <c r="A341" s="56"/>
      <c r="B341" s="92" t="str">
        <f aca="false">IF(A341="","",IF(Dashboard!$L$5="","",INT((A341-Dashboard!$L$5)/7)+1))</f>
        <v/>
      </c>
      <c r="C341" s="67"/>
      <c r="D341" s="67"/>
      <c r="E341" s="67"/>
      <c r="F341" s="67"/>
      <c r="G341" s="67"/>
      <c r="H341" s="67"/>
      <c r="I341" s="90"/>
      <c r="J341" s="58"/>
      <c r="K341" s="58"/>
    </row>
    <row r="342" customFormat="false" ht="15" hidden="false" customHeight="false" outlineLevel="0" collapsed="false">
      <c r="A342" s="56"/>
      <c r="B342" s="92" t="str">
        <f aca="false">IF(A342="","",IF(Dashboard!$L$5="","",INT((A342-Dashboard!$L$5)/7)+1))</f>
        <v/>
      </c>
      <c r="C342" s="67"/>
      <c r="D342" s="67"/>
      <c r="E342" s="67"/>
      <c r="F342" s="67"/>
      <c r="G342" s="67"/>
      <c r="H342" s="67"/>
      <c r="I342" s="90"/>
      <c r="J342" s="58"/>
      <c r="K342" s="58"/>
    </row>
    <row r="343" customFormat="false" ht="15" hidden="false" customHeight="false" outlineLevel="0" collapsed="false">
      <c r="A343" s="56"/>
      <c r="B343" s="92" t="str">
        <f aca="false">IF(A343="","",IF(Dashboard!$L$5="","",INT((A343-Dashboard!$L$5)/7)+1))</f>
        <v/>
      </c>
      <c r="C343" s="67"/>
      <c r="D343" s="67"/>
      <c r="E343" s="67"/>
      <c r="F343" s="67"/>
      <c r="G343" s="67"/>
      <c r="H343" s="67"/>
      <c r="I343" s="90"/>
      <c r="J343" s="58"/>
      <c r="K343" s="58"/>
    </row>
    <row r="344" customFormat="false" ht="15" hidden="false" customHeight="false" outlineLevel="0" collapsed="false">
      <c r="A344" s="56"/>
      <c r="B344" s="92" t="str">
        <f aca="false">IF(A344="","",IF(Dashboard!$L$5="","",INT((A344-Dashboard!$L$5)/7)+1))</f>
        <v/>
      </c>
      <c r="C344" s="67"/>
      <c r="D344" s="67"/>
      <c r="E344" s="67"/>
      <c r="F344" s="67"/>
      <c r="G344" s="67"/>
      <c r="H344" s="67"/>
      <c r="I344" s="90"/>
      <c r="J344" s="58"/>
      <c r="K344" s="58"/>
    </row>
    <row r="345" customFormat="false" ht="15" hidden="false" customHeight="false" outlineLevel="0" collapsed="false">
      <c r="A345" s="56"/>
      <c r="B345" s="92" t="str">
        <f aca="false">IF(A345="","",IF(Dashboard!$L$5="","",INT((A345-Dashboard!$L$5)/7)+1))</f>
        <v/>
      </c>
      <c r="C345" s="67"/>
      <c r="D345" s="67"/>
      <c r="E345" s="67"/>
      <c r="F345" s="67"/>
      <c r="G345" s="67"/>
      <c r="H345" s="67"/>
      <c r="I345" s="90"/>
      <c r="J345" s="58"/>
      <c r="K345" s="58"/>
    </row>
    <row r="346" customFormat="false" ht="15" hidden="false" customHeight="false" outlineLevel="0" collapsed="false">
      <c r="A346" s="56"/>
      <c r="B346" s="92" t="str">
        <f aca="false">IF(A346="","",IF(Dashboard!$L$5="","",INT((A346-Dashboard!$L$5)/7)+1))</f>
        <v/>
      </c>
      <c r="C346" s="67"/>
      <c r="D346" s="67"/>
      <c r="E346" s="67"/>
      <c r="F346" s="67"/>
      <c r="G346" s="67"/>
      <c r="H346" s="67"/>
      <c r="I346" s="90"/>
      <c r="J346" s="58"/>
      <c r="K346" s="58"/>
    </row>
    <row r="347" customFormat="false" ht="15" hidden="false" customHeight="false" outlineLevel="0" collapsed="false">
      <c r="A347" s="56"/>
      <c r="B347" s="92" t="str">
        <f aca="false">IF(A347="","",IF(Dashboard!$L$5="","",INT((A347-Dashboard!$L$5)/7)+1))</f>
        <v/>
      </c>
      <c r="C347" s="67"/>
      <c r="D347" s="67"/>
      <c r="E347" s="67"/>
      <c r="F347" s="67"/>
      <c r="G347" s="67"/>
      <c r="H347" s="67"/>
      <c r="I347" s="90"/>
      <c r="J347" s="58"/>
      <c r="K347" s="58"/>
    </row>
    <row r="348" customFormat="false" ht="15" hidden="false" customHeight="false" outlineLevel="0" collapsed="false">
      <c r="A348" s="56"/>
      <c r="B348" s="92" t="str">
        <f aca="false">IF(A348="","",IF(Dashboard!$L$5="","",INT((A348-Dashboard!$L$5)/7)+1))</f>
        <v/>
      </c>
      <c r="C348" s="67"/>
      <c r="D348" s="67"/>
      <c r="E348" s="67"/>
      <c r="F348" s="67"/>
      <c r="G348" s="67"/>
      <c r="H348" s="67"/>
      <c r="I348" s="90"/>
      <c r="J348" s="58"/>
      <c r="K348" s="58"/>
    </row>
    <row r="349" customFormat="false" ht="15" hidden="false" customHeight="false" outlineLevel="0" collapsed="false">
      <c r="A349" s="56"/>
      <c r="B349" s="92" t="str">
        <f aca="false">IF(A349="","",IF(Dashboard!$L$5="","",INT((A349-Dashboard!$L$5)/7)+1))</f>
        <v/>
      </c>
      <c r="C349" s="67"/>
      <c r="D349" s="67"/>
      <c r="E349" s="67"/>
      <c r="F349" s="67"/>
      <c r="G349" s="67"/>
      <c r="H349" s="67"/>
      <c r="I349" s="90"/>
      <c r="J349" s="58"/>
      <c r="K349" s="58"/>
    </row>
    <row r="350" customFormat="false" ht="15" hidden="false" customHeight="false" outlineLevel="0" collapsed="false">
      <c r="A350" s="56"/>
      <c r="B350" s="92" t="str">
        <f aca="false">IF(A350="","",IF(Dashboard!$L$5="","",INT((A350-Dashboard!$L$5)/7)+1))</f>
        <v/>
      </c>
      <c r="C350" s="67"/>
      <c r="D350" s="67"/>
      <c r="E350" s="67"/>
      <c r="F350" s="67"/>
      <c r="G350" s="67"/>
      <c r="H350" s="67"/>
      <c r="I350" s="90"/>
      <c r="J350" s="58"/>
      <c r="K350" s="58"/>
    </row>
    <row r="351" customFormat="false" ht="15" hidden="false" customHeight="false" outlineLevel="0" collapsed="false">
      <c r="A351" s="56"/>
      <c r="B351" s="92" t="str">
        <f aca="false">IF(A351="","",IF(Dashboard!$L$5="","",INT((A351-Dashboard!$L$5)/7)+1))</f>
        <v/>
      </c>
      <c r="C351" s="67"/>
      <c r="D351" s="67"/>
      <c r="E351" s="67"/>
      <c r="F351" s="67"/>
      <c r="G351" s="67"/>
      <c r="H351" s="67"/>
      <c r="I351" s="90"/>
      <c r="J351" s="58"/>
      <c r="K351" s="58"/>
    </row>
    <row r="352" customFormat="false" ht="15" hidden="false" customHeight="false" outlineLevel="0" collapsed="false">
      <c r="A352" s="56"/>
      <c r="B352" s="92" t="str">
        <f aca="false">IF(A352="","",IF(Dashboard!$L$5="","",INT((A352-Dashboard!$L$5)/7)+1))</f>
        <v/>
      </c>
      <c r="C352" s="67"/>
      <c r="D352" s="67"/>
      <c r="E352" s="67"/>
      <c r="F352" s="67"/>
      <c r="G352" s="67"/>
      <c r="H352" s="67"/>
      <c r="I352" s="90"/>
      <c r="J352" s="58"/>
      <c r="K352" s="58"/>
    </row>
    <row r="353" customFormat="false" ht="15" hidden="false" customHeight="false" outlineLevel="0" collapsed="false">
      <c r="A353" s="56"/>
      <c r="B353" s="92" t="str">
        <f aca="false">IF(A353="","",IF(Dashboard!$L$5="","",INT((A353-Dashboard!$L$5)/7)+1))</f>
        <v/>
      </c>
      <c r="C353" s="67"/>
      <c r="D353" s="67"/>
      <c r="E353" s="67"/>
      <c r="F353" s="67"/>
      <c r="G353" s="67"/>
      <c r="H353" s="67"/>
      <c r="I353" s="90"/>
      <c r="J353" s="58"/>
      <c r="K353" s="58"/>
    </row>
    <row r="354" customFormat="false" ht="15" hidden="false" customHeight="false" outlineLevel="0" collapsed="false">
      <c r="A354" s="56"/>
      <c r="B354" s="92" t="str">
        <f aca="false">IF(A354="","",IF(Dashboard!$L$5="","",INT((A354-Dashboard!$L$5)/7)+1))</f>
        <v/>
      </c>
      <c r="C354" s="67"/>
      <c r="D354" s="67"/>
      <c r="E354" s="67"/>
      <c r="F354" s="67"/>
      <c r="G354" s="67"/>
      <c r="H354" s="67"/>
      <c r="I354" s="90"/>
      <c r="J354" s="58"/>
      <c r="K354" s="58"/>
    </row>
    <row r="355" customFormat="false" ht="15" hidden="false" customHeight="false" outlineLevel="0" collapsed="false">
      <c r="A355" s="56"/>
      <c r="B355" s="92" t="str">
        <f aca="false">IF(A355="","",IF(Dashboard!$L$5="","",INT((A355-Dashboard!$L$5)/7)+1))</f>
        <v/>
      </c>
      <c r="C355" s="67"/>
      <c r="D355" s="67"/>
      <c r="E355" s="67"/>
      <c r="F355" s="67"/>
      <c r="G355" s="67"/>
      <c r="H355" s="67"/>
      <c r="I355" s="90"/>
      <c r="J355" s="58"/>
      <c r="K355" s="58"/>
    </row>
    <row r="356" customFormat="false" ht="15" hidden="false" customHeight="false" outlineLevel="0" collapsed="false">
      <c r="A356" s="56"/>
      <c r="B356" s="92" t="str">
        <f aca="false">IF(A356="","",IF(Dashboard!$L$5="","",INT((A356-Dashboard!$L$5)/7)+1))</f>
        <v/>
      </c>
      <c r="C356" s="67"/>
      <c r="D356" s="67"/>
      <c r="E356" s="67"/>
      <c r="F356" s="67"/>
      <c r="G356" s="67"/>
      <c r="H356" s="67"/>
      <c r="I356" s="90"/>
      <c r="J356" s="58"/>
      <c r="K356" s="58"/>
    </row>
    <row r="357" customFormat="false" ht="15" hidden="false" customHeight="false" outlineLevel="0" collapsed="false">
      <c r="A357" s="56"/>
      <c r="B357" s="92" t="str">
        <f aca="false">IF(A357="","",IF(Dashboard!$L$5="","",INT((A357-Dashboard!$L$5)/7)+1))</f>
        <v/>
      </c>
      <c r="C357" s="67"/>
      <c r="D357" s="67"/>
      <c r="E357" s="67"/>
      <c r="F357" s="67"/>
      <c r="G357" s="67"/>
      <c r="H357" s="67"/>
      <c r="I357" s="90"/>
      <c r="J357" s="58"/>
      <c r="K357" s="58"/>
    </row>
    <row r="358" customFormat="false" ht="15" hidden="false" customHeight="false" outlineLevel="0" collapsed="false">
      <c r="A358" s="56"/>
      <c r="B358" s="92" t="str">
        <f aca="false">IF(A358="","",IF(Dashboard!$L$5="","",INT((A358-Dashboard!$L$5)/7)+1))</f>
        <v/>
      </c>
      <c r="C358" s="67"/>
      <c r="D358" s="67"/>
      <c r="E358" s="67"/>
      <c r="F358" s="67"/>
      <c r="G358" s="67"/>
      <c r="H358" s="67"/>
      <c r="I358" s="90"/>
      <c r="J358" s="58"/>
      <c r="K358" s="58"/>
    </row>
    <row r="359" customFormat="false" ht="15" hidden="false" customHeight="false" outlineLevel="0" collapsed="false">
      <c r="A359" s="56"/>
      <c r="B359" s="92" t="str">
        <f aca="false">IF(A359="","",IF(Dashboard!$L$5="","",INT((A359-Dashboard!$L$5)/7)+1))</f>
        <v/>
      </c>
      <c r="C359" s="67"/>
      <c r="D359" s="67"/>
      <c r="E359" s="67"/>
      <c r="F359" s="67"/>
      <c r="G359" s="67"/>
      <c r="H359" s="67"/>
      <c r="I359" s="90"/>
      <c r="J359" s="58"/>
      <c r="K359" s="58"/>
    </row>
    <row r="360" customFormat="false" ht="15" hidden="false" customHeight="false" outlineLevel="0" collapsed="false">
      <c r="A360" s="56"/>
      <c r="B360" s="92" t="str">
        <f aca="false">IF(A360="","",IF(Dashboard!$L$5="","",INT((A360-Dashboard!$L$5)/7)+1))</f>
        <v/>
      </c>
      <c r="C360" s="67"/>
      <c r="D360" s="67"/>
      <c r="E360" s="67"/>
      <c r="F360" s="67"/>
      <c r="G360" s="67"/>
      <c r="H360" s="67"/>
      <c r="I360" s="90"/>
      <c r="J360" s="58"/>
      <c r="K360" s="58"/>
    </row>
    <row r="361" customFormat="false" ht="15" hidden="false" customHeight="false" outlineLevel="0" collapsed="false">
      <c r="A361" s="56"/>
      <c r="B361" s="92" t="str">
        <f aca="false">IF(A361="","",IF(Dashboard!$L$5="","",INT((A361-Dashboard!$L$5)/7)+1))</f>
        <v/>
      </c>
      <c r="C361" s="67"/>
      <c r="D361" s="67"/>
      <c r="E361" s="67"/>
      <c r="F361" s="67"/>
      <c r="G361" s="67"/>
      <c r="H361" s="67"/>
      <c r="I361" s="90"/>
      <c r="J361" s="58"/>
      <c r="K361" s="58"/>
    </row>
    <row r="362" customFormat="false" ht="15" hidden="false" customHeight="false" outlineLevel="0" collapsed="false">
      <c r="A362" s="56"/>
      <c r="B362" s="92" t="str">
        <f aca="false">IF(A362="","",IF(Dashboard!$L$5="","",INT((A362-Dashboard!$L$5)/7)+1))</f>
        <v/>
      </c>
      <c r="C362" s="67"/>
      <c r="D362" s="67"/>
      <c r="E362" s="67"/>
      <c r="F362" s="67"/>
      <c r="G362" s="67"/>
      <c r="H362" s="67"/>
      <c r="I362" s="90"/>
      <c r="J362" s="58"/>
      <c r="K362" s="58"/>
    </row>
    <row r="363" customFormat="false" ht="15" hidden="false" customHeight="false" outlineLevel="0" collapsed="false">
      <c r="A363" s="56"/>
      <c r="B363" s="92" t="str">
        <f aca="false">IF(A363="","",IF(Dashboard!$L$5="","",INT((A363-Dashboard!$L$5)/7)+1))</f>
        <v/>
      </c>
      <c r="C363" s="67"/>
      <c r="D363" s="67"/>
      <c r="E363" s="67"/>
      <c r="F363" s="67"/>
      <c r="G363" s="67"/>
      <c r="H363" s="67"/>
      <c r="I363" s="90"/>
      <c r="J363" s="58"/>
      <c r="K363" s="58"/>
    </row>
    <row r="364" customFormat="false" ht="15" hidden="false" customHeight="false" outlineLevel="0" collapsed="false">
      <c r="A364" s="56"/>
      <c r="B364" s="92" t="str">
        <f aca="false">IF(A364="","",IF(Dashboard!$L$5="","",INT((A364-Dashboard!$L$5)/7)+1))</f>
        <v/>
      </c>
      <c r="C364" s="67"/>
      <c r="D364" s="67"/>
      <c r="E364" s="67"/>
      <c r="F364" s="67"/>
      <c r="G364" s="67"/>
      <c r="H364" s="67"/>
      <c r="I364" s="90"/>
      <c r="J364" s="58"/>
      <c r="K364" s="58"/>
    </row>
    <row r="365" customFormat="false" ht="15" hidden="false" customHeight="false" outlineLevel="0" collapsed="false">
      <c r="A365" s="56"/>
      <c r="B365" s="92" t="str">
        <f aca="false">IF(A365="","",IF(Dashboard!$L$5="","",INT((A365-Dashboard!$L$5)/7)+1))</f>
        <v/>
      </c>
      <c r="C365" s="67"/>
      <c r="D365" s="67"/>
      <c r="E365" s="67"/>
      <c r="F365" s="67"/>
      <c r="G365" s="67"/>
      <c r="H365" s="67"/>
      <c r="I365" s="90"/>
      <c r="J365" s="58"/>
      <c r="K365" s="58"/>
    </row>
    <row r="366" customFormat="false" ht="15" hidden="false" customHeight="false" outlineLevel="0" collapsed="false">
      <c r="A366" s="56"/>
      <c r="B366" s="92" t="str">
        <f aca="false">IF(A366="","",IF(Dashboard!$L$5="","",INT((A366-Dashboard!$L$5)/7)+1))</f>
        <v/>
      </c>
      <c r="C366" s="67"/>
      <c r="D366" s="67"/>
      <c r="E366" s="67"/>
      <c r="F366" s="67"/>
      <c r="G366" s="67"/>
      <c r="H366" s="67"/>
      <c r="I366" s="90"/>
      <c r="J366" s="58"/>
      <c r="K366" s="58"/>
    </row>
    <row r="367" customFormat="false" ht="15" hidden="false" customHeight="false" outlineLevel="0" collapsed="false">
      <c r="A367" s="56"/>
      <c r="B367" s="92" t="str">
        <f aca="false">IF(A367="","",IF(Dashboard!$L$5="","",INT((A367-Dashboard!$L$5)/7)+1))</f>
        <v/>
      </c>
      <c r="C367" s="67"/>
      <c r="D367" s="67"/>
      <c r="E367" s="67"/>
      <c r="F367" s="67"/>
      <c r="G367" s="67"/>
      <c r="H367" s="67"/>
      <c r="I367" s="90"/>
      <c r="J367" s="58"/>
      <c r="K367" s="58"/>
    </row>
    <row r="368" customFormat="false" ht="15" hidden="false" customHeight="false" outlineLevel="0" collapsed="false">
      <c r="A368" s="56"/>
      <c r="B368" s="92" t="str">
        <f aca="false">IF(A368="","",IF(Dashboard!$L$5="","",INT((A368-Dashboard!$L$5)/7)+1))</f>
        <v/>
      </c>
      <c r="C368" s="67"/>
      <c r="D368" s="67"/>
      <c r="E368" s="67"/>
      <c r="F368" s="67"/>
      <c r="G368" s="67"/>
      <c r="H368" s="67"/>
      <c r="I368" s="90"/>
      <c r="J368" s="58"/>
      <c r="K368" s="58"/>
    </row>
    <row r="369" customFormat="false" ht="15" hidden="false" customHeight="false" outlineLevel="0" collapsed="false">
      <c r="A369" s="56"/>
      <c r="B369" s="92" t="str">
        <f aca="false">IF(A369="","",IF(Dashboard!$L$5="","",INT((A369-Dashboard!$L$5)/7)+1))</f>
        <v/>
      </c>
      <c r="C369" s="67"/>
      <c r="D369" s="67"/>
      <c r="E369" s="67"/>
      <c r="F369" s="67"/>
      <c r="G369" s="67"/>
      <c r="H369" s="67"/>
      <c r="I369" s="90"/>
      <c r="J369" s="58"/>
      <c r="K369" s="58"/>
    </row>
    <row r="370" customFormat="false" ht="15" hidden="false" customHeight="false" outlineLevel="0" collapsed="false">
      <c r="A370" s="56"/>
      <c r="B370" s="92" t="str">
        <f aca="false">IF(A370="","",IF(Dashboard!$L$5="","",INT((A370-Dashboard!$L$5)/7)+1))</f>
        <v/>
      </c>
      <c r="C370" s="67"/>
      <c r="D370" s="67"/>
      <c r="E370" s="67"/>
      <c r="F370" s="67"/>
      <c r="G370" s="67"/>
      <c r="H370" s="67"/>
      <c r="I370" s="90"/>
      <c r="J370" s="58"/>
      <c r="K370" s="58"/>
    </row>
    <row r="371" customFormat="false" ht="15" hidden="false" customHeight="false" outlineLevel="0" collapsed="false">
      <c r="A371" s="56"/>
      <c r="B371" s="92" t="str">
        <f aca="false">IF(A371="","",IF(Dashboard!$L$5="","",INT((A371-Dashboard!$L$5)/7)+1))</f>
        <v/>
      </c>
      <c r="C371" s="67"/>
      <c r="D371" s="67"/>
      <c r="E371" s="67"/>
      <c r="F371" s="67"/>
      <c r="G371" s="67"/>
      <c r="H371" s="67"/>
      <c r="I371" s="90"/>
      <c r="J371" s="58"/>
      <c r="K371" s="58"/>
    </row>
    <row r="372" customFormat="false" ht="15" hidden="false" customHeight="false" outlineLevel="0" collapsed="false">
      <c r="A372" s="56"/>
      <c r="B372" s="92" t="str">
        <f aca="false">IF(A372="","",IF(Dashboard!$L$5="","",INT((A372-Dashboard!$L$5)/7)+1))</f>
        <v/>
      </c>
      <c r="C372" s="67"/>
      <c r="D372" s="67"/>
      <c r="E372" s="67"/>
      <c r="F372" s="67"/>
      <c r="G372" s="67"/>
      <c r="H372" s="67"/>
      <c r="I372" s="90"/>
      <c r="J372" s="58"/>
      <c r="K372" s="58"/>
    </row>
    <row r="373" customFormat="false" ht="15" hidden="false" customHeight="false" outlineLevel="0" collapsed="false">
      <c r="A373" s="56"/>
      <c r="B373" s="92" t="str">
        <f aca="false">IF(A373="","",IF(Dashboard!$L$5="","",INT((A373-Dashboard!$L$5)/7)+1))</f>
        <v/>
      </c>
      <c r="C373" s="67"/>
      <c r="D373" s="67"/>
      <c r="E373" s="67"/>
      <c r="F373" s="67"/>
      <c r="G373" s="67"/>
      <c r="H373" s="67"/>
      <c r="I373" s="90"/>
      <c r="J373" s="58"/>
      <c r="K373" s="58"/>
    </row>
    <row r="374" customFormat="false" ht="15" hidden="false" customHeight="false" outlineLevel="0" collapsed="false">
      <c r="A374" s="56"/>
      <c r="B374" s="92" t="str">
        <f aca="false">IF(A374="","",IF(Dashboard!$L$5="","",INT((A374-Dashboard!$L$5)/7)+1))</f>
        <v/>
      </c>
      <c r="C374" s="67"/>
      <c r="D374" s="67"/>
      <c r="E374" s="67"/>
      <c r="F374" s="67"/>
      <c r="G374" s="67"/>
      <c r="H374" s="67"/>
      <c r="I374" s="90"/>
      <c r="J374" s="58"/>
      <c r="K374" s="58"/>
    </row>
    <row r="375" customFormat="false" ht="15" hidden="false" customHeight="false" outlineLevel="0" collapsed="false">
      <c r="A375" s="56"/>
      <c r="B375" s="92" t="str">
        <f aca="false">IF(A375="","",IF(Dashboard!$L$5="","",INT((A375-Dashboard!$L$5)/7)+1))</f>
        <v/>
      </c>
      <c r="C375" s="67"/>
      <c r="D375" s="67"/>
      <c r="E375" s="67"/>
      <c r="F375" s="67"/>
      <c r="G375" s="67"/>
      <c r="H375" s="67"/>
      <c r="I375" s="90"/>
      <c r="J375" s="58"/>
      <c r="K375" s="58"/>
    </row>
  </sheetData>
  <mergeCells count="335">
    <mergeCell ref="A1:K1"/>
    <mergeCell ref="A2:K2"/>
    <mergeCell ref="A4:K4"/>
    <mergeCell ref="B5:C5"/>
    <mergeCell ref="D5:E5"/>
    <mergeCell ref="G5:I5"/>
    <mergeCell ref="B6:C6"/>
    <mergeCell ref="D6:E6"/>
    <mergeCell ref="G6:I6"/>
    <mergeCell ref="B7:C7"/>
    <mergeCell ref="D7:E7"/>
    <mergeCell ref="G7:I7"/>
    <mergeCell ref="B8:C8"/>
    <mergeCell ref="D8:E8"/>
    <mergeCell ref="G8:I8"/>
    <mergeCell ref="B9:C9"/>
    <mergeCell ref="D9:E9"/>
    <mergeCell ref="G9:I9"/>
    <mergeCell ref="B10:C10"/>
    <mergeCell ref="D10:E10"/>
    <mergeCell ref="G10:I10"/>
    <mergeCell ref="B11:C11"/>
    <mergeCell ref="D11:E11"/>
    <mergeCell ref="G11:I11"/>
    <mergeCell ref="A12:E12"/>
    <mergeCell ref="G12:I12"/>
    <mergeCell ref="J12:K12"/>
    <mergeCell ref="A14:K14"/>
    <mergeCell ref="A15:B15"/>
    <mergeCell ref="I15:K15"/>
    <mergeCell ref="A16:B16"/>
    <mergeCell ref="I16:K16"/>
    <mergeCell ref="A18:K18"/>
    <mergeCell ref="A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223:K223"/>
    <mergeCell ref="J224:K224"/>
    <mergeCell ref="J225:K225"/>
    <mergeCell ref="J226:K226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7:K237"/>
    <mergeCell ref="J238:K238"/>
    <mergeCell ref="J239:K239"/>
    <mergeCell ref="J240:K240"/>
    <mergeCell ref="J241:K241"/>
    <mergeCell ref="J242:K242"/>
    <mergeCell ref="J243:K243"/>
    <mergeCell ref="J244:K244"/>
    <mergeCell ref="J245:K245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59:K259"/>
    <mergeCell ref="J260:K260"/>
    <mergeCell ref="J261:K261"/>
    <mergeCell ref="J262:K262"/>
    <mergeCell ref="J263:K263"/>
    <mergeCell ref="J264:K264"/>
    <mergeCell ref="J265:K265"/>
    <mergeCell ref="J266:K266"/>
    <mergeCell ref="J267:K267"/>
    <mergeCell ref="J268:K268"/>
    <mergeCell ref="J269:K269"/>
    <mergeCell ref="J270:K270"/>
    <mergeCell ref="J271:K271"/>
    <mergeCell ref="J272:K272"/>
    <mergeCell ref="J273:K273"/>
    <mergeCell ref="J274:K274"/>
    <mergeCell ref="J275:K275"/>
    <mergeCell ref="J276:K276"/>
    <mergeCell ref="J277:K277"/>
    <mergeCell ref="J278:K278"/>
    <mergeCell ref="J279:K279"/>
    <mergeCell ref="J280:K280"/>
    <mergeCell ref="J281:K281"/>
    <mergeCell ref="J282:K282"/>
    <mergeCell ref="J283:K283"/>
    <mergeCell ref="J284:K284"/>
    <mergeCell ref="J285:K285"/>
    <mergeCell ref="J286:K286"/>
    <mergeCell ref="J287:K287"/>
    <mergeCell ref="J288:K288"/>
    <mergeCell ref="J289:K289"/>
    <mergeCell ref="J290:K290"/>
    <mergeCell ref="J291:K291"/>
    <mergeCell ref="J292:K292"/>
    <mergeCell ref="J293:K293"/>
    <mergeCell ref="J294:K294"/>
    <mergeCell ref="J295:K295"/>
    <mergeCell ref="J296:K296"/>
    <mergeCell ref="J297:K297"/>
    <mergeCell ref="J298:K298"/>
    <mergeCell ref="J299:K299"/>
    <mergeCell ref="J300:K300"/>
    <mergeCell ref="J301:K301"/>
    <mergeCell ref="J302:K302"/>
    <mergeCell ref="J303:K303"/>
    <mergeCell ref="J304:K304"/>
    <mergeCell ref="J305:K305"/>
    <mergeCell ref="J306:K306"/>
    <mergeCell ref="J307:K307"/>
    <mergeCell ref="J308:K308"/>
    <mergeCell ref="J309:K309"/>
    <mergeCell ref="J310:K310"/>
    <mergeCell ref="J311:K311"/>
    <mergeCell ref="J312:K312"/>
    <mergeCell ref="J313:K313"/>
    <mergeCell ref="J314:K314"/>
    <mergeCell ref="J315:K315"/>
    <mergeCell ref="J316:K316"/>
    <mergeCell ref="J317:K317"/>
    <mergeCell ref="J318:K318"/>
    <mergeCell ref="J319:K319"/>
    <mergeCell ref="J320:K320"/>
    <mergeCell ref="J321:K321"/>
    <mergeCell ref="J322:K322"/>
    <mergeCell ref="J323:K323"/>
    <mergeCell ref="J324:K324"/>
    <mergeCell ref="J325:K325"/>
    <mergeCell ref="J326:K326"/>
    <mergeCell ref="J327:K327"/>
    <mergeCell ref="J328:K328"/>
    <mergeCell ref="J329:K329"/>
    <mergeCell ref="J330:K330"/>
    <mergeCell ref="J331:K331"/>
    <mergeCell ref="J332:K332"/>
    <mergeCell ref="J333:K333"/>
    <mergeCell ref="J334:K334"/>
    <mergeCell ref="J335:K335"/>
    <mergeCell ref="J336:K336"/>
    <mergeCell ref="J337:K337"/>
    <mergeCell ref="J338:K338"/>
    <mergeCell ref="J339:K339"/>
    <mergeCell ref="J340:K340"/>
    <mergeCell ref="J341:K341"/>
    <mergeCell ref="J342:K342"/>
    <mergeCell ref="J343:K343"/>
    <mergeCell ref="J344:K344"/>
    <mergeCell ref="J345:K345"/>
    <mergeCell ref="J346:K346"/>
    <mergeCell ref="J347:K347"/>
    <mergeCell ref="J348:K348"/>
    <mergeCell ref="J349:K349"/>
    <mergeCell ref="J350:K350"/>
    <mergeCell ref="J351:K351"/>
    <mergeCell ref="J352:K352"/>
    <mergeCell ref="J353:K353"/>
    <mergeCell ref="J354:K354"/>
    <mergeCell ref="J355:K355"/>
    <mergeCell ref="J356:K356"/>
    <mergeCell ref="J357:K357"/>
    <mergeCell ref="J358:K358"/>
    <mergeCell ref="J359:K359"/>
    <mergeCell ref="J360:K360"/>
    <mergeCell ref="J361:K361"/>
    <mergeCell ref="J362:K362"/>
    <mergeCell ref="J363:K363"/>
    <mergeCell ref="J364:K364"/>
    <mergeCell ref="J365:K365"/>
    <mergeCell ref="J366:K366"/>
    <mergeCell ref="J367:K367"/>
    <mergeCell ref="J368:K368"/>
    <mergeCell ref="J369:K369"/>
    <mergeCell ref="J370:K370"/>
    <mergeCell ref="J371:K371"/>
    <mergeCell ref="J372:K372"/>
    <mergeCell ref="J373:K373"/>
    <mergeCell ref="J374:K374"/>
    <mergeCell ref="J375:K375"/>
  </mergeCells>
  <conditionalFormatting sqref="G12">
    <cfRule type="expression" priority="2" aboveAverage="0" equalAverage="0" bottom="0" percent="0" rank="0" text="" dxfId="12">
      <formula>OR(G12="READY",G12="COMPLETE",G12="MET",G12="Y")</formula>
    </cfRule>
    <cfRule type="expression" priority="3" aboveAverage="0" equalAverage="0" bottom="0" percent="0" rank="0" text="" dxfId="13">
      <formula>G12="IN PROGRESS"</formula>
    </cfRule>
    <cfRule type="expression" priority="4" aboveAverage="0" equalAverage="0" bottom="0" percent="0" rank="0" text="" dxfId="14">
      <formula>OR(G12="NOT READY",G12="NOT STARTED",G12="BELOW",G12="N",G12="NOT MET")</formula>
    </cfRule>
  </conditionalFormatting>
  <conditionalFormatting sqref="F6:F11">
    <cfRule type="expression" priority="5" aboveAverage="0" equalAverage="0" bottom="0" percent="0" rank="0" text="" dxfId="12">
      <formula>OR(F6="READY",F6="COMPLETE",F6="MET",F6="Y")</formula>
    </cfRule>
    <cfRule type="expression" priority="6" aboveAverage="0" equalAverage="0" bottom="0" percent="0" rank="0" text="" dxfId="13">
      <formula>F6="IN PROGRESS"</formula>
    </cfRule>
    <cfRule type="expression" priority="7" aboveAverage="0" equalAverage="0" bottom="0" percent="0" rank="0" text="" dxfId="14">
      <formula>OR(F6="NOT READY",F6="NOT STARTED",F6="BELOW",F6="N",F6="NOT MET")</formula>
    </cfRule>
  </conditionalFormatting>
  <conditionalFormatting sqref="G6:G11">
    <cfRule type="expression" priority="8" aboveAverage="0" equalAverage="0" bottom="0" percent="0" rank="0" text="" dxfId="7">
      <formula>AND(ISNUMBER(G6),G6&gt;=1)</formula>
    </cfRule>
    <cfRule type="expression" priority="9" aboveAverage="0" equalAverage="0" bottom="0" percent="0" rank="0" text="" dxfId="8">
      <formula>AND(ISNUMBER(G6),G6&gt;=0.8,G6&lt;1)</formula>
    </cfRule>
    <cfRule type="expression" priority="10" aboveAverage="0" equalAverage="0" bottom="0" percent="0" rank="0" text="" dxfId="9">
      <formula>AND(ISNUMBER(G6),G6&lt;0.8)</formula>
    </cfRule>
  </conditionalFormatting>
  <conditionalFormatting sqref="I20:K71">
    <cfRule type="expression" priority="11" aboveAverage="0" equalAverage="0" bottom="0" percent="0" rank="0" text="" dxfId="7">
      <formula>AND(ISNUMBER(I20),I20&gt;=1)</formula>
    </cfRule>
    <cfRule type="expression" priority="12" aboveAverage="0" equalAverage="0" bottom="0" percent="0" rank="0" text="" dxfId="8">
      <formula>AND(ISNUMBER(I20),I20&gt;=0.8,I20&lt;1)</formula>
    </cfRule>
    <cfRule type="expression" priority="13" aboveAverage="0" equalAverage="0" bottom="0" percent="0" rank="0" text="" dxfId="9">
      <formula>AND(ISNUMBER(I20),I20&lt;0.8)</formula>
    </cfRule>
  </conditionalFormatting>
  <dataValidations count="2">
    <dataValidation allowBlank="true" errorStyle="stop" operator="between" showDropDown="false" showErrorMessage="false" showInputMessage="false" sqref="F6:F11" type="list">
      <formula1>"Y,N"</formula1>
      <formula2>0</formula2>
    </dataValidation>
    <dataValidation allowBlank="true" errorStyle="stop" operator="between" showDropDown="false" showErrorMessage="false" showInputMessage="false" sqref="C76:C375" type="list">
      <formula1>Lists!$D$3:$D$7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L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3"/>
    <col collapsed="false" customWidth="true" hidden="false" outlineLevel="0" max="7" min="7" style="0" width="36"/>
    <col collapsed="false" customWidth="true" hidden="false" outlineLevel="0" max="8" min="8" style="0" width="3"/>
    <col collapsed="false" customWidth="true" hidden="false" outlineLevel="0" max="9" min="9" style="0" width="42"/>
    <col collapsed="false" customWidth="true" hidden="false" outlineLevel="0" max="10" min="10" style="0" width="44"/>
    <col collapsed="false" customWidth="true" hidden="false" outlineLevel="0" max="11" min="11" style="0" width="3"/>
    <col collapsed="false" customWidth="true" hidden="false" outlineLevel="0" max="12" min="12" style="0" width="8"/>
  </cols>
  <sheetData>
    <row r="1" customFormat="false" ht="15" hidden="false" customHeight="true" outlineLevel="0" collapsed="false">
      <c r="A1" s="54" t="s">
        <v>310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customFormat="false" ht="15" hidden="false" customHeight="false" outlineLevel="0" collapsed="false">
      <c r="A2" s="63" t="s">
        <v>40</v>
      </c>
      <c r="C2" s="63" t="s">
        <v>311</v>
      </c>
      <c r="D2" s="63" t="s">
        <v>307</v>
      </c>
      <c r="E2" s="63" t="s">
        <v>312</v>
      </c>
      <c r="G2" s="63" t="s">
        <v>313</v>
      </c>
      <c r="I2" s="63" t="s">
        <v>76</v>
      </c>
      <c r="J2" s="63" t="s">
        <v>77</v>
      </c>
      <c r="L2" s="63" t="s">
        <v>314</v>
      </c>
    </row>
    <row r="3" customFormat="false" ht="15" hidden="false" customHeight="false" outlineLevel="0" collapsed="false">
      <c r="A3" s="58" t="s">
        <v>315</v>
      </c>
      <c r="C3" s="67" t="s">
        <v>218</v>
      </c>
      <c r="D3" s="58" t="s">
        <v>309</v>
      </c>
      <c r="E3" s="58" t="s">
        <v>105</v>
      </c>
      <c r="G3" s="82" t="s">
        <v>130</v>
      </c>
      <c r="I3" s="58" t="s">
        <v>85</v>
      </c>
      <c r="J3" s="58" t="s">
        <v>86</v>
      </c>
      <c r="L3" s="67" t="s">
        <v>36</v>
      </c>
    </row>
    <row r="4" customFormat="false" ht="15" hidden="false" customHeight="false" outlineLevel="0" collapsed="false">
      <c r="A4" s="58" t="s">
        <v>316</v>
      </c>
      <c r="C4" s="67" t="s">
        <v>317</v>
      </c>
      <c r="D4" s="58" t="s">
        <v>308</v>
      </c>
      <c r="E4" s="58" t="s">
        <v>110</v>
      </c>
      <c r="G4" s="82" t="s">
        <v>132</v>
      </c>
      <c r="I4" s="58" t="s">
        <v>318</v>
      </c>
      <c r="J4" s="58" t="s">
        <v>88</v>
      </c>
    </row>
    <row r="5" customFormat="false" ht="15" hidden="false" customHeight="false" outlineLevel="0" collapsed="false">
      <c r="A5" s="58" t="s">
        <v>37</v>
      </c>
      <c r="D5" s="58" t="s">
        <v>319</v>
      </c>
      <c r="E5" s="58" t="s">
        <v>117</v>
      </c>
      <c r="G5" s="82" t="s">
        <v>137</v>
      </c>
      <c r="I5" s="58" t="s">
        <v>320</v>
      </c>
      <c r="J5" s="58" t="s">
        <v>89</v>
      </c>
    </row>
    <row r="6" customFormat="false" ht="15" hidden="false" customHeight="false" outlineLevel="0" collapsed="false">
      <c r="A6" s="58" t="s">
        <v>321</v>
      </c>
      <c r="D6" s="58" t="s">
        <v>322</v>
      </c>
      <c r="E6" s="58" t="s">
        <v>122</v>
      </c>
      <c r="G6" s="82" t="s">
        <v>179</v>
      </c>
      <c r="I6" s="58" t="s">
        <v>323</v>
      </c>
      <c r="J6" s="58" t="s">
        <v>324</v>
      </c>
    </row>
    <row r="7" customFormat="false" ht="15" hidden="false" customHeight="false" outlineLevel="0" collapsed="false">
      <c r="A7" s="58" t="s">
        <v>325</v>
      </c>
      <c r="D7" s="58" t="s">
        <v>326</v>
      </c>
      <c r="E7" s="58" t="s">
        <v>128</v>
      </c>
      <c r="G7" s="82" t="s">
        <v>180</v>
      </c>
    </row>
    <row r="8" customFormat="false" ht="15" hidden="false" customHeight="false" outlineLevel="0" collapsed="false">
      <c r="E8" s="58" t="s">
        <v>134</v>
      </c>
      <c r="G8" s="82" t="s">
        <v>181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L1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4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2" min="11" style="0" width="12"/>
  </cols>
  <sheetData>
    <row r="1" customFormat="false" ht="15" hidden="false" customHeight="true" outlineLevel="0" collapsed="false">
      <c r="A1" s="54" t="s">
        <v>327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3" customFormat="false" ht="18" hidden="false" customHeight="true" outlineLevel="0" collapsed="false">
      <c r="A3" s="33" t="s">
        <v>40</v>
      </c>
      <c r="B3" s="33" t="s">
        <v>328</v>
      </c>
      <c r="C3" s="33" t="s">
        <v>329</v>
      </c>
      <c r="D3" s="33" t="s">
        <v>330</v>
      </c>
      <c r="E3" s="33" t="s">
        <v>331</v>
      </c>
      <c r="F3" s="33" t="s">
        <v>332</v>
      </c>
      <c r="G3" s="33" t="s">
        <v>41</v>
      </c>
      <c r="H3" s="33" t="s">
        <v>42</v>
      </c>
      <c r="I3" s="33" t="s">
        <v>65</v>
      </c>
      <c r="J3" s="33" t="s">
        <v>43</v>
      </c>
      <c r="K3" s="33" t="s">
        <v>66</v>
      </c>
    </row>
    <row r="4" customFormat="false" ht="64.15" hidden="false" customHeight="false" outlineLevel="0" collapsed="false">
      <c r="A4" s="95" t="s">
        <v>315</v>
      </c>
      <c r="B4" s="96" t="b">
        <f aca="false">Dashboard!$B$28&lt;&gt;""</f>
        <v>1</v>
      </c>
      <c r="C4" s="97" t="n">
        <f aca="false">COUNTIF(Hip!$C$137:$C$160,"?*")</f>
        <v>21</v>
      </c>
      <c r="D4" s="97" t="n">
        <f aca="false">IF(B4,C4+1,0)</f>
        <v>22</v>
      </c>
      <c r="E4" s="97" t="n">
        <f aca="false">1</f>
        <v>1</v>
      </c>
      <c r="F4" s="97" t="n">
        <f aca="false">IF(B4,COUNTIF($B$4:B4,TRUE()),"")</f>
        <v>1</v>
      </c>
      <c r="G4" s="95" t="str">
        <f aca="false">Hip!$E$31</f>
        <v>1. Protection</v>
      </c>
      <c r="H4" s="97" t="str">
        <f aca="false">Hip!$O$31</f>
        <v>0 / 6</v>
      </c>
      <c r="I4" s="97" t="str">
        <f aca="false">Hip!$R$31</f>
        <v>NOT STARTED</v>
      </c>
      <c r="J4" s="95" t="str">
        <f aca="false">IF(Hip!$T$31="",IF(I4="COMPLETE","All phases cleared","—"),Hip!$T$31)</f>
        <v>Pain ≤ 2/10 with ADLs, full weight-bearing   ·   No night pain</v>
      </c>
      <c r="K4" s="98" t="n">
        <f aca="false">IF(COUNT(Hip!$A$36:$A$47,Hip!$A$54:$A$65,Hip!$A$72:$A$83)=0,"",MAX(Hip!$A$36:$A$47,Hip!$A$54:$A$65,Hip!$A$72:$A$83))</f>
        <v>46314</v>
      </c>
    </row>
    <row r="5" customFormat="false" ht="53.7" hidden="false" customHeight="false" outlineLevel="0" collapsed="false">
      <c r="A5" s="95" t="s">
        <v>316</v>
      </c>
      <c r="B5" s="96" t="b">
        <f aca="false">Dashboard!$D$28&lt;&gt;""</f>
        <v>0</v>
      </c>
      <c r="C5" s="97" t="n">
        <f aca="false">COUNTIF(Hamstring!$C$137:$C$160,"?*")</f>
        <v>16</v>
      </c>
      <c r="D5" s="97" t="n">
        <f aca="false">IF(B5,C5+1,0)</f>
        <v>0</v>
      </c>
      <c r="E5" s="97" t="n">
        <f aca="false">E4+D4</f>
        <v>23</v>
      </c>
      <c r="F5" s="97" t="str">
        <f aca="false">IF(B5,COUNTIF($B$4:B5,TRUE()),"")</f>
        <v/>
      </c>
      <c r="G5" s="95" t="str">
        <f aca="false">Hamstring!$E$31</f>
        <v>1. Foundation</v>
      </c>
      <c r="H5" s="97" t="str">
        <f aca="false">Hamstring!$O$31</f>
        <v>0 / 6</v>
      </c>
      <c r="I5" s="97" t="str">
        <f aca="false">Hamstring!$R$31</f>
        <v>NOT STARTED</v>
      </c>
      <c r="J5" s="95" t="str">
        <f aca="false">IF(Hamstring!$T$31="",IF(I5="COMPLETE","All phases cleared","—"),Hamstring!$T$31)</f>
        <v>Pain-free walking &amp; ADLs   ·   AKE ≥ 80% of other side</v>
      </c>
      <c r="K5" s="98" t="str">
        <f aca="false">IF(COUNT(Hamstring!$A$36:$A$47,Hamstring!$A$54:$A$65,Hamstring!$A$72:$A$83)=0,"",MAX(Hamstring!$A$36:$A$47,Hamstring!$A$54:$A$65,Hamstring!$A$72:$A$83))</f>
        <v/>
      </c>
    </row>
    <row r="6" customFormat="false" ht="32.8" hidden="false" customHeight="false" outlineLevel="0" collapsed="false">
      <c r="A6" s="95" t="s">
        <v>37</v>
      </c>
      <c r="B6" s="96" t="b">
        <f aca="false">Dashboard!$F$28&lt;&gt;""</f>
        <v>1</v>
      </c>
      <c r="C6" s="97" t="n">
        <f aca="false">COUNTIF(Knee!$C$137:$C$160,"?*")</f>
        <v>16</v>
      </c>
      <c r="D6" s="97" t="n">
        <f aca="false">IF(B6,C6+1,0)</f>
        <v>17</v>
      </c>
      <c r="E6" s="97" t="n">
        <f aca="false">E5+D5</f>
        <v>23</v>
      </c>
      <c r="F6" s="97" t="n">
        <f aca="false">IF(B6,COUNTIF($B$4:B6,TRUE()),"")</f>
        <v>2</v>
      </c>
      <c r="G6" s="95" t="str">
        <f aca="false">Knee!$E$31</f>
        <v>3. Specific Loading</v>
      </c>
      <c r="H6" s="97" t="str">
        <f aca="false">Knee!$O$31</f>
        <v>2 / 6</v>
      </c>
      <c r="I6" s="97" t="str">
        <f aca="false">Knee!$R$31</f>
        <v>IN PROGRESS</v>
      </c>
      <c r="J6" s="95" t="str">
        <f aca="false">IF(Knee!$T$31="",IF(I6="COMPLETE","All phases cleared","—"),Knee!$T$31)</f>
        <v>Pain-free jogging</v>
      </c>
      <c r="K6" s="98" t="n">
        <f aca="false">IF(COUNT(Knee!$A$36:$A$47,Knee!$A$54:$A$65,Knee!$A$72:$A$83)=0,"",MAX(Knee!$A$36:$A$47,Knee!$A$54:$A$65,Knee!$A$72:$A$83))</f>
        <v>46307</v>
      </c>
    </row>
    <row r="7" customFormat="false" ht="85.05" hidden="false" customHeight="false" outlineLevel="0" collapsed="false">
      <c r="A7" s="95" t="s">
        <v>321</v>
      </c>
      <c r="B7" s="96" t="b">
        <f aca="false">Dashboard!$H$28&lt;&gt;""</f>
        <v>0</v>
      </c>
      <c r="C7" s="97" t="n">
        <f aca="false">COUNTIF('Ankle-Foot'!$C$137:$C$160,"?*")</f>
        <v>16</v>
      </c>
      <c r="D7" s="97" t="n">
        <f aca="false">IF(B7,C7+1,0)</f>
        <v>0</v>
      </c>
      <c r="E7" s="97" t="n">
        <f aca="false">E6+D6</f>
        <v>40</v>
      </c>
      <c r="F7" s="97" t="str">
        <f aca="false">IF(B7,COUNTIF($B$4:B7,TRUE()),"")</f>
        <v/>
      </c>
      <c r="G7" s="95" t="str">
        <f aca="false">'Ankle-Foot'!$E$31</f>
        <v>1. Protection</v>
      </c>
      <c r="H7" s="97" t="str">
        <f aca="false">'Ankle-Foot'!$O$31</f>
        <v>0 / 6</v>
      </c>
      <c r="I7" s="97" t="str">
        <f aca="false">'Ankle-Foot'!$R$31</f>
        <v>NOT STARTED</v>
      </c>
      <c r="J7" s="95" t="str">
        <f aca="false">IF('Ankle-Foot'!$T$31="",IF(I7="COMPLETE","All phases cleared","—"),'Ankle-Foot'!$T$31)</f>
        <v>Pain &amp; swelling controlled; full weight-bearing   ·   Knee-to-wall ≥ 50% of other side</v>
      </c>
      <c r="K7" s="98" t="str">
        <f aca="false">IF(COUNT('Ankle-Foot'!$A$36:$A$47,'Ankle-Foot'!$A$54:$A$65,'Ankle-Foot'!$A$72:$A$83)=0,"",MAX('Ankle-Foot'!$A$36:$A$47,'Ankle-Foot'!$A$54:$A$65,'Ankle-Foot'!$A$72:$A$83))</f>
        <v/>
      </c>
    </row>
    <row r="8" customFormat="false" ht="85.05" hidden="false" customHeight="false" outlineLevel="0" collapsed="false">
      <c r="A8" s="95" t="s">
        <v>325</v>
      </c>
      <c r="B8" s="96" t="b">
        <f aca="false">Dashboard!$K$28&lt;&gt;""</f>
        <v>0</v>
      </c>
      <c r="C8" s="97" t="n">
        <f aca="false">COUNTIF(Shoulder!$C$137:$C$160,"?*")</f>
        <v>16</v>
      </c>
      <c r="D8" s="97" t="n">
        <f aca="false">IF(B8,C8+1,0)</f>
        <v>0</v>
      </c>
      <c r="E8" s="97" t="n">
        <f aca="false">E7+D7</f>
        <v>40</v>
      </c>
      <c r="F8" s="97" t="str">
        <f aca="false">IF(B8,COUNTIF($B$4:B8,TRUE()),"")</f>
        <v/>
      </c>
      <c r="G8" s="95" t="str">
        <f aca="false">Shoulder!$E$31</f>
        <v>1. Protection</v>
      </c>
      <c r="H8" s="97" t="str">
        <f aca="false">Shoulder!$O$31</f>
        <v>0 / 6</v>
      </c>
      <c r="I8" s="97" t="str">
        <f aca="false">Shoulder!$R$31</f>
        <v>NOT STARTED</v>
      </c>
      <c r="J8" s="95" t="str">
        <f aca="false">IF(Shoulder!$T$31="",IF(I8="COMPLETE","All phases cleared","—"),Shoulder!$T$31)</f>
        <v>Pain controlled; protected ROM per protocol   ·   Scapular control restored</v>
      </c>
      <c r="K8" s="98" t="str">
        <f aca="false">IF(COUNT(Shoulder!$A$36:$A$47,Shoulder!$A$54:$A$65,Shoulder!$A$72:$A$83)=0,"",MAX(Shoulder!$A$36:$A$47,Shoulder!$A$54:$A$65,Shoulder!$A$72:$A$83))</f>
        <v/>
      </c>
    </row>
    <row r="10" customFormat="false" ht="15" hidden="false" customHeight="false" outlineLevel="0" collapsed="false">
      <c r="A10" s="99" t="s">
        <v>333</v>
      </c>
      <c r="B10" s="99" t="str">
        <f aca="false">IF(Dashboard!$O$28&lt;&gt;"",Dashboard!$O$28,IFERROR(INDEX($A$4:$A$8,MATCH(1,$F$4:$F$8,0)),$A$4))</f>
        <v>Knee</v>
      </c>
    </row>
    <row r="11" customFormat="false" ht="15" hidden="false" customHeight="false" outlineLevel="0" collapsed="false">
      <c r="A11" s="99" t="s">
        <v>334</v>
      </c>
      <c r="B11" s="99" t="n">
        <f aca="false">SUM(D4:D8)</f>
        <v>39</v>
      </c>
    </row>
    <row r="14" customFormat="false" ht="15" hidden="false" customHeight="false" outlineLevel="0" collapsed="false">
      <c r="A14" s="95" t="s">
        <v>335</v>
      </c>
      <c r="B14" s="100" t="n">
        <f aca="false">IF(COUNT('Status Log'!$A$5:$A$104)=0,"",SUMPRODUCT(MAX(('Status Log'!$A$5:$A$104=MAX('Status Log'!$A$5:$A$104))*(ROW('Status Log'!$A$5:$A$104)-ROW('Status Log'!$A$5)+1))))</f>
        <v>4</v>
      </c>
      <c r="C14" s="100"/>
      <c r="D14" s="100"/>
      <c r="E14" s="100"/>
      <c r="F14" s="100"/>
      <c r="G14" s="100"/>
    </row>
    <row r="15" customFormat="false" ht="15" hidden="false" customHeight="false" outlineLevel="0" collapsed="false">
      <c r="A15" s="95" t="s">
        <v>76</v>
      </c>
      <c r="B15" s="100" t="str">
        <f aca="false">IF(B14="","Not set — add an entry on the Status Log tab",INDEX('Status Log'!$C$5:$C$104,B14))</f>
        <v>Unavailable — training &amp; fixtures</v>
      </c>
      <c r="C15" s="100"/>
      <c r="D15" s="100"/>
      <c r="E15" s="100"/>
      <c r="F15" s="100"/>
      <c r="G15" s="100"/>
    </row>
    <row r="16" customFormat="false" ht="15" hidden="false" customHeight="false" outlineLevel="0" collapsed="false">
      <c r="A16" s="95" t="s">
        <v>336</v>
      </c>
      <c r="B16" s="100" t="str">
        <f aca="false">IF(B14="","—",INDEX('Status Log'!$J$5:$J$104,B14))</f>
        <v>Pitch-based — linear running / volume focus + accel/decel</v>
      </c>
      <c r="C16" s="100"/>
      <c r="D16" s="100"/>
      <c r="E16" s="100"/>
      <c r="F16" s="100"/>
      <c r="G16" s="100"/>
    </row>
    <row r="17" customFormat="false" ht="15" hidden="false" customHeight="false" outlineLevel="0" collapsed="false">
      <c r="A17" s="95" t="s">
        <v>337</v>
      </c>
      <c r="B17" s="100" t="str">
        <f aca="false">IF(B14="","",INDEX('Status Log'!$D$5:$D$104,B14))</f>
        <v>Pitch-based — linear running / volume focus</v>
      </c>
      <c r="C17" s="100"/>
      <c r="D17" s="100"/>
      <c r="E17" s="100"/>
      <c r="F17" s="100"/>
      <c r="G17" s="100"/>
    </row>
    <row r="18" customFormat="false" ht="15" hidden="false" customHeight="false" outlineLevel="0" collapsed="false">
      <c r="A18" s="95" t="s">
        <v>338</v>
      </c>
      <c r="B18" s="101" t="n">
        <f aca="false">IF(B17="","",IF(SUMPRODUCT(SMALL(('Status Log'!$D$5:$D$104=B17)*ISNUMBER('Status Log'!$A$5:$A$104)*'Status Log'!$A$5:$A$104+(1-('Status Log'!$D$5:$D$104=B17)*ISNUMBER('Status Log'!$A$5:$A$104))*99999,1))&gt;=99999,"",SUMPRODUCT(SMALL(('Status Log'!$D$5:$D$104=B17)*ISNUMBER('Status Log'!$A$5:$A$104)*'Status Log'!$A$5:$A$104+(1-('Status Log'!$D$5:$D$104=B17)*ISNUMBER('Status Log'!$A$5:$A$104))*99999,1))))</f>
        <v>46307</v>
      </c>
      <c r="C18" s="101"/>
      <c r="D18" s="101"/>
      <c r="E18" s="101"/>
      <c r="F18" s="101"/>
      <c r="G18" s="101"/>
    </row>
    <row r="19" customFormat="false" ht="15" hidden="false" customHeight="false" outlineLevel="0" collapsed="false">
      <c r="A19" s="95" t="s">
        <v>339</v>
      </c>
      <c r="B19" s="100" t="n">
        <f aca="false">IF(OR(B18="",Dashboard!$L$5=""),"",INT((B18-Dashboard!$L$5)/7)+1)</f>
        <v>10</v>
      </c>
      <c r="C19" s="100"/>
      <c r="D19" s="100"/>
      <c r="E19" s="100"/>
      <c r="F19" s="100"/>
      <c r="G19" s="100"/>
    </row>
    <row r="20" customFormat="false" ht="15" hidden="false" customHeight="false" outlineLevel="0" collapsed="false">
      <c r="A20" s="95" t="s">
        <v>340</v>
      </c>
      <c r="B20" s="100" t="n">
        <f aca="false">'Chart Feed'!$H$49</f>
        <v>11</v>
      </c>
      <c r="C20" s="100"/>
      <c r="D20" s="100"/>
      <c r="E20" s="100"/>
      <c r="F20" s="100"/>
      <c r="G20" s="100"/>
      <c r="H20" s="95" t="str">
        <f aca="false">IF(OR($B$20="",$B$20=0),"","Latest logged GPS week: wk "&amp;$B$20)</f>
        <v>Latest logged GPS week: wk 11</v>
      </c>
      <c r="I20" s="95"/>
      <c r="J20" s="95"/>
      <c r="K20" s="95"/>
      <c r="L20" s="95"/>
    </row>
    <row r="23" customFormat="false" ht="15.75" hidden="false" customHeight="true" outlineLevel="0" collapsed="false">
      <c r="A23" s="33" t="s">
        <v>341</v>
      </c>
      <c r="B23" s="33" t="s">
        <v>342</v>
      </c>
      <c r="C23" s="33" t="s">
        <v>343</v>
      </c>
      <c r="D23" s="33"/>
      <c r="E23" s="33"/>
      <c r="F23" s="33" t="s">
        <v>344</v>
      </c>
      <c r="G23" s="33"/>
      <c r="H23" s="33"/>
      <c r="I23" s="33"/>
    </row>
    <row r="24" customFormat="false" ht="15" hidden="false" customHeight="false" outlineLevel="0" collapsed="false">
      <c r="A24" s="95" t="s">
        <v>345</v>
      </c>
      <c r="B24" s="97" t="n">
        <f aca="false">IF(LEFT(B17,5)="Pitch",1,0)</f>
        <v>1</v>
      </c>
      <c r="C24" s="95" t="str">
        <f aca="false">IF(OR($B$20="",$B$20=0),"no GPS logged",IFERROR(TEXT(INDEX(GPS!$C$20:$C$71,$B$20),"#,##0")&amp;" m total","—"))</f>
        <v>3,900 m total</v>
      </c>
      <c r="D24" s="95"/>
      <c r="E24" s="95"/>
      <c r="F24" s="95" t="str">
        <f aca="false">IF(IF(SUMPRODUCT(SMALL((LEFT('Status Log'!$D$5:$D$104,5)="Pitch")*ISNUMBER('Status Log'!$A$5:$A$104)*'Status Log'!$A$5:$A$104+(1-(LEFT('Status Log'!$D$5:$D$104,5)="Pitch")*ISNUMBER('Status Log'!$A$5:$A$104))*99999,1))&gt;=99999,"",SUMPRODUCT(SMALL((LEFT('Status Log'!$D$5:$D$104,5)="Pitch")*ISNUMBER('Status Log'!$A$5:$A$104)*'Status Log'!$A$5:$A$104+(1-(LEFT('Status Log'!$D$5:$D$104,5)="Pitch")*ISNUMBER('Status Log'!$A$5:$A$104))*99999,1)))="","not yet introduced","since "&amp;TEXT(IF(SUMPRODUCT(SMALL((LEFT('Status Log'!$D$5:$D$104,5)="Pitch")*ISNUMBER('Status Log'!$A$5:$A$104)*'Status Log'!$A$5:$A$104+(1-(LEFT('Status Log'!$D$5:$D$104,5)="Pitch")*ISNUMBER('Status Log'!$A$5:$A$104))*99999,1))&gt;=99999,"",SUMPRODUCT(SMALL((LEFT('Status Log'!$D$5:$D$104,5)="Pitch")*ISNUMBER('Status Log'!$A$5:$A$104)*'Status Log'!$A$5:$A$104+(1-(LEFT('Status Log'!$D$5:$D$104,5)="Pitch")*ISNUMBER('Status Log'!$A$5:$A$104))*99999,1))),"dd/mm/yy")&amp;IF(Dashboard!$L$5="",""," · wk "&amp;(INT((IF(SUMPRODUCT(SMALL((LEFT('Status Log'!$D$5:$D$104,5)="Pitch")*ISNUMBER('Status Log'!$A$5:$A$104)*'Status Log'!$A$5:$A$104+(1-(LEFT('Status Log'!$D$5:$D$104,5)="Pitch")*ISNUMBER('Status Log'!$A$5:$A$104))*99999,1))&gt;=99999,"",SUMPRODUCT(SMALL((LEFT('Status Log'!$D$5:$D$104,5)="Pitch")*ISNUMBER('Status Log'!$A$5:$A$104)*'Status Log'!$A$5:$A$104+(1-(LEFT('Status Log'!$D$5:$D$104,5)="Pitch")*ISNUMBER('Status Log'!$A$5:$A$104))*99999,1)))-Dashboard!$L$5)/7)+1)))</f>
        <v>since 12/10/26 · wk 10</v>
      </c>
      <c r="G24" s="95"/>
      <c r="H24" s="95"/>
      <c r="I24" s="95"/>
    </row>
    <row r="25" customFormat="false" ht="15" hidden="false" customHeight="false" outlineLevel="0" collapsed="false">
      <c r="A25" s="95" t="s">
        <v>78</v>
      </c>
      <c r="B25" s="97" t="n">
        <f aca="false">IF(B14="",0,IF(INDEX('Status Log'!$E$5:$E$104,B14)&lt;&gt;"",1,0))</f>
        <v>1</v>
      </c>
      <c r="C25" s="95" t="str">
        <f aca="false">IF(OR($B$20="",$B$20=0),"",IFERROR(TEXT(INDEX(GPS!$F$20:$F$71,$B$20)+INDEX(GPS!$G$20:$G$71,$B$20),"0")&amp;" acc + dec","—"))</f>
        <v>29 acc + dec</v>
      </c>
      <c r="D25" s="95"/>
      <c r="E25" s="95"/>
      <c r="F25" s="95" t="str">
        <f aca="false">IF(IF(SUMPRODUCT(SMALL(('Status Log'!$E$5:$E$104&lt;&gt;"")*ISNUMBER('Status Log'!$A$5:$A$104)*'Status Log'!$A$5:$A$104+(1-('Status Log'!$E$5:$E$104&lt;&gt;"")*ISNUMBER('Status Log'!$A$5:$A$104))*99999,1))&gt;=99999,"",SUMPRODUCT(SMALL(('Status Log'!$E$5:$E$104&lt;&gt;"")*ISNUMBER('Status Log'!$A$5:$A$104)*'Status Log'!$A$5:$A$104+(1-('Status Log'!$E$5:$E$104&lt;&gt;"")*ISNUMBER('Status Log'!$A$5:$A$104))*99999,1)))="","not yet introduced","since "&amp;TEXT(IF(SUMPRODUCT(SMALL(('Status Log'!$E$5:$E$104&lt;&gt;"")*ISNUMBER('Status Log'!$A$5:$A$104)*'Status Log'!$A$5:$A$104+(1-('Status Log'!$E$5:$E$104&lt;&gt;"")*ISNUMBER('Status Log'!$A$5:$A$104))*99999,1))&gt;=99999,"",SUMPRODUCT(SMALL(('Status Log'!$E$5:$E$104&lt;&gt;"")*ISNUMBER('Status Log'!$A$5:$A$104)*'Status Log'!$A$5:$A$104+(1-('Status Log'!$E$5:$E$104&lt;&gt;"")*ISNUMBER('Status Log'!$A$5:$A$104))*99999,1))),"dd/mm/yy")&amp;IF(Dashboard!$L$5="",""," · wk "&amp;(INT((IF(SUMPRODUCT(SMALL(('Status Log'!$E$5:$E$104&lt;&gt;"")*ISNUMBER('Status Log'!$A$5:$A$104)*'Status Log'!$A$5:$A$104+(1-('Status Log'!$E$5:$E$104&lt;&gt;"")*ISNUMBER('Status Log'!$A$5:$A$104))*99999,1))&gt;=99999,"",SUMPRODUCT(SMALL(('Status Log'!$E$5:$E$104&lt;&gt;"")*ISNUMBER('Status Log'!$A$5:$A$104)*'Status Log'!$A$5:$A$104+(1-('Status Log'!$E$5:$E$104&lt;&gt;"")*ISNUMBER('Status Log'!$A$5:$A$104))*99999,1)))-Dashboard!$L$5)/7)+1)))</f>
        <v>since 19/10/26 · wk 11</v>
      </c>
      <c r="G25" s="95"/>
      <c r="H25" s="95"/>
      <c r="I25" s="95"/>
    </row>
    <row r="26" customFormat="false" ht="15" hidden="false" customHeight="false" outlineLevel="0" collapsed="false">
      <c r="A26" s="95" t="s">
        <v>79</v>
      </c>
      <c r="B26" s="97" t="n">
        <f aca="false">IF(B14="",0,IF(INDEX('Status Log'!$F$5:$F$104,B14)&lt;&gt;"",1,0))</f>
        <v>0</v>
      </c>
      <c r="C26" s="95" t="str">
        <f aca="false">"not GPS-tracked"</f>
        <v>not GPS-tracked</v>
      </c>
      <c r="D26" s="95"/>
      <c r="E26" s="95"/>
      <c r="F26" s="95" t="str">
        <f aca="false">IF(IF(SUMPRODUCT(SMALL(('Status Log'!$F$5:$F$104&lt;&gt;"")*ISNUMBER('Status Log'!$A$5:$A$104)*'Status Log'!$A$5:$A$104+(1-('Status Log'!$F$5:$F$104&lt;&gt;"")*ISNUMBER('Status Log'!$A$5:$A$104))*99999,1))&gt;=99999,"",SUMPRODUCT(SMALL(('Status Log'!$F$5:$F$104&lt;&gt;"")*ISNUMBER('Status Log'!$A$5:$A$104)*'Status Log'!$A$5:$A$104+(1-('Status Log'!$F$5:$F$104&lt;&gt;"")*ISNUMBER('Status Log'!$A$5:$A$104))*99999,1)))="","not yet introduced","since "&amp;TEXT(IF(SUMPRODUCT(SMALL(('Status Log'!$F$5:$F$104&lt;&gt;"")*ISNUMBER('Status Log'!$A$5:$A$104)*'Status Log'!$A$5:$A$104+(1-('Status Log'!$F$5:$F$104&lt;&gt;"")*ISNUMBER('Status Log'!$A$5:$A$104))*99999,1))&gt;=99999,"",SUMPRODUCT(SMALL(('Status Log'!$F$5:$F$104&lt;&gt;"")*ISNUMBER('Status Log'!$A$5:$A$104)*'Status Log'!$A$5:$A$104+(1-('Status Log'!$F$5:$F$104&lt;&gt;"")*ISNUMBER('Status Log'!$A$5:$A$104))*99999,1))),"dd/mm/yy")&amp;IF(Dashboard!$L$5="",""," · wk "&amp;(INT((IF(SUMPRODUCT(SMALL(('Status Log'!$F$5:$F$104&lt;&gt;"")*ISNUMBER('Status Log'!$A$5:$A$104)*'Status Log'!$A$5:$A$104+(1-('Status Log'!$F$5:$F$104&lt;&gt;"")*ISNUMBER('Status Log'!$A$5:$A$104))*99999,1))&gt;=99999,"",SUMPRODUCT(SMALL(('Status Log'!$F$5:$F$104&lt;&gt;"")*ISNUMBER('Status Log'!$A$5:$A$104)*'Status Log'!$A$5:$A$104+(1-('Status Log'!$F$5:$F$104&lt;&gt;"")*ISNUMBER('Status Log'!$A$5:$A$104))*99999,1)))-Dashboard!$L$5)/7)+1)))</f>
        <v>not yet introduced</v>
      </c>
      <c r="G26" s="95"/>
      <c r="H26" s="95"/>
      <c r="I26" s="95"/>
    </row>
    <row r="27" customFormat="false" ht="15" hidden="false" customHeight="false" outlineLevel="0" collapsed="false">
      <c r="A27" s="95" t="s">
        <v>80</v>
      </c>
      <c r="B27" s="97" t="n">
        <f aca="false">IF(B14="",0,IF(INDEX('Status Log'!$G$5:$G$104,B14)&lt;&gt;"",1,0))</f>
        <v>0</v>
      </c>
      <c r="C27" s="95" t="str">
        <f aca="false">IF(OR($B$20="",$B$20=0),"",IFERROR(TEXT(INDEX(GPS!$D$20:$D$71,$B$20),"#,##0")&amp;" m HSR","—"))</f>
        <v>140 m HSR</v>
      </c>
      <c r="D27" s="95"/>
      <c r="E27" s="95"/>
      <c r="F27" s="95" t="str">
        <f aca="false">IF(IF(SUMPRODUCT(SMALL(('Status Log'!$G$5:$G$104&lt;&gt;"")*ISNUMBER('Status Log'!$A$5:$A$104)*'Status Log'!$A$5:$A$104+(1-('Status Log'!$G$5:$G$104&lt;&gt;"")*ISNUMBER('Status Log'!$A$5:$A$104))*99999,1))&gt;=99999,"",SUMPRODUCT(SMALL(('Status Log'!$G$5:$G$104&lt;&gt;"")*ISNUMBER('Status Log'!$A$5:$A$104)*'Status Log'!$A$5:$A$104+(1-('Status Log'!$G$5:$G$104&lt;&gt;"")*ISNUMBER('Status Log'!$A$5:$A$104))*99999,1)))="","not yet introduced","since "&amp;TEXT(IF(SUMPRODUCT(SMALL(('Status Log'!$G$5:$G$104&lt;&gt;"")*ISNUMBER('Status Log'!$A$5:$A$104)*'Status Log'!$A$5:$A$104+(1-('Status Log'!$G$5:$G$104&lt;&gt;"")*ISNUMBER('Status Log'!$A$5:$A$104))*99999,1))&gt;=99999,"",SUMPRODUCT(SMALL(('Status Log'!$G$5:$G$104&lt;&gt;"")*ISNUMBER('Status Log'!$A$5:$A$104)*'Status Log'!$A$5:$A$104+(1-('Status Log'!$G$5:$G$104&lt;&gt;"")*ISNUMBER('Status Log'!$A$5:$A$104))*99999,1))),"dd/mm/yy")&amp;IF(Dashboard!$L$5="",""," · wk "&amp;(INT((IF(SUMPRODUCT(SMALL(('Status Log'!$G$5:$G$104&lt;&gt;"")*ISNUMBER('Status Log'!$A$5:$A$104)*'Status Log'!$A$5:$A$104+(1-('Status Log'!$G$5:$G$104&lt;&gt;"")*ISNUMBER('Status Log'!$A$5:$A$104))*99999,1))&gt;=99999,"",SUMPRODUCT(SMALL(('Status Log'!$G$5:$G$104&lt;&gt;"")*ISNUMBER('Status Log'!$A$5:$A$104)*'Status Log'!$A$5:$A$104+(1-('Status Log'!$G$5:$G$104&lt;&gt;"")*ISNUMBER('Status Log'!$A$5:$A$104))*99999,1)))-Dashboard!$L$5)/7)+1)))</f>
        <v>not yet introduced</v>
      </c>
      <c r="G27" s="95"/>
      <c r="H27" s="95"/>
      <c r="I27" s="95"/>
    </row>
    <row r="28" customFormat="false" ht="15" hidden="false" customHeight="false" outlineLevel="0" collapsed="false">
      <c r="A28" s="95" t="s">
        <v>81</v>
      </c>
      <c r="B28" s="97" t="n">
        <f aca="false">IF(B14="",0,IF(INDEX('Status Log'!$H$5:$H$104,B14)&lt;&gt;"",1,0))</f>
        <v>0</v>
      </c>
      <c r="C28" s="95" t="str">
        <f aca="false">IF(OR($B$20="",$B$20=0),"",IFERROR(TEXT(INDEX(GPS!$E$20:$E$71,$B$20),"#,##0")&amp;" m sprint","—"))</f>
        <v>30 m sprint</v>
      </c>
      <c r="D28" s="95"/>
      <c r="E28" s="95"/>
      <c r="F28" s="95" t="str">
        <f aca="false">IF(IF(SUMPRODUCT(SMALL(('Status Log'!$H$5:$H$104&lt;&gt;"")*ISNUMBER('Status Log'!$A$5:$A$104)*'Status Log'!$A$5:$A$104+(1-('Status Log'!$H$5:$H$104&lt;&gt;"")*ISNUMBER('Status Log'!$A$5:$A$104))*99999,1))&gt;=99999,"",SUMPRODUCT(SMALL(('Status Log'!$H$5:$H$104&lt;&gt;"")*ISNUMBER('Status Log'!$A$5:$A$104)*'Status Log'!$A$5:$A$104+(1-('Status Log'!$H$5:$H$104&lt;&gt;"")*ISNUMBER('Status Log'!$A$5:$A$104))*99999,1)))="","not yet introduced","since "&amp;TEXT(IF(SUMPRODUCT(SMALL(('Status Log'!$H$5:$H$104&lt;&gt;"")*ISNUMBER('Status Log'!$A$5:$A$104)*'Status Log'!$A$5:$A$104+(1-('Status Log'!$H$5:$H$104&lt;&gt;"")*ISNUMBER('Status Log'!$A$5:$A$104))*99999,1))&gt;=99999,"",SUMPRODUCT(SMALL(('Status Log'!$H$5:$H$104&lt;&gt;"")*ISNUMBER('Status Log'!$A$5:$A$104)*'Status Log'!$A$5:$A$104+(1-('Status Log'!$H$5:$H$104&lt;&gt;"")*ISNUMBER('Status Log'!$A$5:$A$104))*99999,1))),"dd/mm/yy")&amp;IF(Dashboard!$L$5="",""," · wk "&amp;(INT((IF(SUMPRODUCT(SMALL(('Status Log'!$H$5:$H$104&lt;&gt;"")*ISNUMBER('Status Log'!$A$5:$A$104)*'Status Log'!$A$5:$A$104+(1-('Status Log'!$H$5:$H$104&lt;&gt;"")*ISNUMBER('Status Log'!$A$5:$A$104))*99999,1))&gt;=99999,"",SUMPRODUCT(SMALL(('Status Log'!$H$5:$H$104&lt;&gt;"")*ISNUMBER('Status Log'!$A$5:$A$104)*'Status Log'!$A$5:$A$104+(1-('Status Log'!$H$5:$H$104&lt;&gt;"")*ISNUMBER('Status Log'!$A$5:$A$104))*99999,1)))-Dashboard!$L$5)/7)+1)))</f>
        <v>not yet introduced</v>
      </c>
      <c r="G28" s="95"/>
      <c r="H28" s="95"/>
      <c r="I28" s="95"/>
    </row>
    <row r="29" customFormat="false" ht="15" hidden="false" customHeight="false" outlineLevel="0" collapsed="false">
      <c r="A29" s="95" t="s">
        <v>82</v>
      </c>
      <c r="B29" s="97" t="n">
        <f aca="false">IF(B14="",0,IF(INDEX('Status Log'!$I$5:$I$104,B14)&lt;&gt;"",1,0))</f>
        <v>0</v>
      </c>
      <c r="C29" s="95" t="str">
        <f aca="false">IF(OR($B$20="",$B$20=0),"",IFERROR(TEXT(INDEX(GPS!$H$20:$H$71,$B$20),"0.0")&amp;" m/s · "&amp;TEXT(INDEX(GPS!$H$20:$H$71,$B$20)/GPS!$H$16,"0%"),"—"))</f>
        <v>7.1 m/s · 80%</v>
      </c>
      <c r="D29" s="95"/>
      <c r="E29" s="95"/>
      <c r="F29" s="95" t="str">
        <f aca="false">IF(IF(SUMPRODUCT(SMALL(('Status Log'!$I$5:$I$104&lt;&gt;"")*ISNUMBER('Status Log'!$A$5:$A$104)*'Status Log'!$A$5:$A$104+(1-('Status Log'!$I$5:$I$104&lt;&gt;"")*ISNUMBER('Status Log'!$A$5:$A$104))*99999,1))&gt;=99999,"",SUMPRODUCT(SMALL(('Status Log'!$I$5:$I$104&lt;&gt;"")*ISNUMBER('Status Log'!$A$5:$A$104)*'Status Log'!$A$5:$A$104+(1-('Status Log'!$I$5:$I$104&lt;&gt;"")*ISNUMBER('Status Log'!$A$5:$A$104))*99999,1)))="","not yet introduced","since "&amp;TEXT(IF(SUMPRODUCT(SMALL(('Status Log'!$I$5:$I$104&lt;&gt;"")*ISNUMBER('Status Log'!$A$5:$A$104)*'Status Log'!$A$5:$A$104+(1-('Status Log'!$I$5:$I$104&lt;&gt;"")*ISNUMBER('Status Log'!$A$5:$A$104))*99999,1))&gt;=99999,"",SUMPRODUCT(SMALL(('Status Log'!$I$5:$I$104&lt;&gt;"")*ISNUMBER('Status Log'!$A$5:$A$104)*'Status Log'!$A$5:$A$104+(1-('Status Log'!$I$5:$I$104&lt;&gt;"")*ISNUMBER('Status Log'!$A$5:$A$104))*99999,1))),"dd/mm/yy")&amp;IF(Dashboard!$L$5="",""," · wk "&amp;(INT((IF(SUMPRODUCT(SMALL(('Status Log'!$I$5:$I$104&lt;&gt;"")*ISNUMBER('Status Log'!$A$5:$A$104)*'Status Log'!$A$5:$A$104+(1-('Status Log'!$I$5:$I$104&lt;&gt;"")*ISNUMBER('Status Log'!$A$5:$A$104))*99999,1))&gt;=99999,"",SUMPRODUCT(SMALL(('Status Log'!$I$5:$I$104&lt;&gt;"")*ISNUMBER('Status Log'!$A$5:$A$104)*'Status Log'!$A$5:$A$104+(1-('Status Log'!$I$5:$I$104&lt;&gt;"")*ISNUMBER('Status Log'!$A$5:$A$104))*99999,1)))-Dashboard!$L$5)/7)+1)))</f>
        <v>not yet introduced</v>
      </c>
      <c r="G29" s="95"/>
      <c r="H29" s="95"/>
      <c r="I29" s="95"/>
    </row>
    <row r="32" customFormat="false" ht="15.75" hidden="false" customHeight="true" outlineLevel="0" collapsed="false">
      <c r="A32" s="33" t="s">
        <v>346</v>
      </c>
      <c r="B32" s="33" t="s">
        <v>347</v>
      </c>
      <c r="C32" s="33" t="s">
        <v>52</v>
      </c>
      <c r="D32" s="33" t="s">
        <v>348</v>
      </c>
      <c r="E32" s="33" t="s">
        <v>349</v>
      </c>
      <c r="F32" s="33"/>
      <c r="G32" s="33" t="s">
        <v>350</v>
      </c>
      <c r="H32" s="33"/>
      <c r="I32" s="33"/>
      <c r="J32" s="33"/>
      <c r="K32" s="33" t="s">
        <v>76</v>
      </c>
      <c r="L32" s="33"/>
    </row>
    <row r="33" customFormat="false" ht="22.35" hidden="false" customHeight="false" outlineLevel="0" collapsed="false">
      <c r="A33" s="97" t="n">
        <v>1</v>
      </c>
      <c r="B33" s="97" t="n">
        <f aca="false">IF(1&gt;MIN(6,COUNT('Status Log'!$A$5:$A$104)),"",MIN(6,COUNT('Status Log'!$A$5:$A$104))-1+1)</f>
        <v>4</v>
      </c>
      <c r="C33" s="98" t="n">
        <f aca="false">IF(B33="","",LARGE('Status Log'!$A$5:$A$104,B33))</f>
        <v>46244</v>
      </c>
      <c r="D33" s="97" t="n">
        <f aca="false">IF(B33="","",SUMPRODUCT(MAX(('Status Log'!$A$5:$A$104=C33)*(ROW('Status Log'!$A$5:$A$104)-ROW('Status Log'!$A$5)+1))))</f>
        <v>1</v>
      </c>
      <c r="E33" s="95" t="str">
        <f aca="false">IF(B33="","",TEXT(C33,"dd/mm/yy")&amp;IF(INDEX('Status Log'!$B$5:$B$104,D33)="","","   ·   wk "&amp;INDEX('Status Log'!$B$5:$B$104,D33)))</f>
        <v>10/08/26   ·   wk 1</v>
      </c>
      <c r="F33" s="95"/>
      <c r="G33" s="95" t="str">
        <f aca="false">IF(B33="","",INDEX('Status Log'!$J$5:$J$104,D33))</f>
        <v>Gym-based — strength focus</v>
      </c>
      <c r="H33" s="95"/>
      <c r="I33" s="95"/>
      <c r="J33" s="95"/>
      <c r="K33" s="95" t="str">
        <f aca="false">IF(B33="","",INDEX('Status Log'!$C$5:$C$104,D33))</f>
        <v>Unavailable — training &amp; fixtures</v>
      </c>
      <c r="L33" s="95"/>
    </row>
    <row r="34" customFormat="false" ht="22.35" hidden="false" customHeight="false" outlineLevel="0" collapsed="false">
      <c r="A34" s="97" t="n">
        <v>2</v>
      </c>
      <c r="B34" s="97" t="n">
        <f aca="false">IF(2&gt;MIN(6,COUNT('Status Log'!$A$5:$A$104)),"",MIN(6,COUNT('Status Log'!$A$5:$A$104))-2+1)</f>
        <v>3</v>
      </c>
      <c r="C34" s="98" t="n">
        <f aca="false">IF(B34="","",LARGE('Status Log'!$A$5:$A$104,B34))</f>
        <v>46279</v>
      </c>
      <c r="D34" s="97" t="n">
        <f aca="false">IF(B34="","",SUMPRODUCT(MAX(('Status Log'!$A$5:$A$104=C34)*(ROW('Status Log'!$A$5:$A$104)-ROW('Status Log'!$A$5)+1))))</f>
        <v>2</v>
      </c>
      <c r="E34" s="95" t="str">
        <f aca="false">IF(B34="","",TEXT(C34,"dd/mm/yy")&amp;IF(INDEX('Status Log'!$B$5:$B$104,D34)="","","   ·   wk "&amp;INDEX('Status Log'!$B$5:$B$104,D34)))</f>
        <v>14/09/26   ·   wk 6</v>
      </c>
      <c r="F34" s="95"/>
      <c r="G34" s="95" t="str">
        <f aca="false">IF(B34="","",INDEX('Status Log'!$J$5:$J$104,D34))</f>
        <v>Gym-based — strength + plyometric focus</v>
      </c>
      <c r="H34" s="95"/>
      <c r="I34" s="95"/>
      <c r="J34" s="95"/>
      <c r="K34" s="95" t="str">
        <f aca="false">IF(B34="","",INDEX('Status Log'!$C$5:$C$104,D34))</f>
        <v>Unavailable — training &amp; fixtures</v>
      </c>
      <c r="L34" s="95"/>
    </row>
    <row r="35" customFormat="false" ht="22.35" hidden="false" customHeight="false" outlineLevel="0" collapsed="false">
      <c r="A35" s="97" t="n">
        <v>3</v>
      </c>
      <c r="B35" s="97" t="n">
        <f aca="false">IF(3&gt;MIN(6,COUNT('Status Log'!$A$5:$A$104)),"",MIN(6,COUNT('Status Log'!$A$5:$A$104))-3+1)</f>
        <v>2</v>
      </c>
      <c r="C35" s="98" t="n">
        <f aca="false">IF(B35="","",LARGE('Status Log'!$A$5:$A$104,B35))</f>
        <v>46307</v>
      </c>
      <c r="D35" s="97" t="n">
        <f aca="false">IF(B35="","",SUMPRODUCT(MAX(('Status Log'!$A$5:$A$104=C35)*(ROW('Status Log'!$A$5:$A$104)-ROW('Status Log'!$A$5)+1))))</f>
        <v>3</v>
      </c>
      <c r="E35" s="95" t="str">
        <f aca="false">IF(B35="","",TEXT(C35,"dd/mm/yy")&amp;IF(INDEX('Status Log'!$B$5:$B$104,D35)="","","   ·   wk "&amp;INDEX('Status Log'!$B$5:$B$104,D35)))</f>
        <v>12/10/26   ·   wk 10</v>
      </c>
      <c r="F35" s="95"/>
      <c r="G35" s="95" t="str">
        <f aca="false">IF(B35="","",INDEX('Status Log'!$J$5:$J$104,D35))</f>
        <v>Pitch-based — linear running / volume focus</v>
      </c>
      <c r="H35" s="95"/>
      <c r="I35" s="95"/>
      <c r="J35" s="95"/>
      <c r="K35" s="95" t="str">
        <f aca="false">IF(B35="","",INDEX('Status Log'!$C$5:$C$104,D35))</f>
        <v>Unavailable — training &amp; fixtures</v>
      </c>
      <c r="L35" s="95"/>
    </row>
    <row r="36" customFormat="false" ht="22.35" hidden="false" customHeight="false" outlineLevel="0" collapsed="false">
      <c r="A36" s="97" t="n">
        <v>4</v>
      </c>
      <c r="B36" s="97" t="n">
        <f aca="false">IF(4&gt;MIN(6,COUNT('Status Log'!$A$5:$A$104)),"",MIN(6,COUNT('Status Log'!$A$5:$A$104))-4+1)</f>
        <v>1</v>
      </c>
      <c r="C36" s="98" t="n">
        <f aca="false">IF(B36="","",LARGE('Status Log'!$A$5:$A$104,B36))</f>
        <v>46314</v>
      </c>
      <c r="D36" s="97" t="n">
        <f aca="false">IF(B36="","",SUMPRODUCT(MAX(('Status Log'!$A$5:$A$104=C36)*(ROW('Status Log'!$A$5:$A$104)-ROW('Status Log'!$A$5)+1))))</f>
        <v>4</v>
      </c>
      <c r="E36" s="95" t="str">
        <f aca="false">IF(B36="","",TEXT(C36,"dd/mm/yy")&amp;IF(INDEX('Status Log'!$B$5:$B$104,D36)="","","   ·   wk "&amp;INDEX('Status Log'!$B$5:$B$104,D36)))</f>
        <v>19/10/26   ·   wk 11</v>
      </c>
      <c r="F36" s="95"/>
      <c r="G36" s="95" t="str">
        <f aca="false">IF(B36="","",INDEX('Status Log'!$J$5:$J$104,D36))</f>
        <v>Pitch-based — linear running / volume focus + accel/decel</v>
      </c>
      <c r="H36" s="95"/>
      <c r="I36" s="95"/>
      <c r="J36" s="95"/>
      <c r="K36" s="95" t="str">
        <f aca="false">IF(B36="","",INDEX('Status Log'!$C$5:$C$104,D36))</f>
        <v>Unavailable — training &amp; fixtures</v>
      </c>
      <c r="L36" s="95"/>
    </row>
    <row r="37" customFormat="false" ht="15" hidden="false" customHeight="false" outlineLevel="0" collapsed="false">
      <c r="A37" s="97" t="n">
        <v>5</v>
      </c>
      <c r="B37" s="97" t="str">
        <f aca="false">IF(5&gt;MIN(6,COUNT('Status Log'!$A$5:$A$104)),"",MIN(6,COUNT('Status Log'!$A$5:$A$104))-5+1)</f>
        <v/>
      </c>
      <c r="C37" s="98" t="str">
        <f aca="false">IF(B37="","",LARGE('Status Log'!$A$5:$A$104,B37))</f>
        <v/>
      </c>
      <c r="D37" s="97" t="str">
        <f aca="false">IF(B37="","",SUMPRODUCT(MAX(('Status Log'!$A$5:$A$104=C37)*(ROW('Status Log'!$A$5:$A$104)-ROW('Status Log'!$A$5)+1))))</f>
        <v/>
      </c>
      <c r="E37" s="95" t="str">
        <f aca="false">IF(B37="","",TEXT(C37,"dd/mm/yy")&amp;IF(INDEX('Status Log'!$B$5:$B$104,D37)="","","   ·   wk "&amp;INDEX('Status Log'!$B$5:$B$104,D37)))</f>
        <v/>
      </c>
      <c r="F37" s="95"/>
      <c r="G37" s="95" t="str">
        <f aca="false">IF(B37="","",INDEX('Status Log'!$J$5:$J$104,D37))</f>
        <v/>
      </c>
      <c r="H37" s="95"/>
      <c r="I37" s="95"/>
      <c r="J37" s="95"/>
      <c r="K37" s="95" t="str">
        <f aca="false">IF(B37="","",INDEX('Status Log'!$C$5:$C$104,D37))</f>
        <v/>
      </c>
      <c r="L37" s="95"/>
    </row>
    <row r="38" customFormat="false" ht="15" hidden="false" customHeight="false" outlineLevel="0" collapsed="false">
      <c r="A38" s="97" t="n">
        <v>6</v>
      </c>
      <c r="B38" s="97" t="str">
        <f aca="false">IF(6&gt;MIN(6,COUNT('Status Log'!$A$5:$A$104)),"",MIN(6,COUNT('Status Log'!$A$5:$A$104))-6+1)</f>
        <v/>
      </c>
      <c r="C38" s="98" t="str">
        <f aca="false">IF(B38="","",LARGE('Status Log'!$A$5:$A$104,B38))</f>
        <v/>
      </c>
      <c r="D38" s="97" t="str">
        <f aca="false">IF(B38="","",SUMPRODUCT(MAX(('Status Log'!$A$5:$A$104=C38)*(ROW('Status Log'!$A$5:$A$104)-ROW('Status Log'!$A$5)+1))))</f>
        <v/>
      </c>
      <c r="E38" s="95" t="str">
        <f aca="false">IF(B38="","",TEXT(C38,"dd/mm/yy")&amp;IF(INDEX('Status Log'!$B$5:$B$104,D38)="","","   ·   wk "&amp;INDEX('Status Log'!$B$5:$B$104,D38)))</f>
        <v/>
      </c>
      <c r="F38" s="95"/>
      <c r="G38" s="95" t="str">
        <f aca="false">IF(B38="","",INDEX('Status Log'!$J$5:$J$104,D38))</f>
        <v/>
      </c>
      <c r="H38" s="95"/>
      <c r="I38" s="95"/>
      <c r="J38" s="95"/>
      <c r="K38" s="95" t="str">
        <f aca="false">IF(B38="","",INDEX('Status Log'!$C$5:$C$104,D38))</f>
        <v/>
      </c>
      <c r="L38" s="95"/>
    </row>
    <row r="41" customFormat="false" ht="15.75" hidden="false" customHeight="true" outlineLevel="0" collapsed="false">
      <c r="A41" s="33" t="s">
        <v>347</v>
      </c>
      <c r="B41" s="33" t="s">
        <v>351</v>
      </c>
      <c r="C41" s="33" t="s">
        <v>40</v>
      </c>
      <c r="D41" s="33" t="s">
        <v>94</v>
      </c>
      <c r="E41" s="33"/>
      <c r="F41" s="33" t="s">
        <v>42</v>
      </c>
      <c r="G41" s="33" t="s">
        <v>43</v>
      </c>
      <c r="H41" s="33"/>
      <c r="I41" s="33"/>
      <c r="J41" s="33"/>
      <c r="K41" s="33"/>
      <c r="L41" s="33"/>
    </row>
    <row r="42" customFormat="false" ht="15" hidden="false" customHeight="false" outlineLevel="0" collapsed="false">
      <c r="A42" s="97" t="n">
        <v>1</v>
      </c>
      <c r="B42" s="97" t="n">
        <f aca="false">IFERROR(MATCH(1,$F$4:$F$8,0),"")</f>
        <v>1</v>
      </c>
      <c r="C42" s="95" t="str">
        <f aca="false">IF($B42="","",INDEX($A$4:$A$8,$B42))</f>
        <v>Hip</v>
      </c>
      <c r="D42" s="95" t="str">
        <f aca="false">IF($B42="","",INDEX($G$4:$G$8,$B42))</f>
        <v>1. Protection</v>
      </c>
      <c r="E42" s="95"/>
      <c r="F42" s="95" t="str">
        <f aca="false">IF($B42="","",INDEX($H$4:$H$8,$B42))</f>
        <v>0 / 6</v>
      </c>
      <c r="G42" s="100" t="str">
        <f aca="false">IF($B42="","",INDEX($J$4:$J$8,$B42))</f>
        <v>Pain ≤ 2/10 with ADLs, full weight-bearing   ·   No night pain</v>
      </c>
      <c r="H42" s="100"/>
      <c r="I42" s="100"/>
      <c r="J42" s="100"/>
      <c r="K42" s="100"/>
      <c r="L42" s="100"/>
    </row>
    <row r="43" customFormat="false" ht="15" hidden="false" customHeight="false" outlineLevel="0" collapsed="false">
      <c r="A43" s="97" t="n">
        <v>2</v>
      </c>
      <c r="B43" s="97" t="n">
        <f aca="false">IFERROR(MATCH(2,$F$4:$F$8,0),"")</f>
        <v>3</v>
      </c>
      <c r="C43" s="95" t="str">
        <f aca="false">IF($B43="","",INDEX($A$4:$A$8,$B43))</f>
        <v>Knee</v>
      </c>
      <c r="D43" s="95" t="str">
        <f aca="false">IF($B43="","",INDEX($G$4:$G$8,$B43))</f>
        <v>3. Specific Loading</v>
      </c>
      <c r="E43" s="95"/>
      <c r="F43" s="95" t="str">
        <f aca="false">IF($B43="","",INDEX($H$4:$H$8,$B43))</f>
        <v>2 / 6</v>
      </c>
      <c r="G43" s="100" t="str">
        <f aca="false">IF($B43="","",INDEX($J$4:$J$8,$B43))</f>
        <v>Pain-free jogging</v>
      </c>
      <c r="H43" s="100"/>
      <c r="I43" s="100"/>
      <c r="J43" s="100"/>
      <c r="K43" s="100"/>
      <c r="L43" s="100"/>
    </row>
    <row r="44" customFormat="false" ht="15" hidden="false" customHeight="false" outlineLevel="0" collapsed="false">
      <c r="A44" s="97" t="n">
        <v>3</v>
      </c>
      <c r="B44" s="97" t="str">
        <f aca="false">IFERROR(MATCH(3,$F$4:$F$8,0),"")</f>
        <v/>
      </c>
      <c r="C44" s="95" t="str">
        <f aca="false">IF($B44="","",INDEX($A$4:$A$8,$B44))</f>
        <v/>
      </c>
      <c r="D44" s="95" t="str">
        <f aca="false">IF($B44="","",INDEX($G$4:$G$8,$B44))</f>
        <v/>
      </c>
      <c r="E44" s="95"/>
      <c r="F44" s="95" t="str">
        <f aca="false">IF($B44="","",INDEX($H$4:$H$8,$B44))</f>
        <v/>
      </c>
      <c r="G44" s="100" t="str">
        <f aca="false">IF($B44="","",INDEX($J$4:$J$8,$B44))</f>
        <v/>
      </c>
      <c r="H44" s="100"/>
      <c r="I44" s="100"/>
      <c r="J44" s="100"/>
      <c r="K44" s="100"/>
      <c r="L44" s="100"/>
    </row>
    <row r="45" customFormat="false" ht="15" hidden="false" customHeight="false" outlineLevel="0" collapsed="false">
      <c r="A45" s="97" t="n">
        <v>4</v>
      </c>
      <c r="B45" s="97" t="str">
        <f aca="false">IFERROR(MATCH(4,$F$4:$F$8,0),"")</f>
        <v/>
      </c>
      <c r="C45" s="95" t="str">
        <f aca="false">IF($B45="","",INDEX($A$4:$A$8,$B45))</f>
        <v/>
      </c>
      <c r="D45" s="95" t="str">
        <f aca="false">IF($B45="","",INDEX($G$4:$G$8,$B45))</f>
        <v/>
      </c>
      <c r="E45" s="95"/>
      <c r="F45" s="95" t="str">
        <f aca="false">IF($B45="","",INDEX($H$4:$H$8,$B45))</f>
        <v/>
      </c>
      <c r="G45" s="100" t="str">
        <f aca="false">IF($B45="","",INDEX($J$4:$J$8,$B45))</f>
        <v/>
      </c>
      <c r="H45" s="100"/>
      <c r="I45" s="100"/>
      <c r="J45" s="100"/>
      <c r="K45" s="100"/>
      <c r="L45" s="100"/>
    </row>
    <row r="46" customFormat="false" ht="15" hidden="false" customHeight="false" outlineLevel="0" collapsed="false">
      <c r="A46" s="97" t="n">
        <v>5</v>
      </c>
      <c r="B46" s="97" t="str">
        <f aca="false">IFERROR(MATCH(5,$F$4:$F$8,0),"")</f>
        <v/>
      </c>
      <c r="C46" s="95" t="str">
        <f aca="false">IF($B46="","",INDEX($A$4:$A$8,$B46))</f>
        <v/>
      </c>
      <c r="D46" s="95" t="str">
        <f aca="false">IF($B46="","",INDEX($G$4:$G$8,$B46))</f>
        <v/>
      </c>
      <c r="E46" s="95"/>
      <c r="F46" s="95" t="str">
        <f aca="false">IF($B46="","",INDEX($H$4:$H$8,$B46))</f>
        <v/>
      </c>
      <c r="G46" s="100" t="str">
        <f aca="false">IF($B46="","",INDEX($J$4:$J$8,$B46))</f>
        <v/>
      </c>
      <c r="H46" s="100"/>
      <c r="I46" s="100"/>
      <c r="J46" s="100"/>
      <c r="K46" s="100"/>
      <c r="L46" s="100"/>
    </row>
    <row r="49" customFormat="false" ht="15.75" hidden="false" customHeight="true" outlineLevel="0" collapsed="false">
      <c r="A49" s="33" t="s">
        <v>347</v>
      </c>
      <c r="B49" s="33" t="s">
        <v>351</v>
      </c>
      <c r="C49" s="33" t="s">
        <v>352</v>
      </c>
      <c r="D49" s="33" t="s">
        <v>353</v>
      </c>
      <c r="E49" s="33" t="s">
        <v>40</v>
      </c>
      <c r="F49" s="33" t="s">
        <v>354</v>
      </c>
      <c r="G49" s="33" t="s">
        <v>355</v>
      </c>
      <c r="H49" s="33" t="s">
        <v>356</v>
      </c>
      <c r="I49" s="33" t="s">
        <v>357</v>
      </c>
      <c r="J49" s="33" t="s">
        <v>358</v>
      </c>
      <c r="K49" s="33" t="s">
        <v>359</v>
      </c>
      <c r="L49" s="33" t="s">
        <v>360</v>
      </c>
    </row>
    <row r="50" customFormat="false" ht="15" hidden="false" customHeight="false" outlineLevel="0" collapsed="false">
      <c r="A50" s="102" t="n">
        <v>1</v>
      </c>
      <c r="B50" s="102" t="n">
        <f aca="false">IF($A50&gt;$B$11,"",COUNTIF($E$4:$E$8,"&lt;="&amp;$A50))</f>
        <v>1</v>
      </c>
      <c r="C50" s="102" t="n">
        <f aca="false">IF($B50="","",$A50-INDEX($E$4:$E$8,$B50))</f>
        <v>0</v>
      </c>
      <c r="D50" s="103" t="b">
        <f aca="false">IF($B50="",FALSE(),$C50=0)</f>
        <v>1</v>
      </c>
      <c r="E50" s="104" t="str">
        <f aca="false">IF($B50="","",INDEX($A$4:$A$8,$B50))</f>
        <v>Hip</v>
      </c>
      <c r="F50" s="104" t="str">
        <f aca="false">IF($B50="","",IF($D50,UPPER($E50),CHOOSE($B50,INDEX(Hip!$I$137:$I$160,$C50),INDEX(Hamstring!$I$137:$I$160,$C50),INDEX(Knee!$I$137:$I$160,$C50),INDEX('Ankle-Foot'!$I$137:$I$160,$C50),INDEX(Shoulder!$I$137:$I$160,$C50))))</f>
        <v>HIP</v>
      </c>
      <c r="G50" s="104" t="str">
        <f aca="false">IF($B50="","",IF($D50,INDEX($G$4:$G$8,$B50)&amp;"  ·  "&amp;INDEX($H$4:$H$8,$B50),CHOOSE($B50,INDEX(Hip!$C$137:$C$160,$C50),INDEX(Hamstring!$C$137:$C$160,$C50),INDEX(Knee!$C$137:$C$160,$C50),INDEX('Ankle-Foot'!$C$137:$C$160,$C50),INDEX(Shoulder!$C$137:$C$160,$C50))))</f>
        <v>1. Protection  ·  0 / 6</v>
      </c>
      <c r="H50" s="102" t="str">
        <f aca="false">IF(OR($B50="",$D50),"",CHOOSE($B50,INDEX(Hip!$E$137:$E$160,$C50),INDEX(Hamstring!$E$137:$E$160,$C50),INDEX(Knee!$E$137:$E$160,$C50),INDEX('Ankle-Foot'!$E$137:$E$160,$C50),INDEX(Shoulder!$E$137:$E$160,$C50)))</f>
        <v/>
      </c>
      <c r="I50" s="102" t="str">
        <f aca="false">IF(OR($B50="",$D50),"",CHOOSE($B50,INDEX(Hip!$F$137:$F$160,$C50),INDEX(Hamstring!$F$137:$F$160,$C50),INDEX(Knee!$F$137:$F$160,$C50),INDEX('Ankle-Foot'!$F$137:$F$160,$C50),INDEX(Shoulder!$F$137:$F$160,$C50)))</f>
        <v/>
      </c>
      <c r="J50" s="105" t="str">
        <f aca="false">IF(OR($B50="",$D50),"",CHOOSE($B50,INDEX(Hip!$G$137:$G$160,$C50),INDEX(Hamstring!$G$137:$G$160,$C50),INDEX(Knee!$G$137:$G$160,$C50),INDEX('Ankle-Foot'!$G$137:$G$160,$C50),INDEX(Shoulder!$G$137:$G$160,$C50)))</f>
        <v/>
      </c>
      <c r="K50" s="102" t="str">
        <f aca="false">IF(OR($B50="",$D50),"",CHOOSE($B50,INDEX(Hip!$K$137:$K$160,$C50),INDEX(Hamstring!$K$137:$K$160,$C50),INDEX(Knee!$K$137:$K$160,$C50),INDEX('Ankle-Foot'!$K$137:$K$160,$C50),INDEX(Shoulder!$K$137:$K$160,$C50)))</f>
        <v/>
      </c>
      <c r="L50" s="52" t="n">
        <f aca="false">IF($B50="","",IF($D50,INDEX($K$4:$K$8,$B50),CHOOSE($B50,INDEX(Hip!$H$137:$H$160,$C50),INDEX(Hamstring!$H$137:$H$160,$C50),INDEX(Knee!$H$137:$H$160,$C50),INDEX('Ankle-Foot'!$H$137:$H$160,$C50),INDEX(Shoulder!$H$137:$H$160,$C50))))</f>
        <v>46314</v>
      </c>
    </row>
    <row r="51" customFormat="false" ht="15" hidden="false" customHeight="false" outlineLevel="0" collapsed="false">
      <c r="A51" s="102" t="n">
        <v>2</v>
      </c>
      <c r="B51" s="102" t="n">
        <f aca="false">IF($A51&gt;$B$11,"",COUNTIF($E$4:$E$8,"&lt;="&amp;$A51))</f>
        <v>1</v>
      </c>
      <c r="C51" s="102" t="n">
        <f aca="false">IF($B51="","",$A51-INDEX($E$4:$E$8,$B51))</f>
        <v>1</v>
      </c>
      <c r="D51" s="103" t="b">
        <f aca="false">IF($B51="",FALSE(),$C51=0)</f>
        <v>0</v>
      </c>
      <c r="E51" s="104" t="str">
        <f aca="false">IF($B51="","",INDEX($A$4:$A$8,$B51))</f>
        <v>Hip</v>
      </c>
      <c r="F51" s="104" t="str">
        <f aca="false">IF($B51="","",IF($D51,UPPER($E51),CHOOSE($B51,INDEX(Hip!$I$137:$I$160,$C51),INDEX(Hamstring!$I$137:$I$160,$C51),INDEX(Knee!$I$137:$I$160,$C51),INDEX('Ankle-Foot'!$I$137:$I$160,$C51),INDEX(Shoulder!$I$137:$I$160,$C51))))</f>
        <v>ROM</v>
      </c>
      <c r="G51" s="104" t="str">
        <f aca="false">IF($B51="","",IF($D51,INDEX($G$4:$G$8,$B51)&amp;"  ·  "&amp;INDEX($H$4:$H$8,$B51),CHOOSE($B51,INDEX(Hip!$C$137:$C$160,$C51),INDEX(Hamstring!$C$137:$C$160,$C51),INDEX(Knee!$C$137:$C$160,$C51),INDEX('Ankle-Foot'!$C$137:$C$160,$C51),INDEX(Shoulder!$C$137:$C$160,$C51))))</f>
        <v>Hip Flexion (°)</v>
      </c>
      <c r="H51" s="102" t="str">
        <f aca="false">IF(OR($B51="",$D51),"",CHOOSE($B51,INDEX(Hip!$E$137:$E$160,$C51),INDEX(Hamstring!$E$137:$E$160,$C51),INDEX(Knee!$E$137:$E$160,$C51),INDEX('Ankle-Foot'!$E$137:$E$160,$C51),INDEX(Shoulder!$E$137:$E$160,$C51)))</f>
        <v/>
      </c>
      <c r="I51" s="102" t="str">
        <f aca="false">IF(OR($B51="",$D51),"",CHOOSE($B51,INDEX(Hip!$F$137:$F$160,$C51),INDEX(Hamstring!$F$137:$F$160,$C51),INDEX(Knee!$F$137:$F$160,$C51),INDEX('Ankle-Foot'!$F$137:$F$160,$C51),INDEX(Shoulder!$F$137:$F$160,$C51)))</f>
        <v/>
      </c>
      <c r="J51" s="105" t="str">
        <f aca="false">IF(OR($B51="",$D51),"",CHOOSE($B51,INDEX(Hip!$G$137:$G$160,$C51),INDEX(Hamstring!$G$137:$G$160,$C51),INDEX(Knee!$G$137:$G$160,$C51),INDEX('Ankle-Foot'!$G$137:$G$160,$C51),INDEX(Shoulder!$G$137:$G$160,$C51)))</f>
        <v/>
      </c>
      <c r="K51" s="102" t="str">
        <f aca="false">IF(OR($B51="",$D51),"",CHOOSE($B51,INDEX(Hip!$K$137:$K$160,$C51),INDEX(Hamstring!$K$137:$K$160,$C51),INDEX(Knee!$K$137:$K$160,$C51),INDEX('Ankle-Foot'!$K$137:$K$160,$C51),INDEX(Shoulder!$K$137:$K$160,$C51)))</f>
        <v/>
      </c>
      <c r="L51" s="52" t="str">
        <f aca="false">IF($B51="","",IF($D51,INDEX($K$4:$K$8,$B51),CHOOSE($B51,INDEX(Hip!$H$137:$H$160,$C51),INDEX(Hamstring!$H$137:$H$160,$C51),INDEX(Knee!$H$137:$H$160,$C51),INDEX('Ankle-Foot'!$H$137:$H$160,$C51),INDEX(Shoulder!$H$137:$H$160,$C51))))</f>
        <v/>
      </c>
    </row>
    <row r="52" customFormat="false" ht="15" hidden="false" customHeight="false" outlineLevel="0" collapsed="false">
      <c r="A52" s="102" t="n">
        <v>3</v>
      </c>
      <c r="B52" s="102" t="n">
        <f aca="false">IF($A52&gt;$B$11,"",COUNTIF($E$4:$E$8,"&lt;="&amp;$A52))</f>
        <v>1</v>
      </c>
      <c r="C52" s="102" t="n">
        <f aca="false">IF($B52="","",$A52-INDEX($E$4:$E$8,$B52))</f>
        <v>2</v>
      </c>
      <c r="D52" s="103" t="b">
        <f aca="false">IF($B52="",FALSE(),$C52=0)</f>
        <v>0</v>
      </c>
      <c r="E52" s="104" t="str">
        <f aca="false">IF($B52="","",INDEX($A$4:$A$8,$B52))</f>
        <v>Hip</v>
      </c>
      <c r="F52" s="104" t="str">
        <f aca="false">IF($B52="","",IF($D52,UPPER($E52),CHOOSE($B52,INDEX(Hip!$I$137:$I$160,$C52),INDEX(Hamstring!$I$137:$I$160,$C52),INDEX(Knee!$I$137:$I$160,$C52),INDEX('Ankle-Foot'!$I$137:$I$160,$C52),INDEX(Shoulder!$I$137:$I$160,$C52))))</f>
        <v/>
      </c>
      <c r="G52" s="104" t="str">
        <f aca="false">IF($B52="","",IF($D52,INDEX($G$4:$G$8,$B52)&amp;"  ·  "&amp;INDEX($H$4:$H$8,$B52),CHOOSE($B52,INDEX(Hip!$C$137:$C$160,$C52),INDEX(Hamstring!$C$137:$C$160,$C52),INDEX(Knee!$C$137:$C$160,$C52),INDEX('Ankle-Foot'!$C$137:$C$160,$C52),INDEX(Shoulder!$C$137:$C$160,$C52))))</f>
        <v>Hip Extension (°)</v>
      </c>
      <c r="H52" s="102" t="str">
        <f aca="false">IF(OR($B52="",$D52),"",CHOOSE($B52,INDEX(Hip!$E$137:$E$160,$C52),INDEX(Hamstring!$E$137:$E$160,$C52),INDEX(Knee!$E$137:$E$160,$C52),INDEX('Ankle-Foot'!$E$137:$E$160,$C52),INDEX(Shoulder!$E$137:$E$160,$C52)))</f>
        <v/>
      </c>
      <c r="I52" s="102" t="str">
        <f aca="false">IF(OR($B52="",$D52),"",CHOOSE($B52,INDEX(Hip!$F$137:$F$160,$C52),INDEX(Hamstring!$F$137:$F$160,$C52),INDEX(Knee!$F$137:$F$160,$C52),INDEX('Ankle-Foot'!$F$137:$F$160,$C52),INDEX(Shoulder!$F$137:$F$160,$C52)))</f>
        <v/>
      </c>
      <c r="J52" s="105" t="str">
        <f aca="false">IF(OR($B52="",$D52),"",CHOOSE($B52,INDEX(Hip!$G$137:$G$160,$C52),INDEX(Hamstring!$G$137:$G$160,$C52),INDEX(Knee!$G$137:$G$160,$C52),INDEX('Ankle-Foot'!$G$137:$G$160,$C52),INDEX(Shoulder!$G$137:$G$160,$C52)))</f>
        <v/>
      </c>
      <c r="K52" s="102" t="str">
        <f aca="false">IF(OR($B52="",$D52),"",CHOOSE($B52,INDEX(Hip!$K$137:$K$160,$C52),INDEX(Hamstring!$K$137:$K$160,$C52),INDEX(Knee!$K$137:$K$160,$C52),INDEX('Ankle-Foot'!$K$137:$K$160,$C52),INDEX(Shoulder!$K$137:$K$160,$C52)))</f>
        <v/>
      </c>
      <c r="L52" s="52" t="str">
        <f aca="false">IF($B52="","",IF($D52,INDEX($K$4:$K$8,$B52),CHOOSE($B52,INDEX(Hip!$H$137:$H$160,$C52),INDEX(Hamstring!$H$137:$H$160,$C52),INDEX(Knee!$H$137:$H$160,$C52),INDEX('Ankle-Foot'!$H$137:$H$160,$C52),INDEX(Shoulder!$H$137:$H$160,$C52))))</f>
        <v/>
      </c>
    </row>
    <row r="53" customFormat="false" ht="15" hidden="false" customHeight="false" outlineLevel="0" collapsed="false">
      <c r="A53" s="102" t="n">
        <v>4</v>
      </c>
      <c r="B53" s="102" t="n">
        <f aca="false">IF($A53&gt;$B$11,"",COUNTIF($E$4:$E$8,"&lt;="&amp;$A53))</f>
        <v>1</v>
      </c>
      <c r="C53" s="102" t="n">
        <f aca="false">IF($B53="","",$A53-INDEX($E$4:$E$8,$B53))</f>
        <v>3</v>
      </c>
      <c r="D53" s="103" t="b">
        <f aca="false">IF($B53="",FALSE(),$C53=0)</f>
        <v>0</v>
      </c>
      <c r="E53" s="104" t="str">
        <f aca="false">IF($B53="","",INDEX($A$4:$A$8,$B53))</f>
        <v>Hip</v>
      </c>
      <c r="F53" s="104" t="str">
        <f aca="false">IF($B53="","",IF($D53,UPPER($E53),CHOOSE($B53,INDEX(Hip!$I$137:$I$160,$C53),INDEX(Hamstring!$I$137:$I$160,$C53),INDEX(Knee!$I$137:$I$160,$C53),INDEX('Ankle-Foot'!$I$137:$I$160,$C53),INDEX(Shoulder!$I$137:$I$160,$C53))))</f>
        <v/>
      </c>
      <c r="G53" s="104" t="str">
        <f aca="false">IF($B53="","",IF($D53,INDEX($G$4:$G$8,$B53)&amp;"  ·  "&amp;INDEX($H$4:$H$8,$B53),CHOOSE($B53,INDEX(Hip!$C$137:$C$160,$C53),INDEX(Hamstring!$C$137:$C$160,$C53),INDEX(Knee!$C$137:$C$160,$C53),INDEX('Ankle-Foot'!$C$137:$C$160,$C53),INDEX(Shoulder!$C$137:$C$160,$C53))))</f>
        <v>Hip IR @ 90° (°)</v>
      </c>
      <c r="H53" s="102" t="str">
        <f aca="false">IF(OR($B53="",$D53),"",CHOOSE($B53,INDEX(Hip!$E$137:$E$160,$C53),INDEX(Hamstring!$E$137:$E$160,$C53),INDEX(Knee!$E$137:$E$160,$C53),INDEX('Ankle-Foot'!$E$137:$E$160,$C53),INDEX(Shoulder!$E$137:$E$160,$C53)))</f>
        <v/>
      </c>
      <c r="I53" s="102" t="str">
        <f aca="false">IF(OR($B53="",$D53),"",CHOOSE($B53,INDEX(Hip!$F$137:$F$160,$C53),INDEX(Hamstring!$F$137:$F$160,$C53),INDEX(Knee!$F$137:$F$160,$C53),INDEX('Ankle-Foot'!$F$137:$F$160,$C53),INDEX(Shoulder!$F$137:$F$160,$C53)))</f>
        <v/>
      </c>
      <c r="J53" s="105" t="str">
        <f aca="false">IF(OR($B53="",$D53),"",CHOOSE($B53,INDEX(Hip!$G$137:$G$160,$C53),INDEX(Hamstring!$G$137:$G$160,$C53),INDEX(Knee!$G$137:$G$160,$C53),INDEX('Ankle-Foot'!$G$137:$G$160,$C53),INDEX(Shoulder!$G$137:$G$160,$C53)))</f>
        <v/>
      </c>
      <c r="K53" s="102" t="str">
        <f aca="false">IF(OR($B53="",$D53),"",CHOOSE($B53,INDEX(Hip!$K$137:$K$160,$C53),INDEX(Hamstring!$K$137:$K$160,$C53),INDEX(Knee!$K$137:$K$160,$C53),INDEX('Ankle-Foot'!$K$137:$K$160,$C53),INDEX(Shoulder!$K$137:$K$160,$C53)))</f>
        <v/>
      </c>
      <c r="L53" s="52" t="str">
        <f aca="false">IF($B53="","",IF($D53,INDEX($K$4:$K$8,$B53),CHOOSE($B53,INDEX(Hip!$H$137:$H$160,$C53),INDEX(Hamstring!$H$137:$H$160,$C53),INDEX(Knee!$H$137:$H$160,$C53),INDEX('Ankle-Foot'!$H$137:$H$160,$C53),INDEX(Shoulder!$H$137:$H$160,$C53))))</f>
        <v/>
      </c>
    </row>
    <row r="54" customFormat="false" ht="15" hidden="false" customHeight="false" outlineLevel="0" collapsed="false">
      <c r="A54" s="102" t="n">
        <v>5</v>
      </c>
      <c r="B54" s="102" t="n">
        <f aca="false">IF($A54&gt;$B$11,"",COUNTIF($E$4:$E$8,"&lt;="&amp;$A54))</f>
        <v>1</v>
      </c>
      <c r="C54" s="102" t="n">
        <f aca="false">IF($B54="","",$A54-INDEX($E$4:$E$8,$B54))</f>
        <v>4</v>
      </c>
      <c r="D54" s="103" t="b">
        <f aca="false">IF($B54="",FALSE(),$C54=0)</f>
        <v>0</v>
      </c>
      <c r="E54" s="104" t="str">
        <f aca="false">IF($B54="","",INDEX($A$4:$A$8,$B54))</f>
        <v>Hip</v>
      </c>
      <c r="F54" s="104" t="str">
        <f aca="false">IF($B54="","",IF($D54,UPPER($E54),CHOOSE($B54,INDEX(Hip!$I$137:$I$160,$C54),INDEX(Hamstring!$I$137:$I$160,$C54),INDEX(Knee!$I$137:$I$160,$C54),INDEX('Ankle-Foot'!$I$137:$I$160,$C54),INDEX(Shoulder!$I$137:$I$160,$C54))))</f>
        <v/>
      </c>
      <c r="G54" s="104" t="str">
        <f aca="false">IF($B54="","",IF($D54,INDEX($G$4:$G$8,$B54)&amp;"  ·  "&amp;INDEX($H$4:$H$8,$B54),CHOOSE($B54,INDEX(Hip!$C$137:$C$160,$C54),INDEX(Hamstring!$C$137:$C$160,$C54),INDEX(Knee!$C$137:$C$160,$C54),INDEX('Ankle-Foot'!$C$137:$C$160,$C54),INDEX(Shoulder!$C$137:$C$160,$C54))))</f>
        <v>Hip ER @ 90° (°)</v>
      </c>
      <c r="H54" s="102" t="str">
        <f aca="false">IF(OR($B54="",$D54),"",CHOOSE($B54,INDEX(Hip!$E$137:$E$160,$C54),INDEX(Hamstring!$E$137:$E$160,$C54),INDEX(Knee!$E$137:$E$160,$C54),INDEX('Ankle-Foot'!$E$137:$E$160,$C54),INDEX(Shoulder!$E$137:$E$160,$C54)))</f>
        <v/>
      </c>
      <c r="I54" s="102" t="str">
        <f aca="false">IF(OR($B54="",$D54),"",CHOOSE($B54,INDEX(Hip!$F$137:$F$160,$C54),INDEX(Hamstring!$F$137:$F$160,$C54),INDEX(Knee!$F$137:$F$160,$C54),INDEX('Ankle-Foot'!$F$137:$F$160,$C54),INDEX(Shoulder!$F$137:$F$160,$C54)))</f>
        <v/>
      </c>
      <c r="J54" s="105" t="str">
        <f aca="false">IF(OR($B54="",$D54),"",CHOOSE($B54,INDEX(Hip!$G$137:$G$160,$C54),INDEX(Hamstring!$G$137:$G$160,$C54),INDEX(Knee!$G$137:$G$160,$C54),INDEX('Ankle-Foot'!$G$137:$G$160,$C54),INDEX(Shoulder!$G$137:$G$160,$C54)))</f>
        <v/>
      </c>
      <c r="K54" s="102" t="str">
        <f aca="false">IF(OR($B54="",$D54),"",CHOOSE($B54,INDEX(Hip!$K$137:$K$160,$C54),INDEX(Hamstring!$K$137:$K$160,$C54),INDEX(Knee!$K$137:$K$160,$C54),INDEX('Ankle-Foot'!$K$137:$K$160,$C54),INDEX(Shoulder!$K$137:$K$160,$C54)))</f>
        <v/>
      </c>
      <c r="L54" s="52" t="str">
        <f aca="false">IF($B54="","",IF($D54,INDEX($K$4:$K$8,$B54),CHOOSE($B54,INDEX(Hip!$H$137:$H$160,$C54),INDEX(Hamstring!$H$137:$H$160,$C54),INDEX(Knee!$H$137:$H$160,$C54),INDEX('Ankle-Foot'!$H$137:$H$160,$C54),INDEX(Shoulder!$H$137:$H$160,$C54))))</f>
        <v/>
      </c>
    </row>
    <row r="55" customFormat="false" ht="15" hidden="false" customHeight="false" outlineLevel="0" collapsed="false">
      <c r="A55" s="102" t="n">
        <v>6</v>
      </c>
      <c r="B55" s="102" t="n">
        <f aca="false">IF($A55&gt;$B$11,"",COUNTIF($E$4:$E$8,"&lt;="&amp;$A55))</f>
        <v>1</v>
      </c>
      <c r="C55" s="102" t="n">
        <f aca="false">IF($B55="","",$A55-INDEX($E$4:$E$8,$B55))</f>
        <v>5</v>
      </c>
      <c r="D55" s="103" t="b">
        <f aca="false">IF($B55="",FALSE(),$C55=0)</f>
        <v>0</v>
      </c>
      <c r="E55" s="104" t="str">
        <f aca="false">IF($B55="","",INDEX($A$4:$A$8,$B55))</f>
        <v>Hip</v>
      </c>
      <c r="F55" s="104" t="str">
        <f aca="false">IF($B55="","",IF($D55,UPPER($E55),CHOOSE($B55,INDEX(Hip!$I$137:$I$160,$C55),INDEX(Hamstring!$I$137:$I$160,$C55),INDEX(Knee!$I$137:$I$160,$C55),INDEX('Ankle-Foot'!$I$137:$I$160,$C55),INDEX(Shoulder!$I$137:$I$160,$C55))))</f>
        <v/>
      </c>
      <c r="G55" s="104" t="str">
        <f aca="false">IF($B55="","",IF($D55,INDEX($G$4:$G$8,$B55)&amp;"  ·  "&amp;INDEX($H$4:$H$8,$B55),CHOOSE($B55,INDEX(Hip!$C$137:$C$160,$C55),INDEX(Hamstring!$C$137:$C$160,$C55),INDEX(Knee!$C$137:$C$160,$C55),INDEX('Ankle-Foot'!$C$137:$C$160,$C55),INDEX(Shoulder!$C$137:$C$160,$C55))))</f>
        <v>Active Abduction (°)</v>
      </c>
      <c r="H55" s="102" t="str">
        <f aca="false">IF(OR($B55="",$D55),"",CHOOSE($B55,INDEX(Hip!$E$137:$E$160,$C55),INDEX(Hamstring!$E$137:$E$160,$C55),INDEX(Knee!$E$137:$E$160,$C55),INDEX('Ankle-Foot'!$E$137:$E$160,$C55),INDEX(Shoulder!$E$137:$E$160,$C55)))</f>
        <v/>
      </c>
      <c r="I55" s="102" t="str">
        <f aca="false">IF(OR($B55="",$D55),"",CHOOSE($B55,INDEX(Hip!$F$137:$F$160,$C55),INDEX(Hamstring!$F$137:$F$160,$C55),INDEX(Knee!$F$137:$F$160,$C55),INDEX('Ankle-Foot'!$F$137:$F$160,$C55),INDEX(Shoulder!$F$137:$F$160,$C55)))</f>
        <v/>
      </c>
      <c r="J55" s="105" t="str">
        <f aca="false">IF(OR($B55="",$D55),"",CHOOSE($B55,INDEX(Hip!$G$137:$G$160,$C55),INDEX(Hamstring!$G$137:$G$160,$C55),INDEX(Knee!$G$137:$G$160,$C55),INDEX('Ankle-Foot'!$G$137:$G$160,$C55),INDEX(Shoulder!$G$137:$G$160,$C55)))</f>
        <v/>
      </c>
      <c r="K55" s="102" t="str">
        <f aca="false">IF(OR($B55="",$D55),"",CHOOSE($B55,INDEX(Hip!$K$137:$K$160,$C55),INDEX(Hamstring!$K$137:$K$160,$C55),INDEX(Knee!$K$137:$K$160,$C55),INDEX('Ankle-Foot'!$K$137:$K$160,$C55),INDEX(Shoulder!$K$137:$K$160,$C55)))</f>
        <v/>
      </c>
      <c r="L55" s="52" t="str">
        <f aca="false">IF($B55="","",IF($D55,INDEX($K$4:$K$8,$B55),CHOOSE($B55,INDEX(Hip!$H$137:$H$160,$C55),INDEX(Hamstring!$H$137:$H$160,$C55),INDEX(Knee!$H$137:$H$160,$C55),INDEX('Ankle-Foot'!$H$137:$H$160,$C55),INDEX(Shoulder!$H$137:$H$160,$C55))))</f>
        <v/>
      </c>
    </row>
    <row r="56" customFormat="false" ht="15" hidden="false" customHeight="false" outlineLevel="0" collapsed="false">
      <c r="A56" s="102" t="n">
        <v>7</v>
      </c>
      <c r="B56" s="102" t="n">
        <f aca="false">IF($A56&gt;$B$11,"",COUNTIF($E$4:$E$8,"&lt;="&amp;$A56))</f>
        <v>1</v>
      </c>
      <c r="C56" s="102" t="n">
        <f aca="false">IF($B56="","",$A56-INDEX($E$4:$E$8,$B56))</f>
        <v>6</v>
      </c>
      <c r="D56" s="103" t="b">
        <f aca="false">IF($B56="",FALSE(),$C56=0)</f>
        <v>0</v>
      </c>
      <c r="E56" s="104" t="str">
        <f aca="false">IF($B56="","",INDEX($A$4:$A$8,$B56))</f>
        <v>Hip</v>
      </c>
      <c r="F56" s="104" t="str">
        <f aca="false">IF($B56="","",IF($D56,UPPER($E56),CHOOSE($B56,INDEX(Hip!$I$137:$I$160,$C56),INDEX(Hamstring!$I$137:$I$160,$C56),INDEX(Knee!$I$137:$I$160,$C56),INDEX('Ankle-Foot'!$I$137:$I$160,$C56),INDEX(Shoulder!$I$137:$I$160,$C56))))</f>
        <v/>
      </c>
      <c r="G56" s="104" t="str">
        <f aca="false">IF($B56="","",IF($D56,INDEX($G$4:$G$8,$B56)&amp;"  ·  "&amp;INDEX($H$4:$H$8,$B56),CHOOSE($B56,INDEX(Hip!$C$137:$C$160,$C56),INDEX(Hamstring!$C$137:$C$160,$C56),INDEX(Knee!$C$137:$C$160,$C56),INDEX('Ankle-Foot'!$C$137:$C$160,$C56),INDEX(Shoulder!$C$137:$C$160,$C56))))</f>
        <v>Passive Abduction (°)</v>
      </c>
      <c r="H56" s="102" t="str">
        <f aca="false">IF(OR($B56="",$D56),"",CHOOSE($B56,INDEX(Hip!$E$137:$E$160,$C56),INDEX(Hamstring!$E$137:$E$160,$C56),INDEX(Knee!$E$137:$E$160,$C56),INDEX('Ankle-Foot'!$E$137:$E$160,$C56),INDEX(Shoulder!$E$137:$E$160,$C56)))</f>
        <v/>
      </c>
      <c r="I56" s="102" t="str">
        <f aca="false">IF(OR($B56="",$D56),"",CHOOSE($B56,INDEX(Hip!$F$137:$F$160,$C56),INDEX(Hamstring!$F$137:$F$160,$C56),INDEX(Knee!$F$137:$F$160,$C56),INDEX('Ankle-Foot'!$F$137:$F$160,$C56),INDEX(Shoulder!$F$137:$F$160,$C56)))</f>
        <v/>
      </c>
      <c r="J56" s="105" t="str">
        <f aca="false">IF(OR($B56="",$D56),"",CHOOSE($B56,INDEX(Hip!$G$137:$G$160,$C56),INDEX(Hamstring!$G$137:$G$160,$C56),INDEX(Knee!$G$137:$G$160,$C56),INDEX('Ankle-Foot'!$G$137:$G$160,$C56),INDEX(Shoulder!$G$137:$G$160,$C56)))</f>
        <v/>
      </c>
      <c r="K56" s="102" t="str">
        <f aca="false">IF(OR($B56="",$D56),"",CHOOSE($B56,INDEX(Hip!$K$137:$K$160,$C56),INDEX(Hamstring!$K$137:$K$160,$C56),INDEX(Knee!$K$137:$K$160,$C56),INDEX('Ankle-Foot'!$K$137:$K$160,$C56),INDEX(Shoulder!$K$137:$K$160,$C56)))</f>
        <v/>
      </c>
      <c r="L56" s="52" t="str">
        <f aca="false">IF($B56="","",IF($D56,INDEX($K$4:$K$8,$B56),CHOOSE($B56,INDEX(Hip!$H$137:$H$160,$C56),INDEX(Hamstring!$H$137:$H$160,$C56),INDEX(Knee!$H$137:$H$160,$C56),INDEX('Ankle-Foot'!$H$137:$H$160,$C56),INDEX(Shoulder!$H$137:$H$160,$C56))))</f>
        <v/>
      </c>
    </row>
    <row r="57" customFormat="false" ht="15" hidden="false" customHeight="false" outlineLevel="0" collapsed="false">
      <c r="A57" s="102" t="n">
        <v>8</v>
      </c>
      <c r="B57" s="102" t="n">
        <f aca="false">IF($A57&gt;$B$11,"",COUNTIF($E$4:$E$8,"&lt;="&amp;$A57))</f>
        <v>1</v>
      </c>
      <c r="C57" s="102" t="n">
        <f aca="false">IF($B57="","",$A57-INDEX($E$4:$E$8,$B57))</f>
        <v>7</v>
      </c>
      <c r="D57" s="103" t="b">
        <f aca="false">IF($B57="",FALSE(),$C57=0)</f>
        <v>0</v>
      </c>
      <c r="E57" s="104" t="str">
        <f aca="false">IF($B57="","",INDEX($A$4:$A$8,$B57))</f>
        <v>Hip</v>
      </c>
      <c r="F57" s="104" t="str">
        <f aca="false">IF($B57="","",IF($D57,UPPER($E57),CHOOSE($B57,INDEX(Hip!$I$137:$I$160,$C57),INDEX(Hamstring!$I$137:$I$160,$C57),INDEX(Knee!$I$137:$I$160,$C57),INDEX('Ankle-Foot'!$I$137:$I$160,$C57),INDEX(Shoulder!$I$137:$I$160,$C57))))</f>
        <v>Strength</v>
      </c>
      <c r="G57" s="104" t="str">
        <f aca="false">IF($B57="","",IF($D57,INDEX($G$4:$G$8,$B57)&amp;"  ·  "&amp;INDEX($H$4:$H$8,$B57),CHOOSE($B57,INDEX(Hip!$C$137:$C$160,$C57),INDEX(Hamstring!$C$137:$C$160,$C57),INDEX(Knee!$C$137:$C$160,$C57),INDEX('Ankle-Foot'!$C$137:$C$160,$C57),INDEX(Shoulder!$C$137:$C$160,$C57))))</f>
        <v>Hip Flexion @ 90° (kg)</v>
      </c>
      <c r="H57" s="102" t="n">
        <f aca="false">IF(OR($B57="",$D57),"",CHOOSE($B57,INDEX(Hip!$E$137:$E$160,$C57),INDEX(Hamstring!$E$137:$E$160,$C57),INDEX(Knee!$E$137:$E$160,$C57),INDEX('Ankle-Foot'!$E$137:$E$160,$C57),INDEX(Shoulder!$E$137:$E$160,$C57)))</f>
        <v>22.6</v>
      </c>
      <c r="I57" s="102" t="n">
        <f aca="false">IF(OR($B57="",$D57),"",CHOOSE($B57,INDEX(Hip!$F$137:$F$160,$C57),INDEX(Hamstring!$F$137:$F$160,$C57),INDEX(Knee!$F$137:$F$160,$C57),INDEX('Ankle-Foot'!$F$137:$F$160,$C57),INDEX(Shoulder!$F$137:$F$160,$C57)))</f>
        <v>24.3</v>
      </c>
      <c r="J57" s="105" t="n">
        <f aca="false">IF(OR($B57="",$D57),"",CHOOSE($B57,INDEX(Hip!$G$137:$G$160,$C57),INDEX(Hamstring!$G$137:$G$160,$C57),INDEX(Knee!$G$137:$G$160,$C57),INDEX('Ankle-Foot'!$G$137:$G$160,$C57),INDEX(Shoulder!$G$137:$G$160,$C57)))</f>
        <v>0.930041152263375</v>
      </c>
      <c r="K57" s="102" t="str">
        <f aca="false">IF(OR($B57="",$D57),"",CHOOSE($B57,INDEX(Hip!$K$137:$K$160,$C57),INDEX(Hamstring!$K$137:$K$160,$C57),INDEX(Knee!$K$137:$K$160,$C57),INDEX('Ankle-Foot'!$K$137:$K$160,$C57),INDEX(Shoulder!$K$137:$K$160,$C57)))</f>
        <v>+9 pts</v>
      </c>
      <c r="L57" s="52" t="n">
        <f aca="false">IF($B57="","",IF($D57,INDEX($K$4:$K$8,$B57),CHOOSE($B57,INDEX(Hip!$H$137:$H$160,$C57),INDEX(Hamstring!$H$137:$H$160,$C57),INDEX(Knee!$H$137:$H$160,$C57),INDEX('Ankle-Foot'!$H$137:$H$160,$C57),INDEX(Shoulder!$H$137:$H$160,$C57))))</f>
        <v>46314</v>
      </c>
    </row>
    <row r="58" customFormat="false" ht="15" hidden="false" customHeight="false" outlineLevel="0" collapsed="false">
      <c r="A58" s="102" t="n">
        <v>9</v>
      </c>
      <c r="B58" s="102" t="n">
        <f aca="false">IF($A58&gt;$B$11,"",COUNTIF($E$4:$E$8,"&lt;="&amp;$A58))</f>
        <v>1</v>
      </c>
      <c r="C58" s="102" t="n">
        <f aca="false">IF($B58="","",$A58-INDEX($E$4:$E$8,$B58))</f>
        <v>8</v>
      </c>
      <c r="D58" s="103" t="b">
        <f aca="false">IF($B58="",FALSE(),$C58=0)</f>
        <v>0</v>
      </c>
      <c r="E58" s="104" t="str">
        <f aca="false">IF($B58="","",INDEX($A$4:$A$8,$B58))</f>
        <v>Hip</v>
      </c>
      <c r="F58" s="104" t="str">
        <f aca="false">IF($B58="","",IF($D58,UPPER($E58),CHOOSE($B58,INDEX(Hip!$I$137:$I$160,$C58),INDEX(Hamstring!$I$137:$I$160,$C58),INDEX(Knee!$I$137:$I$160,$C58),INDEX('Ankle-Foot'!$I$137:$I$160,$C58),INDEX(Shoulder!$I$137:$I$160,$C58))))</f>
        <v/>
      </c>
      <c r="G58" s="104" t="str">
        <f aca="false">IF($B58="","",IF($D58,INDEX($G$4:$G$8,$B58)&amp;"  ·  "&amp;INDEX($H$4:$H$8,$B58),CHOOSE($B58,INDEX(Hip!$C$137:$C$160,$C58),INDEX(Hamstring!$C$137:$C$160,$C58),INDEX(Knee!$C$137:$C$160,$C58),INDEX('Ankle-Foot'!$C$137:$C$160,$C58),INDEX(Shoulder!$C$137:$C$160,$C58))))</f>
        <v>Hip Extension (kg)</v>
      </c>
      <c r="H58" s="102" t="n">
        <f aca="false">IF(OR($B58="",$D58),"",CHOOSE($B58,INDEX(Hip!$E$137:$E$160,$C58),INDEX(Hamstring!$E$137:$E$160,$C58),INDEX(Knee!$E$137:$E$160,$C58),INDEX('Ankle-Foot'!$E$137:$E$160,$C58),INDEX(Shoulder!$E$137:$E$160,$C58)))</f>
        <v>30.4</v>
      </c>
      <c r="I58" s="102" t="n">
        <f aca="false">IF(OR($B58="",$D58),"",CHOOSE($B58,INDEX(Hip!$F$137:$F$160,$C58),INDEX(Hamstring!$F$137:$F$160,$C58),INDEX(Knee!$F$137:$F$160,$C58),INDEX('Ankle-Foot'!$F$137:$F$160,$C58),INDEX(Shoulder!$F$137:$F$160,$C58)))</f>
        <v>31.2</v>
      </c>
      <c r="J58" s="105" t="n">
        <f aca="false">IF(OR($B58="",$D58),"",CHOOSE($B58,INDEX(Hip!$G$137:$G$160,$C58),INDEX(Hamstring!$G$137:$G$160,$C58),INDEX(Knee!$G$137:$G$160,$C58),INDEX('Ankle-Foot'!$G$137:$G$160,$C58),INDEX(Shoulder!$G$137:$G$160,$C58)))</f>
        <v>0.974358974358974</v>
      </c>
      <c r="K58" s="102" t="str">
        <f aca="false">IF(OR($B58="",$D58),"",CHOOSE($B58,INDEX(Hip!$K$137:$K$160,$C58),INDEX(Hamstring!$K$137:$K$160,$C58),INDEX(Knee!$K$137:$K$160,$C58),INDEX('Ankle-Foot'!$K$137:$K$160,$C58),INDEX(Shoulder!$K$137:$K$160,$C58)))</f>
        <v>+4 pts</v>
      </c>
      <c r="L58" s="52" t="n">
        <f aca="false">IF($B58="","",IF($D58,INDEX($K$4:$K$8,$B58),CHOOSE($B58,INDEX(Hip!$H$137:$H$160,$C58),INDEX(Hamstring!$H$137:$H$160,$C58),INDEX(Knee!$H$137:$H$160,$C58),INDEX('Ankle-Foot'!$H$137:$H$160,$C58),INDEX(Shoulder!$H$137:$H$160,$C58))))</f>
        <v>46314</v>
      </c>
    </row>
    <row r="59" customFormat="false" ht="15" hidden="false" customHeight="false" outlineLevel="0" collapsed="false">
      <c r="A59" s="102" t="n">
        <v>10</v>
      </c>
      <c r="B59" s="102" t="n">
        <f aca="false">IF($A59&gt;$B$11,"",COUNTIF($E$4:$E$8,"&lt;="&amp;$A59))</f>
        <v>1</v>
      </c>
      <c r="C59" s="102" t="n">
        <f aca="false">IF($B59="","",$A59-INDEX($E$4:$E$8,$B59))</f>
        <v>9</v>
      </c>
      <c r="D59" s="103" t="b">
        <f aca="false">IF($B59="",FALSE(),$C59=0)</f>
        <v>0</v>
      </c>
      <c r="E59" s="104" t="str">
        <f aca="false">IF($B59="","",INDEX($A$4:$A$8,$B59))</f>
        <v>Hip</v>
      </c>
      <c r="F59" s="104" t="str">
        <f aca="false">IF($B59="","",IF($D59,UPPER($E59),CHOOSE($B59,INDEX(Hip!$I$137:$I$160,$C59),INDEX(Hamstring!$I$137:$I$160,$C59),INDEX(Knee!$I$137:$I$160,$C59),INDEX('Ankle-Foot'!$I$137:$I$160,$C59),INDEX(Shoulder!$I$137:$I$160,$C59))))</f>
        <v/>
      </c>
      <c r="G59" s="104" t="str">
        <f aca="false">IF($B59="","",IF($D59,INDEX($G$4:$G$8,$B59)&amp;"  ·  "&amp;INDEX($H$4:$H$8,$B59),CHOOSE($B59,INDEX(Hip!$C$137:$C$160,$C59),INDEX(Hamstring!$C$137:$C$160,$C59),INDEX(Knee!$C$137:$C$160,$C59),INDEX('Ankle-Foot'!$C$137:$C$160,$C59),INDEX(Shoulder!$C$137:$C$160,$C59))))</f>
        <v>Hip IR @ 90° (kg)</v>
      </c>
      <c r="H59" s="102" t="n">
        <f aca="false">IF(OR($B59="",$D59),"",CHOOSE($B59,INDEX(Hip!$E$137:$E$160,$C59),INDEX(Hamstring!$E$137:$E$160,$C59),INDEX(Knee!$E$137:$E$160,$C59),INDEX('Ankle-Foot'!$E$137:$E$160,$C59),INDEX(Shoulder!$E$137:$E$160,$C59)))</f>
        <v>12.1</v>
      </c>
      <c r="I59" s="102" t="n">
        <f aca="false">IF(OR($B59="",$D59),"",CHOOSE($B59,INDEX(Hip!$F$137:$F$160,$C59),INDEX(Hamstring!$F$137:$F$160,$C59),INDEX(Knee!$F$137:$F$160,$C59),INDEX('Ankle-Foot'!$F$137:$F$160,$C59),INDEX(Shoulder!$F$137:$F$160,$C59)))</f>
        <v>12.9</v>
      </c>
      <c r="J59" s="105" t="n">
        <f aca="false">IF(OR($B59="",$D59),"",CHOOSE($B59,INDEX(Hip!$G$137:$G$160,$C59),INDEX(Hamstring!$G$137:$G$160,$C59),INDEX(Knee!$G$137:$G$160,$C59),INDEX('Ankle-Foot'!$G$137:$G$160,$C59),INDEX(Shoulder!$G$137:$G$160,$C59)))</f>
        <v>0.937984496124031</v>
      </c>
      <c r="K59" s="102" t="str">
        <f aca="false">IF(OR($B59="",$D59),"",CHOOSE($B59,INDEX(Hip!$K$137:$K$160,$C59),INDEX(Hamstring!$K$137:$K$160,$C59),INDEX(Knee!$K$137:$K$160,$C59),INDEX('Ankle-Foot'!$K$137:$K$160,$C59),INDEX(Shoulder!$K$137:$K$160,$C59)))</f>
        <v>+6 pts</v>
      </c>
      <c r="L59" s="52" t="n">
        <f aca="false">IF($B59="","",IF($D59,INDEX($K$4:$K$8,$B59),CHOOSE($B59,INDEX(Hip!$H$137:$H$160,$C59),INDEX(Hamstring!$H$137:$H$160,$C59),INDEX(Knee!$H$137:$H$160,$C59),INDEX('Ankle-Foot'!$H$137:$H$160,$C59),INDEX(Shoulder!$H$137:$H$160,$C59))))</f>
        <v>46314</v>
      </c>
    </row>
    <row r="60" customFormat="false" ht="15" hidden="false" customHeight="false" outlineLevel="0" collapsed="false">
      <c r="A60" s="102" t="n">
        <v>11</v>
      </c>
      <c r="B60" s="102" t="n">
        <f aca="false">IF($A60&gt;$B$11,"",COUNTIF($E$4:$E$8,"&lt;="&amp;$A60))</f>
        <v>1</v>
      </c>
      <c r="C60" s="102" t="n">
        <f aca="false">IF($B60="","",$A60-INDEX($E$4:$E$8,$B60))</f>
        <v>10</v>
      </c>
      <c r="D60" s="103" t="b">
        <f aca="false">IF($B60="",FALSE(),$C60=0)</f>
        <v>0</v>
      </c>
      <c r="E60" s="104" t="str">
        <f aca="false">IF($B60="","",INDEX($A$4:$A$8,$B60))</f>
        <v>Hip</v>
      </c>
      <c r="F60" s="104" t="str">
        <f aca="false">IF($B60="","",IF($D60,UPPER($E60),CHOOSE($B60,INDEX(Hip!$I$137:$I$160,$C60),INDEX(Hamstring!$I$137:$I$160,$C60),INDEX(Knee!$I$137:$I$160,$C60),INDEX('Ankle-Foot'!$I$137:$I$160,$C60),INDEX(Shoulder!$I$137:$I$160,$C60))))</f>
        <v/>
      </c>
      <c r="G60" s="104" t="str">
        <f aca="false">IF($B60="","",IF($D60,INDEX($G$4:$G$8,$B60)&amp;"  ·  "&amp;INDEX($H$4:$H$8,$B60),CHOOSE($B60,INDEX(Hip!$C$137:$C$160,$C60),INDEX(Hamstring!$C$137:$C$160,$C60),INDEX(Knee!$C$137:$C$160,$C60),INDEX('Ankle-Foot'!$C$137:$C$160,$C60),INDEX(Shoulder!$C$137:$C$160,$C60))))</f>
        <v>Hip ER @ 90° (kg)</v>
      </c>
      <c r="H60" s="102" t="n">
        <f aca="false">IF(OR($B60="",$D60),"",CHOOSE($B60,INDEX(Hip!$E$137:$E$160,$C60),INDEX(Hamstring!$E$137:$E$160,$C60),INDEX(Knee!$E$137:$E$160,$C60),INDEX('Ankle-Foot'!$E$137:$E$160,$C60),INDEX(Shoulder!$E$137:$E$160,$C60)))</f>
        <v>13.4</v>
      </c>
      <c r="I60" s="102" t="n">
        <f aca="false">IF(OR($B60="",$D60),"",CHOOSE($B60,INDEX(Hip!$F$137:$F$160,$C60),INDEX(Hamstring!$F$137:$F$160,$C60),INDEX(Knee!$F$137:$F$160,$C60),INDEX('Ankle-Foot'!$F$137:$F$160,$C60),INDEX(Shoulder!$F$137:$F$160,$C60)))</f>
        <v>13.2</v>
      </c>
      <c r="J60" s="105" t="n">
        <f aca="false">IF(OR($B60="",$D60),"",CHOOSE($B60,INDEX(Hip!$G$137:$G$160,$C60),INDEX(Hamstring!$G$137:$G$160,$C60),INDEX(Knee!$G$137:$G$160,$C60),INDEX('Ankle-Foot'!$G$137:$G$160,$C60),INDEX(Shoulder!$G$137:$G$160,$C60)))</f>
        <v>1.01515151515152</v>
      </c>
      <c r="K60" s="102" t="str">
        <f aca="false">IF(OR($B60="",$D60),"",CHOOSE($B60,INDEX(Hip!$K$137:$K$160,$C60),INDEX(Hamstring!$K$137:$K$160,$C60),INDEX(Knee!$K$137:$K$160,$C60),INDEX('Ankle-Foot'!$K$137:$K$160,$C60),INDEX(Shoulder!$K$137:$K$160,$C60)))</f>
        <v>+2 pts</v>
      </c>
      <c r="L60" s="52" t="n">
        <f aca="false">IF($B60="","",IF($D60,INDEX($K$4:$K$8,$B60),CHOOSE($B60,INDEX(Hip!$H$137:$H$160,$C60),INDEX(Hamstring!$H$137:$H$160,$C60),INDEX(Knee!$H$137:$H$160,$C60),INDEX('Ankle-Foot'!$H$137:$H$160,$C60),INDEX(Shoulder!$H$137:$H$160,$C60))))</f>
        <v>46314</v>
      </c>
    </row>
    <row r="61" customFormat="false" ht="15" hidden="false" customHeight="false" outlineLevel="0" collapsed="false">
      <c r="A61" s="102" t="n">
        <v>12</v>
      </c>
      <c r="B61" s="102" t="n">
        <f aca="false">IF($A61&gt;$B$11,"",COUNTIF($E$4:$E$8,"&lt;="&amp;$A61))</f>
        <v>1</v>
      </c>
      <c r="C61" s="102" t="n">
        <f aca="false">IF($B61="","",$A61-INDEX($E$4:$E$8,$B61))</f>
        <v>11</v>
      </c>
      <c r="D61" s="103" t="b">
        <f aca="false">IF($B61="",FALSE(),$C61=0)</f>
        <v>0</v>
      </c>
      <c r="E61" s="104" t="str">
        <f aca="false">IF($B61="","",INDEX($A$4:$A$8,$B61))</f>
        <v>Hip</v>
      </c>
      <c r="F61" s="104" t="str">
        <f aca="false">IF($B61="","",IF($D61,UPPER($E61),CHOOSE($B61,INDEX(Hip!$I$137:$I$160,$C61),INDEX(Hamstring!$I$137:$I$160,$C61),INDEX(Knee!$I$137:$I$160,$C61),INDEX('Ankle-Foot'!$I$137:$I$160,$C61),INDEX(Shoulder!$I$137:$I$160,$C61))))</f>
        <v/>
      </c>
      <c r="G61" s="104" t="str">
        <f aca="false">IF($B61="","",IF($D61,INDEX($G$4:$G$8,$B61)&amp;"  ·  "&amp;INDEX($H$4:$H$8,$B61),CHOOSE($B61,INDEX(Hip!$C$137:$C$160,$C61),INDEX(Hamstring!$C$137:$C$160,$C61),INDEX(Knee!$C$137:$C$160,$C61),INDEX('Ankle-Foot'!$C$137:$C$160,$C61),INDEX(Shoulder!$C$137:$C$160,$C61))))</f>
        <v>Adduction @ 30° (kg)</v>
      </c>
      <c r="H61" s="102" t="n">
        <f aca="false">IF(OR($B61="",$D61),"",CHOOSE($B61,INDEX(Hip!$E$137:$E$160,$C61),INDEX(Hamstring!$E$137:$E$160,$C61),INDEX(Knee!$E$137:$E$160,$C61),INDEX('Ankle-Foot'!$E$137:$E$160,$C61),INDEX(Shoulder!$E$137:$E$160,$C61)))</f>
        <v>28.1</v>
      </c>
      <c r="I61" s="102" t="n">
        <f aca="false">IF(OR($B61="",$D61),"",CHOOSE($B61,INDEX(Hip!$F$137:$F$160,$C61),INDEX(Hamstring!$F$137:$F$160,$C61),INDEX(Knee!$F$137:$F$160,$C61),INDEX('Ankle-Foot'!$F$137:$F$160,$C61),INDEX(Shoulder!$F$137:$F$160,$C61)))</f>
        <v>30.4</v>
      </c>
      <c r="J61" s="105" t="n">
        <f aca="false">IF(OR($B61="",$D61),"",CHOOSE($B61,INDEX(Hip!$G$137:$G$160,$C61),INDEX(Hamstring!$G$137:$G$160,$C61),INDEX(Knee!$G$137:$G$160,$C61),INDEX('Ankle-Foot'!$G$137:$G$160,$C61),INDEX(Shoulder!$G$137:$G$160,$C61)))</f>
        <v>0.924342105263158</v>
      </c>
      <c r="K61" s="102" t="str">
        <f aca="false">IF(OR($B61="",$D61),"",CHOOSE($B61,INDEX(Hip!$K$137:$K$160,$C61),INDEX(Hamstring!$K$137:$K$160,$C61),INDEX(Knee!$K$137:$K$160,$C61),INDEX('Ankle-Foot'!$K$137:$K$160,$C61),INDEX(Shoulder!$K$137:$K$160,$C61)))</f>
        <v>+7 pts</v>
      </c>
      <c r="L61" s="52" t="n">
        <f aca="false">IF($B61="","",IF($D61,INDEX($K$4:$K$8,$B61),CHOOSE($B61,INDEX(Hip!$H$137:$H$160,$C61),INDEX(Hamstring!$H$137:$H$160,$C61),INDEX(Knee!$H$137:$H$160,$C61),INDEX('Ankle-Foot'!$H$137:$H$160,$C61),INDEX(Shoulder!$H$137:$H$160,$C61))))</f>
        <v>46314</v>
      </c>
    </row>
    <row r="62" customFormat="false" ht="15" hidden="false" customHeight="false" outlineLevel="0" collapsed="false">
      <c r="A62" s="102" t="n">
        <v>13</v>
      </c>
      <c r="B62" s="102" t="n">
        <f aca="false">IF($A62&gt;$B$11,"",COUNTIF($E$4:$E$8,"&lt;="&amp;$A62))</f>
        <v>1</v>
      </c>
      <c r="C62" s="102" t="n">
        <f aca="false">IF($B62="","",$A62-INDEX($E$4:$E$8,$B62))</f>
        <v>12</v>
      </c>
      <c r="D62" s="103" t="b">
        <f aca="false">IF($B62="",FALSE(),$C62=0)</f>
        <v>0</v>
      </c>
      <c r="E62" s="104" t="str">
        <f aca="false">IF($B62="","",INDEX($A$4:$A$8,$B62))</f>
        <v>Hip</v>
      </c>
      <c r="F62" s="104" t="str">
        <f aca="false">IF($B62="","",IF($D62,UPPER($E62),CHOOSE($B62,INDEX(Hip!$I$137:$I$160,$C62),INDEX(Hamstring!$I$137:$I$160,$C62),INDEX(Knee!$I$137:$I$160,$C62),INDEX('Ankle-Foot'!$I$137:$I$160,$C62),INDEX(Shoulder!$I$137:$I$160,$C62))))</f>
        <v/>
      </c>
      <c r="G62" s="104" t="str">
        <f aca="false">IF($B62="","",IF($D62,INDEX($G$4:$G$8,$B62)&amp;"  ·  "&amp;INDEX($H$4:$H$8,$B62),CHOOSE($B62,INDEX(Hip!$C$137:$C$160,$C62),INDEX(Hamstring!$C$137:$C$160,$C62),INDEX(Knee!$C$137:$C$160,$C62),INDEX('Ankle-Foot'!$C$137:$C$160,$C62),INDEX(Shoulder!$C$137:$C$160,$C62))))</f>
        <v>Abduction @ 30° (kg)</v>
      </c>
      <c r="H62" s="102" t="n">
        <f aca="false">IF(OR($B62="",$D62),"",CHOOSE($B62,INDEX(Hip!$E$137:$E$160,$C62),INDEX(Hamstring!$E$137:$E$160,$C62),INDEX(Knee!$E$137:$E$160,$C62),INDEX('Ankle-Foot'!$E$137:$E$160,$C62),INDEX(Shoulder!$E$137:$E$160,$C62)))</f>
        <v>25.8</v>
      </c>
      <c r="I62" s="102" t="n">
        <f aca="false">IF(OR($B62="",$D62),"",CHOOSE($B62,INDEX(Hip!$F$137:$F$160,$C62),INDEX(Hamstring!$F$137:$F$160,$C62),INDEX(Knee!$F$137:$F$160,$C62),INDEX('Ankle-Foot'!$F$137:$F$160,$C62),INDEX(Shoulder!$F$137:$F$160,$C62)))</f>
        <v>27.6</v>
      </c>
      <c r="J62" s="105" t="n">
        <f aca="false">IF(OR($B62="",$D62),"",CHOOSE($B62,INDEX(Hip!$G$137:$G$160,$C62),INDEX(Hamstring!$G$137:$G$160,$C62),INDEX(Knee!$G$137:$G$160,$C62),INDEX('Ankle-Foot'!$G$137:$G$160,$C62),INDEX(Shoulder!$G$137:$G$160,$C62)))</f>
        <v>0.934782608695652</v>
      </c>
      <c r="K62" s="102" t="str">
        <f aca="false">IF(OR($B62="",$D62),"",CHOOSE($B62,INDEX(Hip!$K$137:$K$160,$C62),INDEX(Hamstring!$K$137:$K$160,$C62),INDEX(Knee!$K$137:$K$160,$C62),INDEX('Ankle-Foot'!$K$137:$K$160,$C62),INDEX(Shoulder!$K$137:$K$160,$C62)))</f>
        <v>+6 pts</v>
      </c>
      <c r="L62" s="52" t="n">
        <f aca="false">IF($B62="","",IF($D62,INDEX($K$4:$K$8,$B62),CHOOSE($B62,INDEX(Hip!$H$137:$H$160,$C62),INDEX(Hamstring!$H$137:$H$160,$C62),INDEX(Knee!$H$137:$H$160,$C62),INDEX('Ankle-Foot'!$H$137:$H$160,$C62),INDEX(Shoulder!$H$137:$H$160,$C62))))</f>
        <v>46314</v>
      </c>
    </row>
    <row r="63" customFormat="false" ht="15" hidden="false" customHeight="false" outlineLevel="0" collapsed="false">
      <c r="A63" s="102" t="n">
        <v>14</v>
      </c>
      <c r="B63" s="102" t="n">
        <f aca="false">IF($A63&gt;$B$11,"",COUNTIF($E$4:$E$8,"&lt;="&amp;$A63))</f>
        <v>1</v>
      </c>
      <c r="C63" s="102" t="n">
        <f aca="false">IF($B63="","",$A63-INDEX($E$4:$E$8,$B63))</f>
        <v>13</v>
      </c>
      <c r="D63" s="103" t="b">
        <f aca="false">IF($B63="",FALSE(),$C63=0)</f>
        <v>0</v>
      </c>
      <c r="E63" s="104" t="str">
        <f aca="false">IF($B63="","",INDEX($A$4:$A$8,$B63))</f>
        <v>Hip</v>
      </c>
      <c r="F63" s="104" t="str">
        <f aca="false">IF($B63="","",IF($D63,UPPER($E63),CHOOSE($B63,INDEX(Hip!$I$137:$I$160,$C63),INDEX(Hamstring!$I$137:$I$160,$C63),INDEX(Knee!$I$137:$I$160,$C63),INDEX('Ankle-Foot'!$I$137:$I$160,$C63),INDEX(Shoulder!$I$137:$I$160,$C63))))</f>
        <v/>
      </c>
      <c r="G63" s="104" t="str">
        <f aca="false">IF($B63="","",IF($D63,INDEX($G$4:$G$8,$B63)&amp;"  ·  "&amp;INDEX($H$4:$H$8,$B63),CHOOSE($B63,INDEX(Hip!$C$137:$C$160,$C63),INDEX(Hamstring!$C$137:$C$160,$C63),INDEX(Knee!$C$137:$C$160,$C63),INDEX('Ankle-Foot'!$C$137:$C$160,$C63),INDEX(Shoulder!$C$137:$C$160,$C63))))</f>
        <v>Hip Flexion @ 60° (kg)</v>
      </c>
      <c r="H63" s="102" t="n">
        <f aca="false">IF(OR($B63="",$D63),"",CHOOSE($B63,INDEX(Hip!$E$137:$E$160,$C63),INDEX(Hamstring!$E$137:$E$160,$C63),INDEX(Knee!$E$137:$E$160,$C63),INDEX('Ankle-Foot'!$E$137:$E$160,$C63),INDEX(Shoulder!$E$137:$E$160,$C63)))</f>
        <v>20.5</v>
      </c>
      <c r="I63" s="102" t="n">
        <f aca="false">IF(OR($B63="",$D63),"",CHOOSE($B63,INDEX(Hip!$F$137:$F$160,$C63),INDEX(Hamstring!$F$137:$F$160,$C63),INDEX(Knee!$F$137:$F$160,$C63),INDEX('Ankle-Foot'!$F$137:$F$160,$C63),INDEX(Shoulder!$F$137:$F$160,$C63)))</f>
        <v>22</v>
      </c>
      <c r="J63" s="105" t="n">
        <f aca="false">IF(OR($B63="",$D63),"",CHOOSE($B63,INDEX(Hip!$G$137:$G$160,$C63),INDEX(Hamstring!$G$137:$G$160,$C63),INDEX(Knee!$G$137:$G$160,$C63),INDEX('Ankle-Foot'!$G$137:$G$160,$C63),INDEX(Shoulder!$G$137:$G$160,$C63)))</f>
        <v>0.931818181818182</v>
      </c>
      <c r="K63" s="102" t="str">
        <f aca="false">IF(OR($B63="",$D63),"",CHOOSE($B63,INDEX(Hip!$K$137:$K$160,$C63),INDEX(Hamstring!$K$137:$K$160,$C63),INDEX(Knee!$K$137:$K$160,$C63),INDEX('Ankle-Foot'!$K$137:$K$160,$C63),INDEX(Shoulder!$K$137:$K$160,$C63)))</f>
        <v>+8 pts</v>
      </c>
      <c r="L63" s="52" t="n">
        <f aca="false">IF($B63="","",IF($D63,INDEX($K$4:$K$8,$B63),CHOOSE($B63,INDEX(Hip!$H$137:$H$160,$C63),INDEX(Hamstring!$H$137:$H$160,$C63),INDEX(Knee!$H$137:$H$160,$C63),INDEX('Ankle-Foot'!$H$137:$H$160,$C63),INDEX(Shoulder!$H$137:$H$160,$C63))))</f>
        <v>46314</v>
      </c>
    </row>
    <row r="64" customFormat="false" ht="15" hidden="false" customHeight="false" outlineLevel="0" collapsed="false">
      <c r="A64" s="102" t="n">
        <v>15</v>
      </c>
      <c r="B64" s="102" t="n">
        <f aca="false">IF($A64&gt;$B$11,"",COUNTIF($E$4:$E$8,"&lt;="&amp;$A64))</f>
        <v>1</v>
      </c>
      <c r="C64" s="102" t="n">
        <f aca="false">IF($B64="","",$A64-INDEX($E$4:$E$8,$B64))</f>
        <v>14</v>
      </c>
      <c r="D64" s="103" t="b">
        <f aca="false">IF($B64="",FALSE(),$C64=0)</f>
        <v>0</v>
      </c>
      <c r="E64" s="104" t="str">
        <f aca="false">IF($B64="","",INDEX($A$4:$A$8,$B64))</f>
        <v>Hip</v>
      </c>
      <c r="F64" s="104" t="str">
        <f aca="false">IF($B64="","",IF($D64,UPPER($E64),CHOOSE($B64,INDEX(Hip!$I$137:$I$160,$C64),INDEX(Hamstring!$I$137:$I$160,$C64),INDEX(Knee!$I$137:$I$160,$C64),INDEX('Ankle-Foot'!$I$137:$I$160,$C64),INDEX(Shoulder!$I$137:$I$160,$C64))))</f>
        <v>Jump / Power</v>
      </c>
      <c r="G64" s="104" t="str">
        <f aca="false">IF($B64="","",IF($D64,INDEX($G$4:$G$8,$B64)&amp;"  ·  "&amp;INDEX($H$4:$H$8,$B64),CHOOSE($B64,INDEX(Hip!$C$137:$C$160,$C64),INDEX(Hamstring!$C$137:$C$160,$C64),INDEX(Knee!$C$137:$C$160,$C64),INDEX('Ankle-Foot'!$C$137:$C$160,$C64),INDEX(Shoulder!$C$137:$C$160,$C64))))</f>
        <v>DL CMJ Height (cm)</v>
      </c>
      <c r="H64" s="102" t="str">
        <f aca="false">IF(OR($B64="",$D64),"",CHOOSE($B64,INDEX(Hip!$E$137:$E$160,$C64),INDEX(Hamstring!$E$137:$E$160,$C64),INDEX(Knee!$E$137:$E$160,$C64),INDEX('Ankle-Foot'!$E$137:$E$160,$C64),INDEX(Shoulder!$E$137:$E$160,$C64)))</f>
        <v/>
      </c>
      <c r="I64" s="102" t="str">
        <f aca="false">IF(OR($B64="",$D64),"",CHOOSE($B64,INDEX(Hip!$F$137:$F$160,$C64),INDEX(Hamstring!$F$137:$F$160,$C64),INDEX(Knee!$F$137:$F$160,$C64),INDEX('Ankle-Foot'!$F$137:$F$160,$C64),INDEX(Shoulder!$F$137:$F$160,$C64)))</f>
        <v/>
      </c>
      <c r="J64" s="105" t="str">
        <f aca="false">IF(OR($B64="",$D64),"",CHOOSE($B64,INDEX(Hip!$G$137:$G$160,$C64),INDEX(Hamstring!$G$137:$G$160,$C64),INDEX(Knee!$G$137:$G$160,$C64),INDEX('Ankle-Foot'!$G$137:$G$160,$C64),INDEX(Shoulder!$G$137:$G$160,$C64)))</f>
        <v/>
      </c>
      <c r="K64" s="102" t="str">
        <f aca="false">IF(OR($B64="",$D64),"",CHOOSE($B64,INDEX(Hip!$K$137:$K$160,$C64),INDEX(Hamstring!$K$137:$K$160,$C64),INDEX(Knee!$K$137:$K$160,$C64),INDEX('Ankle-Foot'!$K$137:$K$160,$C64),INDEX(Shoulder!$K$137:$K$160,$C64)))</f>
        <v/>
      </c>
      <c r="L64" s="52" t="str">
        <f aca="false">IF($B64="","",IF($D64,INDEX($K$4:$K$8,$B64),CHOOSE($B64,INDEX(Hip!$H$137:$H$160,$C64),INDEX(Hamstring!$H$137:$H$160,$C64),INDEX(Knee!$H$137:$H$160,$C64),INDEX('Ankle-Foot'!$H$137:$H$160,$C64),INDEX(Shoulder!$H$137:$H$160,$C64))))</f>
        <v/>
      </c>
    </row>
    <row r="65" customFormat="false" ht="15" hidden="false" customHeight="false" outlineLevel="0" collapsed="false">
      <c r="A65" s="102" t="n">
        <v>16</v>
      </c>
      <c r="B65" s="102" t="n">
        <f aca="false">IF($A65&gt;$B$11,"",COUNTIF($E$4:$E$8,"&lt;="&amp;$A65))</f>
        <v>1</v>
      </c>
      <c r="C65" s="102" t="n">
        <f aca="false">IF($B65="","",$A65-INDEX($E$4:$E$8,$B65))</f>
        <v>15</v>
      </c>
      <c r="D65" s="103" t="b">
        <f aca="false">IF($B65="",FALSE(),$C65=0)</f>
        <v>0</v>
      </c>
      <c r="E65" s="104" t="str">
        <f aca="false">IF($B65="","",INDEX($A$4:$A$8,$B65))</f>
        <v>Hip</v>
      </c>
      <c r="F65" s="104" t="str">
        <f aca="false">IF($B65="","",IF($D65,UPPER($E65),CHOOSE($B65,INDEX(Hip!$I$137:$I$160,$C65),INDEX(Hamstring!$I$137:$I$160,$C65),INDEX(Knee!$I$137:$I$160,$C65),INDEX('Ankle-Foot'!$I$137:$I$160,$C65),INDEX(Shoulder!$I$137:$I$160,$C65))))</f>
        <v/>
      </c>
      <c r="G65" s="104" t="str">
        <f aca="false">IF($B65="","",IF($D65,INDEX($G$4:$G$8,$B65)&amp;"  ·  "&amp;INDEX($H$4:$H$8,$B65),CHOOSE($B65,INDEX(Hip!$C$137:$C$160,$C65),INDEX(Hamstring!$C$137:$C$160,$C65),INDEX(Knee!$C$137:$C$160,$C65),INDEX('Ankle-Foot'!$C$137:$C$160,$C65),INDEX(Shoulder!$C$137:$C$160,$C65))))</f>
        <v>SL CMJ Height (cm)</v>
      </c>
      <c r="H65" s="102" t="str">
        <f aca="false">IF(OR($B65="",$D65),"",CHOOSE($B65,INDEX(Hip!$E$137:$E$160,$C65),INDEX(Hamstring!$E$137:$E$160,$C65),INDEX(Knee!$E$137:$E$160,$C65),INDEX('Ankle-Foot'!$E$137:$E$160,$C65),INDEX(Shoulder!$E$137:$E$160,$C65)))</f>
        <v/>
      </c>
      <c r="I65" s="102" t="str">
        <f aca="false">IF(OR($B65="",$D65),"",CHOOSE($B65,INDEX(Hip!$F$137:$F$160,$C65),INDEX(Hamstring!$F$137:$F$160,$C65),INDEX(Knee!$F$137:$F$160,$C65),INDEX('Ankle-Foot'!$F$137:$F$160,$C65),INDEX(Shoulder!$F$137:$F$160,$C65)))</f>
        <v/>
      </c>
      <c r="J65" s="105" t="str">
        <f aca="false">IF(OR($B65="",$D65),"",CHOOSE($B65,INDEX(Hip!$G$137:$G$160,$C65),INDEX(Hamstring!$G$137:$G$160,$C65),INDEX(Knee!$G$137:$G$160,$C65),INDEX('Ankle-Foot'!$G$137:$G$160,$C65),INDEX(Shoulder!$G$137:$G$160,$C65)))</f>
        <v/>
      </c>
      <c r="K65" s="102" t="str">
        <f aca="false">IF(OR($B65="",$D65),"",CHOOSE($B65,INDEX(Hip!$K$137:$K$160,$C65),INDEX(Hamstring!$K$137:$K$160,$C65),INDEX(Knee!$K$137:$K$160,$C65),INDEX('Ankle-Foot'!$K$137:$K$160,$C65),INDEX(Shoulder!$K$137:$K$160,$C65)))</f>
        <v/>
      </c>
      <c r="L65" s="52" t="str">
        <f aca="false">IF($B65="","",IF($D65,INDEX($K$4:$K$8,$B65),CHOOSE($B65,INDEX(Hip!$H$137:$H$160,$C65),INDEX(Hamstring!$H$137:$H$160,$C65),INDEX(Knee!$H$137:$H$160,$C65),INDEX('Ankle-Foot'!$H$137:$H$160,$C65),INDEX(Shoulder!$H$137:$H$160,$C65))))</f>
        <v/>
      </c>
    </row>
    <row r="66" customFormat="false" ht="15" hidden="false" customHeight="false" outlineLevel="0" collapsed="false">
      <c r="A66" s="102" t="n">
        <v>17</v>
      </c>
      <c r="B66" s="102" t="n">
        <f aca="false">IF($A66&gt;$B$11,"",COUNTIF($E$4:$E$8,"&lt;="&amp;$A66))</f>
        <v>1</v>
      </c>
      <c r="C66" s="102" t="n">
        <f aca="false">IF($B66="","",$A66-INDEX($E$4:$E$8,$B66))</f>
        <v>16</v>
      </c>
      <c r="D66" s="103" t="b">
        <f aca="false">IF($B66="",FALSE(),$C66=0)</f>
        <v>0</v>
      </c>
      <c r="E66" s="104" t="str">
        <f aca="false">IF($B66="","",INDEX($A$4:$A$8,$B66))</f>
        <v>Hip</v>
      </c>
      <c r="F66" s="104" t="str">
        <f aca="false">IF($B66="","",IF($D66,UPPER($E66),CHOOSE($B66,INDEX(Hip!$I$137:$I$160,$C66),INDEX(Hamstring!$I$137:$I$160,$C66),INDEX(Knee!$I$137:$I$160,$C66),INDEX('Ankle-Foot'!$I$137:$I$160,$C66),INDEX(Shoulder!$I$137:$I$160,$C66))))</f>
        <v/>
      </c>
      <c r="G66" s="104" t="str">
        <f aca="false">IF($B66="","",IF($D66,INDEX($G$4:$G$8,$B66)&amp;"  ·  "&amp;INDEX($H$4:$H$8,$B66),CHOOSE($B66,INDEX(Hip!$C$137:$C$160,$C66),INDEX(Hamstring!$C$137:$C$160,$C66),INDEX(Knee!$C$137:$C$160,$C66),INDEX('Ankle-Foot'!$C$137:$C$160,$C66),INDEX(Shoulder!$C$137:$C$160,$C66))))</f>
        <v>SL Hop Distance (cm)</v>
      </c>
      <c r="H66" s="102" t="str">
        <f aca="false">IF(OR($B66="",$D66),"",CHOOSE($B66,INDEX(Hip!$E$137:$E$160,$C66),INDEX(Hamstring!$E$137:$E$160,$C66),INDEX(Knee!$E$137:$E$160,$C66),INDEX('Ankle-Foot'!$E$137:$E$160,$C66),INDEX(Shoulder!$E$137:$E$160,$C66)))</f>
        <v/>
      </c>
      <c r="I66" s="102" t="str">
        <f aca="false">IF(OR($B66="",$D66),"",CHOOSE($B66,INDEX(Hip!$F$137:$F$160,$C66),INDEX(Hamstring!$F$137:$F$160,$C66),INDEX(Knee!$F$137:$F$160,$C66),INDEX('Ankle-Foot'!$F$137:$F$160,$C66),INDEX(Shoulder!$F$137:$F$160,$C66)))</f>
        <v/>
      </c>
      <c r="J66" s="105" t="str">
        <f aca="false">IF(OR($B66="",$D66),"",CHOOSE($B66,INDEX(Hip!$G$137:$G$160,$C66),INDEX(Hamstring!$G$137:$G$160,$C66),INDEX(Knee!$G$137:$G$160,$C66),INDEX('Ankle-Foot'!$G$137:$G$160,$C66),INDEX(Shoulder!$G$137:$G$160,$C66)))</f>
        <v/>
      </c>
      <c r="K66" s="102" t="str">
        <f aca="false">IF(OR($B66="",$D66),"",CHOOSE($B66,INDEX(Hip!$K$137:$K$160,$C66),INDEX(Hamstring!$K$137:$K$160,$C66),INDEX(Knee!$K$137:$K$160,$C66),INDEX('Ankle-Foot'!$K$137:$K$160,$C66),INDEX(Shoulder!$K$137:$K$160,$C66)))</f>
        <v/>
      </c>
      <c r="L66" s="52" t="str">
        <f aca="false">IF($B66="","",IF($D66,INDEX($K$4:$K$8,$B66),CHOOSE($B66,INDEX(Hip!$H$137:$H$160,$C66),INDEX(Hamstring!$H$137:$H$160,$C66),INDEX(Knee!$H$137:$H$160,$C66),INDEX('Ankle-Foot'!$H$137:$H$160,$C66),INDEX(Shoulder!$H$137:$H$160,$C66))))</f>
        <v/>
      </c>
    </row>
    <row r="67" customFormat="false" ht="15" hidden="false" customHeight="false" outlineLevel="0" collapsed="false">
      <c r="A67" s="102" t="n">
        <v>18</v>
      </c>
      <c r="B67" s="102" t="n">
        <f aca="false">IF($A67&gt;$B$11,"",COUNTIF($E$4:$E$8,"&lt;="&amp;$A67))</f>
        <v>1</v>
      </c>
      <c r="C67" s="102" t="n">
        <f aca="false">IF($B67="","",$A67-INDEX($E$4:$E$8,$B67))</f>
        <v>17</v>
      </c>
      <c r="D67" s="103" t="b">
        <f aca="false">IF($B67="",FALSE(),$C67=0)</f>
        <v>0</v>
      </c>
      <c r="E67" s="104" t="str">
        <f aca="false">IF($B67="","",INDEX($A$4:$A$8,$B67))</f>
        <v>Hip</v>
      </c>
      <c r="F67" s="104" t="str">
        <f aca="false">IF($B67="","",IF($D67,UPPER($E67),CHOOSE($B67,INDEX(Hip!$I$137:$I$160,$C67),INDEX(Hamstring!$I$137:$I$160,$C67),INDEX(Knee!$I$137:$I$160,$C67),INDEX('Ankle-Foot'!$I$137:$I$160,$C67),INDEX(Shoulder!$I$137:$I$160,$C67))))</f>
        <v/>
      </c>
      <c r="G67" s="104" t="str">
        <f aca="false">IF($B67="","",IF($D67,INDEX($G$4:$G$8,$B67)&amp;"  ·  "&amp;INDEX($H$4:$H$8,$B67),CHOOSE($B67,INDEX(Hip!$C$137:$C$160,$C67),INDEX(Hamstring!$C$137:$C$160,$C67),INDEX(Knee!$C$137:$C$160,$C67),INDEX('Ankle-Foot'!$C$137:$C$160,$C67),INDEX(Shoulder!$C$137:$C$160,$C67))))</f>
        <v>Triple Hop Distance (cm)</v>
      </c>
      <c r="H67" s="102" t="str">
        <f aca="false">IF(OR($B67="",$D67),"",CHOOSE($B67,INDEX(Hip!$E$137:$E$160,$C67),INDEX(Hamstring!$E$137:$E$160,$C67),INDEX(Knee!$E$137:$E$160,$C67),INDEX('Ankle-Foot'!$E$137:$E$160,$C67),INDEX(Shoulder!$E$137:$E$160,$C67)))</f>
        <v/>
      </c>
      <c r="I67" s="102" t="str">
        <f aca="false">IF(OR($B67="",$D67),"",CHOOSE($B67,INDEX(Hip!$F$137:$F$160,$C67),INDEX(Hamstring!$F$137:$F$160,$C67),INDEX(Knee!$F$137:$F$160,$C67),INDEX('Ankle-Foot'!$F$137:$F$160,$C67),INDEX(Shoulder!$F$137:$F$160,$C67)))</f>
        <v/>
      </c>
      <c r="J67" s="105" t="str">
        <f aca="false">IF(OR($B67="",$D67),"",CHOOSE($B67,INDEX(Hip!$G$137:$G$160,$C67),INDEX(Hamstring!$G$137:$G$160,$C67),INDEX(Knee!$G$137:$G$160,$C67),INDEX('Ankle-Foot'!$G$137:$G$160,$C67),INDEX(Shoulder!$G$137:$G$160,$C67)))</f>
        <v/>
      </c>
      <c r="K67" s="102" t="str">
        <f aca="false">IF(OR($B67="",$D67),"",CHOOSE($B67,INDEX(Hip!$K$137:$K$160,$C67),INDEX(Hamstring!$K$137:$K$160,$C67),INDEX(Knee!$K$137:$K$160,$C67),INDEX('Ankle-Foot'!$K$137:$K$160,$C67),INDEX(Shoulder!$K$137:$K$160,$C67)))</f>
        <v/>
      </c>
      <c r="L67" s="52" t="str">
        <f aca="false">IF($B67="","",IF($D67,INDEX($K$4:$K$8,$B67),CHOOSE($B67,INDEX(Hip!$H$137:$H$160,$C67),INDEX(Hamstring!$H$137:$H$160,$C67),INDEX(Knee!$H$137:$H$160,$C67),INDEX('Ankle-Foot'!$H$137:$H$160,$C67),INDEX(Shoulder!$H$137:$H$160,$C67))))</f>
        <v/>
      </c>
    </row>
    <row r="68" customFormat="false" ht="15" hidden="false" customHeight="false" outlineLevel="0" collapsed="false">
      <c r="A68" s="102" t="n">
        <v>19</v>
      </c>
      <c r="B68" s="102" t="n">
        <f aca="false">IF($A68&gt;$B$11,"",COUNTIF($E$4:$E$8,"&lt;="&amp;$A68))</f>
        <v>1</v>
      </c>
      <c r="C68" s="102" t="n">
        <f aca="false">IF($B68="","",$A68-INDEX($E$4:$E$8,$B68))</f>
        <v>18</v>
      </c>
      <c r="D68" s="103" t="b">
        <f aca="false">IF($B68="",FALSE(),$C68=0)</f>
        <v>0</v>
      </c>
      <c r="E68" s="104" t="str">
        <f aca="false">IF($B68="","",INDEX($A$4:$A$8,$B68))</f>
        <v>Hip</v>
      </c>
      <c r="F68" s="104" t="str">
        <f aca="false">IF($B68="","",IF($D68,UPPER($E68),CHOOSE($B68,INDEX(Hip!$I$137:$I$160,$C68),INDEX(Hamstring!$I$137:$I$160,$C68),INDEX(Knee!$I$137:$I$160,$C68),INDEX('Ankle-Foot'!$I$137:$I$160,$C68),INDEX(Shoulder!$I$137:$I$160,$C68))))</f>
        <v/>
      </c>
      <c r="G68" s="104" t="str">
        <f aca="false">IF($B68="","",IF($D68,INDEX($G$4:$G$8,$B68)&amp;"  ·  "&amp;INDEX($H$4:$H$8,$B68),CHOOSE($B68,INDEX(Hip!$C$137:$C$160,$C68),INDEX(Hamstring!$C$137:$C$160,$C68),INDEX(Knee!$C$137:$C$160,$C68),INDEX('Ankle-Foot'!$C$137:$C$160,$C68),INDEX(Shoulder!$C$137:$C$160,$C68))))</f>
        <v>Lateral Capacity</v>
      </c>
      <c r="H68" s="102" t="str">
        <f aca="false">IF(OR($B68="",$D68),"",CHOOSE($B68,INDEX(Hip!$E$137:$E$160,$C68),INDEX(Hamstring!$E$137:$E$160,$C68),INDEX(Knee!$E$137:$E$160,$C68),INDEX('Ankle-Foot'!$E$137:$E$160,$C68),INDEX(Shoulder!$E$137:$E$160,$C68)))</f>
        <v/>
      </c>
      <c r="I68" s="102" t="str">
        <f aca="false">IF(OR($B68="",$D68),"",CHOOSE($B68,INDEX(Hip!$F$137:$F$160,$C68),INDEX(Hamstring!$F$137:$F$160,$C68),INDEX(Knee!$F$137:$F$160,$C68),INDEX('Ankle-Foot'!$F$137:$F$160,$C68),INDEX(Shoulder!$F$137:$F$160,$C68)))</f>
        <v/>
      </c>
      <c r="J68" s="105" t="str">
        <f aca="false">IF(OR($B68="",$D68),"",CHOOSE($B68,INDEX(Hip!$G$137:$G$160,$C68),INDEX(Hamstring!$G$137:$G$160,$C68),INDEX(Knee!$G$137:$G$160,$C68),INDEX('Ankle-Foot'!$G$137:$G$160,$C68),INDEX(Shoulder!$G$137:$G$160,$C68)))</f>
        <v/>
      </c>
      <c r="K68" s="102" t="str">
        <f aca="false">IF(OR($B68="",$D68),"",CHOOSE($B68,INDEX(Hip!$K$137:$K$160,$C68),INDEX(Hamstring!$K$137:$K$160,$C68),INDEX(Knee!$K$137:$K$160,$C68),INDEX('Ankle-Foot'!$K$137:$K$160,$C68),INDEX(Shoulder!$K$137:$K$160,$C68)))</f>
        <v/>
      </c>
      <c r="L68" s="52" t="str">
        <f aca="false">IF($B68="","",IF($D68,INDEX($K$4:$K$8,$B68),CHOOSE($B68,INDEX(Hip!$H$137:$H$160,$C68),INDEX(Hamstring!$H$137:$H$160,$C68),INDEX(Knee!$H$137:$H$160,$C68),INDEX('Ankle-Foot'!$H$137:$H$160,$C68),INDEX(Shoulder!$H$137:$H$160,$C68))))</f>
        <v/>
      </c>
    </row>
    <row r="69" customFormat="false" ht="15" hidden="false" customHeight="false" outlineLevel="0" collapsed="false">
      <c r="A69" s="102" t="n">
        <v>20</v>
      </c>
      <c r="B69" s="102" t="n">
        <f aca="false">IF($A69&gt;$B$11,"",COUNTIF($E$4:$E$8,"&lt;="&amp;$A69))</f>
        <v>1</v>
      </c>
      <c r="C69" s="102" t="n">
        <f aca="false">IF($B69="","",$A69-INDEX($E$4:$E$8,$B69))</f>
        <v>19</v>
      </c>
      <c r="D69" s="103" t="b">
        <f aca="false">IF($B69="",FALSE(),$C69=0)</f>
        <v>0</v>
      </c>
      <c r="E69" s="104" t="str">
        <f aca="false">IF($B69="","",INDEX($A$4:$A$8,$B69))</f>
        <v>Hip</v>
      </c>
      <c r="F69" s="104" t="str">
        <f aca="false">IF($B69="","",IF($D69,UPPER($E69),CHOOSE($B69,INDEX(Hip!$I$137:$I$160,$C69),INDEX(Hamstring!$I$137:$I$160,$C69),INDEX(Knee!$I$137:$I$160,$C69),INDEX('Ankle-Foot'!$I$137:$I$160,$C69),INDEX(Shoulder!$I$137:$I$160,$C69))))</f>
        <v/>
      </c>
      <c r="G69" s="104" t="str">
        <f aca="false">IF($B69="","",IF($D69,INDEX($G$4:$G$8,$B69)&amp;"  ·  "&amp;INDEX($H$4:$H$8,$B69),CHOOSE($B69,INDEX(Hip!$C$137:$C$160,$C69),INDEX(Hamstring!$C$137:$C$160,$C69),INDEX(Knee!$C$137:$C$160,$C69),INDEX('Ankle-Foot'!$C$137:$C$160,$C69),INDEX(Shoulder!$C$137:$C$160,$C69))))</f>
        <v>DL Drop Jump RSI</v>
      </c>
      <c r="H69" s="102" t="str">
        <f aca="false">IF(OR($B69="",$D69),"",CHOOSE($B69,INDEX(Hip!$E$137:$E$160,$C69),INDEX(Hamstring!$E$137:$E$160,$C69),INDEX(Knee!$E$137:$E$160,$C69),INDEX('Ankle-Foot'!$E$137:$E$160,$C69),INDEX(Shoulder!$E$137:$E$160,$C69)))</f>
        <v/>
      </c>
      <c r="I69" s="102" t="str">
        <f aca="false">IF(OR($B69="",$D69),"",CHOOSE($B69,INDEX(Hip!$F$137:$F$160,$C69),INDEX(Hamstring!$F$137:$F$160,$C69),INDEX(Knee!$F$137:$F$160,$C69),INDEX('Ankle-Foot'!$F$137:$F$160,$C69),INDEX(Shoulder!$F$137:$F$160,$C69)))</f>
        <v/>
      </c>
      <c r="J69" s="105" t="str">
        <f aca="false">IF(OR($B69="",$D69),"",CHOOSE($B69,INDEX(Hip!$G$137:$G$160,$C69),INDEX(Hamstring!$G$137:$G$160,$C69),INDEX(Knee!$G$137:$G$160,$C69),INDEX('Ankle-Foot'!$G$137:$G$160,$C69),INDEX(Shoulder!$G$137:$G$160,$C69)))</f>
        <v/>
      </c>
      <c r="K69" s="102" t="str">
        <f aca="false">IF(OR($B69="",$D69),"",CHOOSE($B69,INDEX(Hip!$K$137:$K$160,$C69),INDEX(Hamstring!$K$137:$K$160,$C69),INDEX(Knee!$K$137:$K$160,$C69),INDEX('Ankle-Foot'!$K$137:$K$160,$C69),INDEX(Shoulder!$K$137:$K$160,$C69)))</f>
        <v/>
      </c>
      <c r="L69" s="52" t="str">
        <f aca="false">IF($B69="","",IF($D69,INDEX($K$4:$K$8,$B69),CHOOSE($B69,INDEX(Hip!$H$137:$H$160,$C69),INDEX(Hamstring!$H$137:$H$160,$C69),INDEX(Knee!$H$137:$H$160,$C69),INDEX('Ankle-Foot'!$H$137:$H$160,$C69),INDEX(Shoulder!$H$137:$H$160,$C69))))</f>
        <v/>
      </c>
    </row>
    <row r="70" customFormat="false" ht="15" hidden="false" customHeight="false" outlineLevel="0" collapsed="false">
      <c r="A70" s="102" t="n">
        <v>21</v>
      </c>
      <c r="B70" s="102" t="n">
        <f aca="false">IF($A70&gt;$B$11,"",COUNTIF($E$4:$E$8,"&lt;="&amp;$A70))</f>
        <v>1</v>
      </c>
      <c r="C70" s="102" t="n">
        <f aca="false">IF($B70="","",$A70-INDEX($E$4:$E$8,$B70))</f>
        <v>20</v>
      </c>
      <c r="D70" s="103" t="b">
        <f aca="false">IF($B70="",FALSE(),$C70=0)</f>
        <v>0</v>
      </c>
      <c r="E70" s="104" t="str">
        <f aca="false">IF($B70="","",INDEX($A$4:$A$8,$B70))</f>
        <v>Hip</v>
      </c>
      <c r="F70" s="104" t="str">
        <f aca="false">IF($B70="","",IF($D70,UPPER($E70),CHOOSE($B70,INDEX(Hip!$I$137:$I$160,$C70),INDEX(Hamstring!$I$137:$I$160,$C70),INDEX(Knee!$I$137:$I$160,$C70),INDEX('Ankle-Foot'!$I$137:$I$160,$C70),INDEX(Shoulder!$I$137:$I$160,$C70))))</f>
        <v/>
      </c>
      <c r="G70" s="104" t="str">
        <f aca="false">IF($B70="","",IF($D70,INDEX($G$4:$G$8,$B70)&amp;"  ·  "&amp;INDEX($H$4:$H$8,$B70),CHOOSE($B70,INDEX(Hip!$C$137:$C$160,$C70),INDEX(Hamstring!$C$137:$C$160,$C70),INDEX(Knee!$C$137:$C$160,$C70),INDEX('Ankle-Foot'!$C$137:$C$160,$C70),INDEX(Shoulder!$C$137:$C$160,$C70))))</f>
        <v>SL Drop Jump RSI</v>
      </c>
      <c r="H70" s="102" t="str">
        <f aca="false">IF(OR($B70="",$D70),"",CHOOSE($B70,INDEX(Hip!$E$137:$E$160,$C70),INDEX(Hamstring!$E$137:$E$160,$C70),INDEX(Knee!$E$137:$E$160,$C70),INDEX('Ankle-Foot'!$E$137:$E$160,$C70),INDEX(Shoulder!$E$137:$E$160,$C70)))</f>
        <v/>
      </c>
      <c r="I70" s="102" t="str">
        <f aca="false">IF(OR($B70="",$D70),"",CHOOSE($B70,INDEX(Hip!$F$137:$F$160,$C70),INDEX(Hamstring!$F$137:$F$160,$C70),INDEX(Knee!$F$137:$F$160,$C70),INDEX('Ankle-Foot'!$F$137:$F$160,$C70),INDEX(Shoulder!$F$137:$F$160,$C70)))</f>
        <v/>
      </c>
      <c r="J70" s="105" t="str">
        <f aca="false">IF(OR($B70="",$D70),"",CHOOSE($B70,INDEX(Hip!$G$137:$G$160,$C70),INDEX(Hamstring!$G$137:$G$160,$C70),INDEX(Knee!$G$137:$G$160,$C70),INDEX('Ankle-Foot'!$G$137:$G$160,$C70),INDEX(Shoulder!$G$137:$G$160,$C70)))</f>
        <v/>
      </c>
      <c r="K70" s="102" t="str">
        <f aca="false">IF(OR($B70="",$D70),"",CHOOSE($B70,INDEX(Hip!$K$137:$K$160,$C70),INDEX(Hamstring!$K$137:$K$160,$C70),INDEX(Knee!$K$137:$K$160,$C70),INDEX('Ankle-Foot'!$K$137:$K$160,$C70),INDEX(Shoulder!$K$137:$K$160,$C70)))</f>
        <v/>
      </c>
      <c r="L70" s="52" t="str">
        <f aca="false">IF($B70="","",IF($D70,INDEX($K$4:$K$8,$B70),CHOOSE($B70,INDEX(Hip!$H$137:$H$160,$C70),INDEX(Hamstring!$H$137:$H$160,$C70),INDEX(Knee!$H$137:$H$160,$C70),INDEX('Ankle-Foot'!$H$137:$H$160,$C70),INDEX(Shoulder!$H$137:$H$160,$C70))))</f>
        <v/>
      </c>
    </row>
    <row r="71" customFormat="false" ht="15" hidden="false" customHeight="false" outlineLevel="0" collapsed="false">
      <c r="A71" s="102" t="n">
        <v>22</v>
      </c>
      <c r="B71" s="102" t="n">
        <f aca="false">IF($A71&gt;$B$11,"",COUNTIF($E$4:$E$8,"&lt;="&amp;$A71))</f>
        <v>1</v>
      </c>
      <c r="C71" s="102" t="n">
        <f aca="false">IF($B71="","",$A71-INDEX($E$4:$E$8,$B71))</f>
        <v>21</v>
      </c>
      <c r="D71" s="103" t="b">
        <f aca="false">IF($B71="",FALSE(),$C71=0)</f>
        <v>0</v>
      </c>
      <c r="E71" s="104" t="str">
        <f aca="false">IF($B71="","",INDEX($A$4:$A$8,$B71))</f>
        <v>Hip</v>
      </c>
      <c r="F71" s="104" t="str">
        <f aca="false">IF($B71="","",IF($D71,UPPER($E71),CHOOSE($B71,INDEX(Hip!$I$137:$I$160,$C71),INDEX(Hamstring!$I$137:$I$160,$C71),INDEX(Knee!$I$137:$I$160,$C71),INDEX('Ankle-Foot'!$I$137:$I$160,$C71),INDEX(Shoulder!$I$137:$I$160,$C71))))</f>
        <v/>
      </c>
      <c r="G71" s="104" t="str">
        <f aca="false">IF($B71="","",IF($D71,INDEX($G$4:$G$8,$B71)&amp;"  ·  "&amp;INDEX($H$4:$H$8,$B71),CHOOSE($B71,INDEX(Hip!$C$137:$C$160,$C71),INDEX(Hamstring!$C$137:$C$160,$C71),INDEX(Knee!$C$137:$C$160,$C71),INDEX('Ankle-Foot'!$C$137:$C$160,$C71),INDEX(Shoulder!$C$137:$C$160,$C71))))</f>
        <v>10-5 Repeated Hops RSI</v>
      </c>
      <c r="H71" s="102" t="str">
        <f aca="false">IF(OR($B71="",$D71),"",CHOOSE($B71,INDEX(Hip!$E$137:$E$160,$C71),INDEX(Hamstring!$E$137:$E$160,$C71),INDEX(Knee!$E$137:$E$160,$C71),INDEX('Ankle-Foot'!$E$137:$E$160,$C71),INDEX(Shoulder!$E$137:$E$160,$C71)))</f>
        <v/>
      </c>
      <c r="I71" s="102" t="str">
        <f aca="false">IF(OR($B71="",$D71),"",CHOOSE($B71,INDEX(Hip!$F$137:$F$160,$C71),INDEX(Hamstring!$F$137:$F$160,$C71),INDEX(Knee!$F$137:$F$160,$C71),INDEX('Ankle-Foot'!$F$137:$F$160,$C71),INDEX(Shoulder!$F$137:$F$160,$C71)))</f>
        <v/>
      </c>
      <c r="J71" s="105" t="str">
        <f aca="false">IF(OR($B71="",$D71),"",CHOOSE($B71,INDEX(Hip!$G$137:$G$160,$C71),INDEX(Hamstring!$G$137:$G$160,$C71),INDEX(Knee!$G$137:$G$160,$C71),INDEX('Ankle-Foot'!$G$137:$G$160,$C71),INDEX(Shoulder!$G$137:$G$160,$C71)))</f>
        <v/>
      </c>
      <c r="K71" s="102" t="str">
        <f aca="false">IF(OR($B71="",$D71),"",CHOOSE($B71,INDEX(Hip!$K$137:$K$160,$C71),INDEX(Hamstring!$K$137:$K$160,$C71),INDEX(Knee!$K$137:$K$160,$C71),INDEX('Ankle-Foot'!$K$137:$K$160,$C71),INDEX(Shoulder!$K$137:$K$160,$C71)))</f>
        <v/>
      </c>
      <c r="L71" s="52" t="str">
        <f aca="false">IF($B71="","",IF($D71,INDEX($K$4:$K$8,$B71),CHOOSE($B71,INDEX(Hip!$H$137:$H$160,$C71),INDEX(Hamstring!$H$137:$H$160,$C71),INDEX(Knee!$H$137:$H$160,$C71),INDEX('Ankle-Foot'!$H$137:$H$160,$C71),INDEX(Shoulder!$H$137:$H$160,$C71))))</f>
        <v/>
      </c>
    </row>
    <row r="72" customFormat="false" ht="15" hidden="false" customHeight="false" outlineLevel="0" collapsed="false">
      <c r="A72" s="102" t="n">
        <v>23</v>
      </c>
      <c r="B72" s="102" t="n">
        <f aca="false">IF($A72&gt;$B$11,"",COUNTIF($E$4:$E$8,"&lt;="&amp;$A72))</f>
        <v>3</v>
      </c>
      <c r="C72" s="102" t="n">
        <f aca="false">IF($B72="","",$A72-INDEX($E$4:$E$8,$B72))</f>
        <v>0</v>
      </c>
      <c r="D72" s="103" t="b">
        <f aca="false">IF($B72="",FALSE(),$C72=0)</f>
        <v>1</v>
      </c>
      <c r="E72" s="104" t="str">
        <f aca="false">IF($B72="","",INDEX($A$4:$A$8,$B72))</f>
        <v>Knee</v>
      </c>
      <c r="F72" s="104" t="str">
        <f aca="false">IF($B72="","",IF($D72,UPPER($E72),CHOOSE($B72,INDEX(Hip!$I$137:$I$160,$C72),INDEX(Hamstring!$I$137:$I$160,$C72),INDEX(Knee!$I$137:$I$160,$C72),INDEX('Ankle-Foot'!$I$137:$I$160,$C72),INDEX(Shoulder!$I$137:$I$160,$C72))))</f>
        <v>KNEE</v>
      </c>
      <c r="G72" s="104" t="str">
        <f aca="false">IF($B72="","",IF($D72,INDEX($G$4:$G$8,$B72)&amp;"  ·  "&amp;INDEX($H$4:$H$8,$B72),CHOOSE($B72,INDEX(Hip!$C$137:$C$160,$C72),INDEX(Hamstring!$C$137:$C$160,$C72),INDEX(Knee!$C$137:$C$160,$C72),INDEX('Ankle-Foot'!$C$137:$C$160,$C72),INDEX(Shoulder!$C$137:$C$160,$C72))))</f>
        <v>3. Specific Loading  ·  2 / 6</v>
      </c>
      <c r="H72" s="102" t="str">
        <f aca="false">IF(OR($B72="",$D72),"",CHOOSE($B72,INDEX(Hip!$E$137:$E$160,$C72),INDEX(Hamstring!$E$137:$E$160,$C72),INDEX(Knee!$E$137:$E$160,$C72),INDEX('Ankle-Foot'!$E$137:$E$160,$C72),INDEX(Shoulder!$E$137:$E$160,$C72)))</f>
        <v/>
      </c>
      <c r="I72" s="102" t="str">
        <f aca="false">IF(OR($B72="",$D72),"",CHOOSE($B72,INDEX(Hip!$F$137:$F$160,$C72),INDEX(Hamstring!$F$137:$F$160,$C72),INDEX(Knee!$F$137:$F$160,$C72),INDEX('Ankle-Foot'!$F$137:$F$160,$C72),INDEX(Shoulder!$F$137:$F$160,$C72)))</f>
        <v/>
      </c>
      <c r="J72" s="105" t="str">
        <f aca="false">IF(OR($B72="",$D72),"",CHOOSE($B72,INDEX(Hip!$G$137:$G$160,$C72),INDEX(Hamstring!$G$137:$G$160,$C72),INDEX(Knee!$G$137:$G$160,$C72),INDEX('Ankle-Foot'!$G$137:$G$160,$C72),INDEX(Shoulder!$G$137:$G$160,$C72)))</f>
        <v/>
      </c>
      <c r="K72" s="102" t="str">
        <f aca="false">IF(OR($B72="",$D72),"",CHOOSE($B72,INDEX(Hip!$K$137:$K$160,$C72),INDEX(Hamstring!$K$137:$K$160,$C72),INDEX(Knee!$K$137:$K$160,$C72),INDEX('Ankle-Foot'!$K$137:$K$160,$C72),INDEX(Shoulder!$K$137:$K$160,$C72)))</f>
        <v/>
      </c>
      <c r="L72" s="52" t="n">
        <f aca="false">IF($B72="","",IF($D72,INDEX($K$4:$K$8,$B72),CHOOSE($B72,INDEX(Hip!$H$137:$H$160,$C72),INDEX(Hamstring!$H$137:$H$160,$C72),INDEX(Knee!$H$137:$H$160,$C72),INDEX('Ankle-Foot'!$H$137:$H$160,$C72),INDEX(Shoulder!$H$137:$H$160,$C72))))</f>
        <v>46307</v>
      </c>
    </row>
    <row r="73" customFormat="false" ht="15" hidden="false" customHeight="false" outlineLevel="0" collapsed="false">
      <c r="A73" s="102" t="n">
        <v>24</v>
      </c>
      <c r="B73" s="102" t="n">
        <f aca="false">IF($A73&gt;$B$11,"",COUNTIF($E$4:$E$8,"&lt;="&amp;$A73))</f>
        <v>3</v>
      </c>
      <c r="C73" s="102" t="n">
        <f aca="false">IF($B73="","",$A73-INDEX($E$4:$E$8,$B73))</f>
        <v>1</v>
      </c>
      <c r="D73" s="103" t="b">
        <f aca="false">IF($B73="",FALSE(),$C73=0)</f>
        <v>0</v>
      </c>
      <c r="E73" s="104" t="str">
        <f aca="false">IF($B73="","",INDEX($A$4:$A$8,$B73))</f>
        <v>Knee</v>
      </c>
      <c r="F73" s="104" t="str">
        <f aca="false">IF($B73="","",IF($D73,UPPER($E73),CHOOSE($B73,INDEX(Hip!$I$137:$I$160,$C73),INDEX(Hamstring!$I$137:$I$160,$C73),INDEX(Knee!$I$137:$I$160,$C73),INDEX('Ankle-Foot'!$I$137:$I$160,$C73),INDEX(Shoulder!$I$137:$I$160,$C73))))</f>
        <v>ROM</v>
      </c>
      <c r="G73" s="104" t="str">
        <f aca="false">IF($B73="","",IF($D73,INDEX($G$4:$G$8,$B73)&amp;"  ·  "&amp;INDEX($H$4:$H$8,$B73),CHOOSE($B73,INDEX(Hip!$C$137:$C$160,$C73),INDEX(Hamstring!$C$137:$C$160,$C73),INDEX(Knee!$C$137:$C$160,$C73),INDEX('Ankle-Foot'!$C$137:$C$160,$C73),INDEX(Shoulder!$C$137:$C$160,$C73))))</f>
        <v>Knee Flexion (°)</v>
      </c>
      <c r="H73" s="102" t="n">
        <f aca="false">IF(OR($B73="",$D73),"",CHOOSE($B73,INDEX(Hip!$E$137:$E$160,$C73),INDEX(Hamstring!$E$137:$E$160,$C73),INDEX(Knee!$E$137:$E$160,$C73),INDEX('Ankle-Foot'!$E$137:$E$160,$C73),INDEX(Shoulder!$E$137:$E$160,$C73)))</f>
        <v>135</v>
      </c>
      <c r="I73" s="102" t="n">
        <f aca="false">IF(OR($B73="",$D73),"",CHOOSE($B73,INDEX(Hip!$F$137:$F$160,$C73),INDEX(Hamstring!$F$137:$F$160,$C73),INDEX(Knee!$F$137:$F$160,$C73),INDEX('Ankle-Foot'!$F$137:$F$160,$C73),INDEX(Shoulder!$F$137:$F$160,$C73)))</f>
        <v>141</v>
      </c>
      <c r="J73" s="105" t="n">
        <f aca="false">IF(OR($B73="",$D73),"",CHOOSE($B73,INDEX(Hip!$G$137:$G$160,$C73),INDEX(Hamstring!$G$137:$G$160,$C73),INDEX(Knee!$G$137:$G$160,$C73),INDEX('Ankle-Foot'!$G$137:$G$160,$C73),INDEX(Shoulder!$G$137:$G$160,$C73)))</f>
        <v>0.957446808510638</v>
      </c>
      <c r="K73" s="102" t="str">
        <f aca="false">IF(OR($B73="",$D73),"",CHOOSE($B73,INDEX(Hip!$K$137:$K$160,$C73),INDEX(Hamstring!$K$137:$K$160,$C73),INDEX(Knee!$K$137:$K$160,$C73),INDEX('Ankle-Foot'!$K$137:$K$160,$C73),INDEX(Shoulder!$K$137:$K$160,$C73)))</f>
        <v>+11 pts</v>
      </c>
      <c r="L73" s="52" t="n">
        <f aca="false">IF($B73="","",IF($D73,INDEX($K$4:$K$8,$B73),CHOOSE($B73,INDEX(Hip!$H$137:$H$160,$C73),INDEX(Hamstring!$H$137:$H$160,$C73),INDEX(Knee!$H$137:$H$160,$C73),INDEX('Ankle-Foot'!$H$137:$H$160,$C73),INDEX(Shoulder!$H$137:$H$160,$C73))))</f>
        <v>46286</v>
      </c>
    </row>
    <row r="74" customFormat="false" ht="15" hidden="false" customHeight="false" outlineLevel="0" collapsed="false">
      <c r="A74" s="102" t="n">
        <v>25</v>
      </c>
      <c r="B74" s="102" t="n">
        <f aca="false">IF($A74&gt;$B$11,"",COUNTIF($E$4:$E$8,"&lt;="&amp;$A74))</f>
        <v>3</v>
      </c>
      <c r="C74" s="102" t="n">
        <f aca="false">IF($B74="","",$A74-INDEX($E$4:$E$8,$B74))</f>
        <v>2</v>
      </c>
      <c r="D74" s="103" t="b">
        <f aca="false">IF($B74="",FALSE(),$C74=0)</f>
        <v>0</v>
      </c>
      <c r="E74" s="104" t="str">
        <f aca="false">IF($B74="","",INDEX($A$4:$A$8,$B74))</f>
        <v>Knee</v>
      </c>
      <c r="F74" s="104" t="str">
        <f aca="false">IF($B74="","",IF($D74,UPPER($E74),CHOOSE($B74,INDEX(Hip!$I$137:$I$160,$C74),INDEX(Hamstring!$I$137:$I$160,$C74),INDEX(Knee!$I$137:$I$160,$C74),INDEX('Ankle-Foot'!$I$137:$I$160,$C74),INDEX(Shoulder!$I$137:$I$160,$C74))))</f>
        <v/>
      </c>
      <c r="G74" s="104" t="str">
        <f aca="false">IF($B74="","",IF($D74,INDEX($G$4:$G$8,$B74)&amp;"  ·  "&amp;INDEX($H$4:$H$8,$B74),CHOOSE($B74,INDEX(Hip!$C$137:$C$160,$C74),INDEX(Hamstring!$C$137:$C$160,$C74),INDEX(Knee!$C$137:$C$160,$C74),INDEX('Ankle-Foot'!$C$137:$C$160,$C74),INDEX(Shoulder!$C$137:$C$160,$C74))))</f>
        <v>Knee Extension (° hyperext = +)</v>
      </c>
      <c r="H74" s="102" t="n">
        <f aca="false">IF(OR($B74="",$D74),"",CHOOSE($B74,INDEX(Hip!$E$137:$E$160,$C74),INDEX(Hamstring!$E$137:$E$160,$C74),INDEX(Knee!$E$137:$E$160,$C74),INDEX('Ankle-Foot'!$E$137:$E$160,$C74),INDEX(Shoulder!$E$137:$E$160,$C74)))</f>
        <v>3</v>
      </c>
      <c r="I74" s="102" t="n">
        <f aca="false">IF(OR($B74="",$D74),"",CHOOSE($B74,INDEX(Hip!$F$137:$F$160,$C74),INDEX(Hamstring!$F$137:$F$160,$C74),INDEX(Knee!$F$137:$F$160,$C74),INDEX('Ankle-Foot'!$F$137:$F$160,$C74),INDEX(Shoulder!$F$137:$F$160,$C74)))</f>
        <v>3</v>
      </c>
      <c r="J74" s="105" t="n">
        <f aca="false">IF(OR($B74="",$D74),"",CHOOSE($B74,INDEX(Hip!$G$137:$G$160,$C74),INDEX(Hamstring!$G$137:$G$160,$C74),INDEX(Knee!$G$137:$G$160,$C74),INDEX('Ankle-Foot'!$G$137:$G$160,$C74),INDEX(Shoulder!$G$137:$G$160,$C74)))</f>
        <v>1</v>
      </c>
      <c r="K74" s="102" t="str">
        <f aca="false">IF(OR($B74="",$D74),"",CHOOSE($B74,INDEX(Hip!$K$137:$K$160,$C74),INDEX(Hamstring!$K$137:$K$160,$C74),INDEX(Knee!$K$137:$K$160,$C74),INDEX('Ankle-Foot'!$K$137:$K$160,$C74),INDEX(Shoulder!$K$137:$K$160,$C74)))</f>
        <v>+33 pts</v>
      </c>
      <c r="L74" s="52" t="n">
        <f aca="false">IF($B74="","",IF($D74,INDEX($K$4:$K$8,$B74),CHOOSE($B74,INDEX(Hip!$H$137:$H$160,$C74),INDEX(Hamstring!$H$137:$H$160,$C74),INDEX(Knee!$H$137:$H$160,$C74),INDEX('Ankle-Foot'!$H$137:$H$160,$C74),INDEX(Shoulder!$H$137:$H$160,$C74))))</f>
        <v>46286</v>
      </c>
    </row>
    <row r="75" customFormat="false" ht="15" hidden="false" customHeight="false" outlineLevel="0" collapsed="false">
      <c r="A75" s="102" t="n">
        <v>26</v>
      </c>
      <c r="B75" s="102" t="n">
        <f aca="false">IF($A75&gt;$B$11,"",COUNTIF($E$4:$E$8,"&lt;="&amp;$A75))</f>
        <v>3</v>
      </c>
      <c r="C75" s="102" t="n">
        <f aca="false">IF($B75="","",$A75-INDEX($E$4:$E$8,$B75))</f>
        <v>3</v>
      </c>
      <c r="D75" s="103" t="b">
        <f aca="false">IF($B75="",FALSE(),$C75=0)</f>
        <v>0</v>
      </c>
      <c r="E75" s="104" t="str">
        <f aca="false">IF($B75="","",INDEX($A$4:$A$8,$B75))</f>
        <v>Knee</v>
      </c>
      <c r="F75" s="104" t="str">
        <f aca="false">IF($B75="","",IF($D75,UPPER($E75),CHOOSE($B75,INDEX(Hip!$I$137:$I$160,$C75),INDEX(Hamstring!$I$137:$I$160,$C75),INDEX(Knee!$I$137:$I$160,$C75),INDEX('Ankle-Foot'!$I$137:$I$160,$C75),INDEX(Shoulder!$I$137:$I$160,$C75))))</f>
        <v/>
      </c>
      <c r="G75" s="104" t="str">
        <f aca="false">IF($B75="","",IF($D75,INDEX($G$4:$G$8,$B75)&amp;"  ·  "&amp;INDEX($H$4:$H$8,$B75),CHOOSE($B75,INDEX(Hip!$C$137:$C$160,$C75),INDEX(Hamstring!$C$137:$C$160,$C75),INDEX(Knee!$C$137:$C$160,$C75),INDEX('Ankle-Foot'!$C$137:$C$160,$C75),INDEX(Shoulder!$C$137:$C$160,$C75))))</f>
        <v>Ankle DF Knee-to-Wall (cm)</v>
      </c>
      <c r="H75" s="102" t="n">
        <f aca="false">IF(OR($B75="",$D75),"",CHOOSE($B75,INDEX(Hip!$E$137:$E$160,$C75),INDEX(Hamstring!$E$137:$E$160,$C75),INDEX(Knee!$E$137:$E$160,$C75),INDEX('Ankle-Foot'!$E$137:$E$160,$C75),INDEX(Shoulder!$E$137:$E$160,$C75)))</f>
        <v>11</v>
      </c>
      <c r="I75" s="102" t="n">
        <f aca="false">IF(OR($B75="",$D75),"",CHOOSE($B75,INDEX(Hip!$F$137:$F$160,$C75),INDEX(Hamstring!$F$137:$F$160,$C75),INDEX(Knee!$F$137:$F$160,$C75),INDEX('Ankle-Foot'!$F$137:$F$160,$C75),INDEX(Shoulder!$F$137:$F$160,$C75)))</f>
        <v>12</v>
      </c>
      <c r="J75" s="105" t="n">
        <f aca="false">IF(OR($B75="",$D75),"",CHOOSE($B75,INDEX(Hip!$G$137:$G$160,$C75),INDEX(Hamstring!$G$137:$G$160,$C75),INDEX(Knee!$G$137:$G$160,$C75),INDEX('Ankle-Foot'!$G$137:$G$160,$C75),INDEX(Shoulder!$G$137:$G$160,$C75)))</f>
        <v>0.916666666666667</v>
      </c>
      <c r="K75" s="102" t="str">
        <f aca="false">IF(OR($B75="",$D75),"",CHOOSE($B75,INDEX(Hip!$K$137:$K$160,$C75),INDEX(Hamstring!$K$137:$K$160,$C75),INDEX(Knee!$K$137:$K$160,$C75),INDEX('Ankle-Foot'!$K$137:$K$160,$C75),INDEX(Shoulder!$K$137:$K$160,$C75)))</f>
        <v>+13 pts</v>
      </c>
      <c r="L75" s="52" t="n">
        <f aca="false">IF($B75="","",IF($D75,INDEX($K$4:$K$8,$B75),CHOOSE($B75,INDEX(Hip!$H$137:$H$160,$C75),INDEX(Hamstring!$H$137:$H$160,$C75),INDEX(Knee!$H$137:$H$160,$C75),INDEX('Ankle-Foot'!$H$137:$H$160,$C75),INDEX(Shoulder!$H$137:$H$160,$C75))))</f>
        <v>46286</v>
      </c>
    </row>
    <row r="76" customFormat="false" ht="15" hidden="false" customHeight="false" outlineLevel="0" collapsed="false">
      <c r="A76" s="102" t="n">
        <v>27</v>
      </c>
      <c r="B76" s="102" t="n">
        <f aca="false">IF($A76&gt;$B$11,"",COUNTIF($E$4:$E$8,"&lt;="&amp;$A76))</f>
        <v>3</v>
      </c>
      <c r="C76" s="102" t="n">
        <f aca="false">IF($B76="","",$A76-INDEX($E$4:$E$8,$B76))</f>
        <v>4</v>
      </c>
      <c r="D76" s="103" t="b">
        <f aca="false">IF($B76="",FALSE(),$C76=0)</f>
        <v>0</v>
      </c>
      <c r="E76" s="104" t="str">
        <f aca="false">IF($B76="","",INDEX($A$4:$A$8,$B76))</f>
        <v>Knee</v>
      </c>
      <c r="F76" s="104" t="str">
        <f aca="false">IF($B76="","",IF($D76,UPPER($E76),CHOOSE($B76,INDEX(Hip!$I$137:$I$160,$C76),INDEX(Hamstring!$I$137:$I$160,$C76),INDEX(Knee!$I$137:$I$160,$C76),INDEX('Ankle-Foot'!$I$137:$I$160,$C76),INDEX(Shoulder!$I$137:$I$160,$C76))))</f>
        <v/>
      </c>
      <c r="G76" s="104" t="str">
        <f aca="false">IF($B76="","",IF($D76,INDEX($G$4:$G$8,$B76)&amp;"  ·  "&amp;INDEX($H$4:$H$8,$B76),CHOOSE($B76,INDEX(Hip!$C$137:$C$160,$C76),INDEX(Hamstring!$C$137:$C$160,$C76),INDEX(Knee!$C$137:$C$160,$C76),INDEX('Ankle-Foot'!$C$137:$C$160,$C76),INDEX(Shoulder!$C$137:$C$160,$C76))))</f>
        <v>Thigh Circumference 10 cm (cm)</v>
      </c>
      <c r="H76" s="102" t="n">
        <f aca="false">IF(OR($B76="",$D76),"",CHOOSE($B76,INDEX(Hip!$E$137:$E$160,$C76),INDEX(Hamstring!$E$137:$E$160,$C76),INDEX(Knee!$E$137:$E$160,$C76),INDEX('Ankle-Foot'!$E$137:$E$160,$C76),INDEX(Shoulder!$E$137:$E$160,$C76)))</f>
        <v>45.5</v>
      </c>
      <c r="I76" s="102" t="n">
        <f aca="false">IF(OR($B76="",$D76),"",CHOOSE($B76,INDEX(Hip!$F$137:$F$160,$C76),INDEX(Hamstring!$F$137:$F$160,$C76),INDEX(Knee!$F$137:$F$160,$C76),INDEX('Ankle-Foot'!$F$137:$F$160,$C76),INDEX(Shoulder!$F$137:$F$160,$C76)))</f>
        <v>47</v>
      </c>
      <c r="J76" s="105" t="n">
        <f aca="false">IF(OR($B76="",$D76),"",CHOOSE($B76,INDEX(Hip!$G$137:$G$160,$C76),INDEX(Hamstring!$G$137:$G$160,$C76),INDEX(Knee!$G$137:$G$160,$C76),INDEX('Ankle-Foot'!$G$137:$G$160,$C76),INDEX(Shoulder!$G$137:$G$160,$C76)))</f>
        <v>0.968085106382979</v>
      </c>
      <c r="K76" s="102" t="str">
        <f aca="false">IF(OR($B76="",$D76),"",CHOOSE($B76,INDEX(Hip!$K$137:$K$160,$C76),INDEX(Hamstring!$K$137:$K$160,$C76),INDEX(Knee!$K$137:$K$160,$C76),INDEX('Ankle-Foot'!$K$137:$K$160,$C76),INDEX(Shoulder!$K$137:$K$160,$C76)))</f>
        <v>+2 pts</v>
      </c>
      <c r="L76" s="52" t="n">
        <f aca="false">IF($B76="","",IF($D76,INDEX($K$4:$K$8,$B76),CHOOSE($B76,INDEX(Hip!$H$137:$H$160,$C76),INDEX(Hamstring!$H$137:$H$160,$C76),INDEX(Knee!$H$137:$H$160,$C76),INDEX('Ankle-Foot'!$H$137:$H$160,$C76),INDEX(Shoulder!$H$137:$H$160,$C76))))</f>
        <v>46286</v>
      </c>
    </row>
    <row r="77" customFormat="false" ht="15" hidden="false" customHeight="false" outlineLevel="0" collapsed="false">
      <c r="A77" s="102" t="n">
        <v>28</v>
      </c>
      <c r="B77" s="102" t="n">
        <f aca="false">IF($A77&gt;$B$11,"",COUNTIF($E$4:$E$8,"&lt;="&amp;$A77))</f>
        <v>3</v>
      </c>
      <c r="C77" s="102" t="n">
        <f aca="false">IF($B77="","",$A77-INDEX($E$4:$E$8,$B77))</f>
        <v>5</v>
      </c>
      <c r="D77" s="103" t="b">
        <f aca="false">IF($B77="",FALSE(),$C77=0)</f>
        <v>0</v>
      </c>
      <c r="E77" s="104" t="str">
        <f aca="false">IF($B77="","",INDEX($A$4:$A$8,$B77))</f>
        <v>Knee</v>
      </c>
      <c r="F77" s="104" t="str">
        <f aca="false">IF($B77="","",IF($D77,UPPER($E77),CHOOSE($B77,INDEX(Hip!$I$137:$I$160,$C77),INDEX(Hamstring!$I$137:$I$160,$C77),INDEX(Knee!$I$137:$I$160,$C77),INDEX('Ankle-Foot'!$I$137:$I$160,$C77),INDEX(Shoulder!$I$137:$I$160,$C77))))</f>
        <v>Strength</v>
      </c>
      <c r="G77" s="104" t="str">
        <f aca="false">IF($B77="","",IF($D77,INDEX($G$4:$G$8,$B77)&amp;"  ·  "&amp;INDEX($H$4:$H$8,$B77),CHOOSE($B77,INDEX(Hip!$C$137:$C$160,$C77),INDEX(Hamstring!$C$137:$C$160,$C77),INDEX(Knee!$C$137:$C$160,$C77),INDEX('Ankle-Foot'!$C$137:$C$160,$C77),INDEX(Shoulder!$C$137:$C$160,$C77))))</f>
        <v>Quadriceps Iso (N)</v>
      </c>
      <c r="H77" s="102" t="n">
        <f aca="false">IF(OR($B77="",$D77),"",CHOOSE($B77,INDEX(Hip!$E$137:$E$160,$C77),INDEX(Hamstring!$E$137:$E$160,$C77),INDEX(Knee!$E$137:$E$160,$C77),INDEX('Ankle-Foot'!$E$137:$E$160,$C77),INDEX(Shoulder!$E$137:$E$160,$C77)))</f>
        <v>395</v>
      </c>
      <c r="I77" s="102" t="n">
        <f aca="false">IF(OR($B77="",$D77),"",CHOOSE($B77,INDEX(Hip!$F$137:$F$160,$C77),INDEX(Hamstring!$F$137:$F$160,$C77),INDEX(Knee!$F$137:$F$160,$C77),INDEX('Ankle-Foot'!$F$137:$F$160,$C77),INDEX(Shoulder!$F$137:$F$160,$C77)))</f>
        <v>490</v>
      </c>
      <c r="J77" s="105" t="n">
        <f aca="false">IF(OR($B77="",$D77),"",CHOOSE($B77,INDEX(Hip!$G$137:$G$160,$C77),INDEX(Hamstring!$G$137:$G$160,$C77),INDEX(Knee!$G$137:$G$160,$C77),INDEX('Ankle-Foot'!$G$137:$G$160,$C77),INDEX(Shoulder!$G$137:$G$160,$C77)))</f>
        <v>0.806122448979592</v>
      </c>
      <c r="K77" s="102" t="str">
        <f aca="false">IF(OR($B77="",$D77),"",CHOOSE($B77,INDEX(Hip!$K$137:$K$160,$C77),INDEX(Hamstring!$K$137:$K$160,$C77),INDEX(Knee!$K$137:$K$160,$C77),INDEX('Ankle-Foot'!$K$137:$K$160,$C77),INDEX(Shoulder!$K$137:$K$160,$C77)))</f>
        <v>+16 pts</v>
      </c>
      <c r="L77" s="52" t="n">
        <f aca="false">IF($B77="","",IF($D77,INDEX($K$4:$K$8,$B77),CHOOSE($B77,INDEX(Hip!$H$137:$H$160,$C77),INDEX(Hamstring!$H$137:$H$160,$C77),INDEX(Knee!$H$137:$H$160,$C77),INDEX('Ankle-Foot'!$H$137:$H$160,$C77),INDEX(Shoulder!$H$137:$H$160,$C77))))</f>
        <v>46307</v>
      </c>
    </row>
    <row r="78" customFormat="false" ht="15" hidden="false" customHeight="false" outlineLevel="0" collapsed="false">
      <c r="A78" s="102" t="n">
        <v>29</v>
      </c>
      <c r="B78" s="102" t="n">
        <f aca="false">IF($A78&gt;$B$11,"",COUNTIF($E$4:$E$8,"&lt;="&amp;$A78))</f>
        <v>3</v>
      </c>
      <c r="C78" s="102" t="n">
        <f aca="false">IF($B78="","",$A78-INDEX($E$4:$E$8,$B78))</f>
        <v>6</v>
      </c>
      <c r="D78" s="103" t="b">
        <f aca="false">IF($B78="",FALSE(),$C78=0)</f>
        <v>0</v>
      </c>
      <c r="E78" s="104" t="str">
        <f aca="false">IF($B78="","",INDEX($A$4:$A$8,$B78))</f>
        <v>Knee</v>
      </c>
      <c r="F78" s="104" t="str">
        <f aca="false">IF($B78="","",IF($D78,UPPER($E78),CHOOSE($B78,INDEX(Hip!$I$137:$I$160,$C78),INDEX(Hamstring!$I$137:$I$160,$C78),INDEX(Knee!$I$137:$I$160,$C78),INDEX('Ankle-Foot'!$I$137:$I$160,$C78),INDEX(Shoulder!$I$137:$I$160,$C78))))</f>
        <v/>
      </c>
      <c r="G78" s="104" t="str">
        <f aca="false">IF($B78="","",IF($D78,INDEX($G$4:$G$8,$B78)&amp;"  ·  "&amp;INDEX($H$4:$H$8,$B78),CHOOSE($B78,INDEX(Hip!$C$137:$C$160,$C78),INDEX(Hamstring!$C$137:$C$160,$C78),INDEX(Knee!$C$137:$C$160,$C78),INDEX('Ankle-Foot'!$C$137:$C$160,$C78),INDEX(Shoulder!$C$137:$C$160,$C78))))</f>
        <v>Hamstrings Iso / NordBord (N)</v>
      </c>
      <c r="H78" s="102" t="n">
        <f aca="false">IF(OR($B78="",$D78),"",CHOOSE($B78,INDEX(Hip!$E$137:$E$160,$C78),INDEX(Hamstring!$E$137:$E$160,$C78),INDEX(Knee!$E$137:$E$160,$C78),INDEX('Ankle-Foot'!$E$137:$E$160,$C78),INDEX(Shoulder!$E$137:$E$160,$C78)))</f>
        <v>281</v>
      </c>
      <c r="I78" s="102" t="n">
        <f aca="false">IF(OR($B78="",$D78),"",CHOOSE($B78,INDEX(Hip!$F$137:$F$160,$C78),INDEX(Hamstring!$F$137:$F$160,$C78),INDEX(Knee!$F$137:$F$160,$C78),INDEX('Ankle-Foot'!$F$137:$F$160,$C78),INDEX(Shoulder!$F$137:$F$160,$C78)))</f>
        <v>305</v>
      </c>
      <c r="J78" s="105" t="n">
        <f aca="false">IF(OR($B78="",$D78),"",CHOOSE($B78,INDEX(Hip!$G$137:$G$160,$C78),INDEX(Hamstring!$G$137:$G$160,$C78),INDEX(Knee!$G$137:$G$160,$C78),INDEX('Ankle-Foot'!$G$137:$G$160,$C78),INDEX(Shoulder!$G$137:$G$160,$C78)))</f>
        <v>0.921311475409836</v>
      </c>
      <c r="K78" s="102" t="str">
        <f aca="false">IF(OR($B78="",$D78),"",CHOOSE($B78,INDEX(Hip!$K$137:$K$160,$C78),INDEX(Hamstring!$K$137:$K$160,$C78),INDEX(Knee!$K$137:$K$160,$C78),INDEX('Ankle-Foot'!$K$137:$K$160,$C78),INDEX(Shoulder!$K$137:$K$160,$C78)))</f>
        <v>+7 pts</v>
      </c>
      <c r="L78" s="52" t="n">
        <f aca="false">IF($B78="","",IF($D78,INDEX($K$4:$K$8,$B78),CHOOSE($B78,INDEX(Hip!$H$137:$H$160,$C78),INDEX(Hamstring!$H$137:$H$160,$C78),INDEX(Knee!$H$137:$H$160,$C78),INDEX('Ankle-Foot'!$H$137:$H$160,$C78),INDEX(Shoulder!$H$137:$H$160,$C78))))</f>
        <v>46307</v>
      </c>
    </row>
    <row r="79" customFormat="false" ht="15" hidden="false" customHeight="false" outlineLevel="0" collapsed="false">
      <c r="A79" s="102" t="n">
        <v>30</v>
      </c>
      <c r="B79" s="102" t="n">
        <f aca="false">IF($A79&gt;$B$11,"",COUNTIF($E$4:$E$8,"&lt;="&amp;$A79))</f>
        <v>3</v>
      </c>
      <c r="C79" s="102" t="n">
        <f aca="false">IF($B79="","",$A79-INDEX($E$4:$E$8,$B79))</f>
        <v>7</v>
      </c>
      <c r="D79" s="103" t="b">
        <f aca="false">IF($B79="",FALSE(),$C79=0)</f>
        <v>0</v>
      </c>
      <c r="E79" s="104" t="str">
        <f aca="false">IF($B79="","",INDEX($A$4:$A$8,$B79))</f>
        <v>Knee</v>
      </c>
      <c r="F79" s="104" t="str">
        <f aca="false">IF($B79="","",IF($D79,UPPER($E79),CHOOSE($B79,INDEX(Hip!$I$137:$I$160,$C79),INDEX(Hamstring!$I$137:$I$160,$C79),INDEX(Knee!$I$137:$I$160,$C79),INDEX('Ankle-Foot'!$I$137:$I$160,$C79),INDEX(Shoulder!$I$137:$I$160,$C79))))</f>
        <v/>
      </c>
      <c r="G79" s="104" t="str">
        <f aca="false">IF($B79="","",IF($D79,INDEX($G$4:$G$8,$B79)&amp;"  ·  "&amp;INDEX($H$4:$H$8,$B79),CHOOSE($B79,INDEX(Hip!$C$137:$C$160,$C79),INDEX(Hamstring!$C$137:$C$160,$C79),INDEX(Knee!$C$137:$C$160,$C79),INDEX('Ankle-Foot'!$C$137:$C$160,$C79),INDEX(Shoulder!$C$137:$C$160,$C79))))</f>
        <v>Calf Iso (N)</v>
      </c>
      <c r="H79" s="102" t="n">
        <f aca="false">IF(OR($B79="",$D79),"",CHOOSE($B79,INDEX(Hip!$E$137:$E$160,$C79),INDEX(Hamstring!$E$137:$E$160,$C79),INDEX(Knee!$E$137:$E$160,$C79),INDEX('Ankle-Foot'!$E$137:$E$160,$C79),INDEX(Shoulder!$E$137:$E$160,$C79)))</f>
        <v>1380</v>
      </c>
      <c r="I79" s="102" t="n">
        <f aca="false">IF(OR($B79="",$D79),"",CHOOSE($B79,INDEX(Hip!$F$137:$F$160,$C79),INDEX(Hamstring!$F$137:$F$160,$C79),INDEX(Knee!$F$137:$F$160,$C79),INDEX('Ankle-Foot'!$F$137:$F$160,$C79),INDEX(Shoulder!$F$137:$F$160,$C79)))</f>
        <v>1520</v>
      </c>
      <c r="J79" s="105" t="n">
        <f aca="false">IF(OR($B79="",$D79),"",CHOOSE($B79,INDEX(Hip!$G$137:$G$160,$C79),INDEX(Hamstring!$G$137:$G$160,$C79),INDEX(Knee!$G$137:$G$160,$C79),INDEX('Ankle-Foot'!$G$137:$G$160,$C79),INDEX(Shoulder!$G$137:$G$160,$C79)))</f>
        <v>0.907894736842105</v>
      </c>
      <c r="K79" s="102" t="str">
        <f aca="false">IF(OR($B79="",$D79),"",CHOOSE($B79,INDEX(Hip!$K$137:$K$160,$C79),INDEX(Hamstring!$K$137:$K$160,$C79),INDEX(Knee!$K$137:$K$160,$C79),INDEX('Ankle-Foot'!$K$137:$K$160,$C79),INDEX(Shoulder!$K$137:$K$160,$C79)))</f>
        <v>+10 pts</v>
      </c>
      <c r="L79" s="52" t="n">
        <f aca="false">IF($B79="","",IF($D79,INDEX($K$4:$K$8,$B79),CHOOSE($B79,INDEX(Hip!$H$137:$H$160,$C79),INDEX(Hamstring!$H$137:$H$160,$C79),INDEX(Knee!$H$137:$H$160,$C79),INDEX('Ankle-Foot'!$H$137:$H$160,$C79),INDEX(Shoulder!$H$137:$H$160,$C79))))</f>
        <v>46307</v>
      </c>
    </row>
    <row r="80" customFormat="false" ht="15" hidden="false" customHeight="false" outlineLevel="0" collapsed="false">
      <c r="A80" s="102" t="n">
        <v>31</v>
      </c>
      <c r="B80" s="102" t="n">
        <f aca="false">IF($A80&gt;$B$11,"",COUNTIF($E$4:$E$8,"&lt;="&amp;$A80))</f>
        <v>3</v>
      </c>
      <c r="C80" s="102" t="n">
        <f aca="false">IF($B80="","",$A80-INDEX($E$4:$E$8,$B80))</f>
        <v>8</v>
      </c>
      <c r="D80" s="103" t="b">
        <f aca="false">IF($B80="",FALSE(),$C80=0)</f>
        <v>0</v>
      </c>
      <c r="E80" s="104" t="str">
        <f aca="false">IF($B80="","",INDEX($A$4:$A$8,$B80))</f>
        <v>Knee</v>
      </c>
      <c r="F80" s="104" t="str">
        <f aca="false">IF($B80="","",IF($D80,UPPER($E80),CHOOSE($B80,INDEX(Hip!$I$137:$I$160,$C80),INDEX(Hamstring!$I$137:$I$160,$C80),INDEX(Knee!$I$137:$I$160,$C80),INDEX('Ankle-Foot'!$I$137:$I$160,$C80),INDEX(Shoulder!$I$137:$I$160,$C80))))</f>
        <v/>
      </c>
      <c r="G80" s="104" t="str">
        <f aca="false">IF($B80="","",IF($D80,INDEX($G$4:$G$8,$B80)&amp;"  ·  "&amp;INDEX($H$4:$H$8,$B80),CHOOSE($B80,INDEX(Hip!$C$137:$C$160,$C80),INDEX(Hamstring!$C$137:$C$160,$C80),INDEX(Knee!$C$137:$C$160,$C80),INDEX('Ankle-Foot'!$C$137:$C$160,$C80),INDEX(Shoulder!$C$137:$C$160,$C80))))</f>
        <v>Iso Hip Abduction (N)</v>
      </c>
      <c r="H80" s="102" t="n">
        <f aca="false">IF(OR($B80="",$D80),"",CHOOSE($B80,INDEX(Hip!$E$137:$E$160,$C80),INDEX(Hamstring!$E$137:$E$160,$C80),INDEX(Knee!$E$137:$E$160,$C80),INDEX('Ankle-Foot'!$E$137:$E$160,$C80),INDEX(Shoulder!$E$137:$E$160,$C80)))</f>
        <v>272</v>
      </c>
      <c r="I80" s="102" t="n">
        <f aca="false">IF(OR($B80="",$D80),"",CHOOSE($B80,INDEX(Hip!$F$137:$F$160,$C80),INDEX(Hamstring!$F$137:$F$160,$C80),INDEX(Knee!$F$137:$F$160,$C80),INDEX('Ankle-Foot'!$F$137:$F$160,$C80),INDEX(Shoulder!$F$137:$F$160,$C80)))</f>
        <v>285</v>
      </c>
      <c r="J80" s="105" t="n">
        <f aca="false">IF(OR($B80="",$D80),"",CHOOSE($B80,INDEX(Hip!$G$137:$G$160,$C80),INDEX(Hamstring!$G$137:$G$160,$C80),INDEX(Knee!$G$137:$G$160,$C80),INDEX('Ankle-Foot'!$G$137:$G$160,$C80),INDEX(Shoulder!$G$137:$G$160,$C80)))</f>
        <v>0.954385964912281</v>
      </c>
      <c r="K80" s="102" t="str">
        <f aca="false">IF(OR($B80="",$D80),"",CHOOSE($B80,INDEX(Hip!$K$137:$K$160,$C80),INDEX(Hamstring!$K$137:$K$160,$C80),INDEX(Knee!$K$137:$K$160,$C80),INDEX('Ankle-Foot'!$K$137:$K$160,$C80),INDEX(Shoulder!$K$137:$K$160,$C80)))</f>
        <v>+3 pts</v>
      </c>
      <c r="L80" s="52" t="n">
        <f aca="false">IF($B80="","",IF($D80,INDEX($K$4:$K$8,$B80),CHOOSE($B80,INDEX(Hip!$H$137:$H$160,$C80),INDEX(Hamstring!$H$137:$H$160,$C80),INDEX(Knee!$H$137:$H$160,$C80),INDEX('Ankle-Foot'!$H$137:$H$160,$C80),INDEX(Shoulder!$H$137:$H$160,$C80))))</f>
        <v>46307</v>
      </c>
    </row>
    <row r="81" customFormat="false" ht="15" hidden="false" customHeight="false" outlineLevel="0" collapsed="false">
      <c r="A81" s="102" t="n">
        <v>32</v>
      </c>
      <c r="B81" s="102" t="n">
        <f aca="false">IF($A81&gt;$B$11,"",COUNTIF($E$4:$E$8,"&lt;="&amp;$A81))</f>
        <v>3</v>
      </c>
      <c r="C81" s="102" t="n">
        <f aca="false">IF($B81="","",$A81-INDEX($E$4:$E$8,$B81))</f>
        <v>9</v>
      </c>
      <c r="D81" s="103" t="b">
        <f aca="false">IF($B81="",FALSE(),$C81=0)</f>
        <v>0</v>
      </c>
      <c r="E81" s="104" t="str">
        <f aca="false">IF($B81="","",INDEX($A$4:$A$8,$B81))</f>
        <v>Knee</v>
      </c>
      <c r="F81" s="104" t="str">
        <f aca="false">IF($B81="","",IF($D81,UPPER($E81),CHOOSE($B81,INDEX(Hip!$I$137:$I$160,$C81),INDEX(Hamstring!$I$137:$I$160,$C81),INDEX(Knee!$I$137:$I$160,$C81),INDEX('Ankle-Foot'!$I$137:$I$160,$C81),INDEX(Shoulder!$I$137:$I$160,$C81))))</f>
        <v>Jump / Power</v>
      </c>
      <c r="G81" s="104" t="str">
        <f aca="false">IF($B81="","",IF($D81,INDEX($G$4:$G$8,$B81)&amp;"  ·  "&amp;INDEX($H$4:$H$8,$B81),CHOOSE($B81,INDEX(Hip!$C$137:$C$160,$C81),INDEX(Hamstring!$C$137:$C$160,$C81),INDEX(Knee!$C$137:$C$160,$C81),INDEX('Ankle-Foot'!$C$137:$C$160,$C81),INDEX(Shoulder!$C$137:$C$160,$C81))))</f>
        <v>DL CMJ Height (cm)</v>
      </c>
      <c r="H81" s="102" t="n">
        <f aca="false">IF(OR($B81="",$D81),"",CHOOSE($B81,INDEX(Hip!$E$137:$E$160,$C81),INDEX(Hamstring!$E$137:$E$160,$C81),INDEX(Knee!$E$137:$E$160,$C81),INDEX('Ankle-Foot'!$E$137:$E$160,$C81),INDEX(Shoulder!$E$137:$E$160,$C81)))</f>
        <v>27.5</v>
      </c>
      <c r="I81" s="102" t="str">
        <f aca="false">IF(OR($B81="",$D81),"",CHOOSE($B81,INDEX(Hip!$F$137:$F$160,$C81),INDEX(Hamstring!$F$137:$F$160,$C81),INDEX(Knee!$F$137:$F$160,$C81),INDEX('Ankle-Foot'!$F$137:$F$160,$C81),INDEX(Shoulder!$F$137:$F$160,$C81)))</f>
        <v/>
      </c>
      <c r="J81" s="105" t="str">
        <f aca="false">IF(OR($B81="",$D81),"",CHOOSE($B81,INDEX(Hip!$G$137:$G$160,$C81),INDEX(Hamstring!$G$137:$G$160,$C81),INDEX(Knee!$G$137:$G$160,$C81),INDEX('Ankle-Foot'!$G$137:$G$160,$C81),INDEX(Shoulder!$G$137:$G$160,$C81)))</f>
        <v/>
      </c>
      <c r="K81" s="102" t="str">
        <f aca="false">IF(OR($B81="",$D81),"",CHOOSE($B81,INDEX(Hip!$K$137:$K$160,$C81),INDEX(Hamstring!$K$137:$K$160,$C81),INDEX(Knee!$K$137:$K$160,$C81),INDEX('Ankle-Foot'!$K$137:$K$160,$C81),INDEX(Shoulder!$K$137:$K$160,$C81)))</f>
        <v/>
      </c>
      <c r="L81" s="52" t="n">
        <f aca="false">IF($B81="","",IF($D81,INDEX($K$4:$K$8,$B81),CHOOSE($B81,INDEX(Hip!$H$137:$H$160,$C81),INDEX(Hamstring!$H$137:$H$160,$C81),INDEX(Knee!$H$137:$H$160,$C81),INDEX('Ankle-Foot'!$H$137:$H$160,$C81),INDEX(Shoulder!$H$137:$H$160,$C81))))</f>
        <v>46307</v>
      </c>
    </row>
    <row r="82" customFormat="false" ht="15" hidden="false" customHeight="false" outlineLevel="0" collapsed="false">
      <c r="A82" s="102" t="n">
        <v>33</v>
      </c>
      <c r="B82" s="102" t="n">
        <f aca="false">IF($A82&gt;$B$11,"",COUNTIF($E$4:$E$8,"&lt;="&amp;$A82))</f>
        <v>3</v>
      </c>
      <c r="C82" s="102" t="n">
        <f aca="false">IF($B82="","",$A82-INDEX($E$4:$E$8,$B82))</f>
        <v>10</v>
      </c>
      <c r="D82" s="103" t="b">
        <f aca="false">IF($B82="",FALSE(),$C82=0)</f>
        <v>0</v>
      </c>
      <c r="E82" s="104" t="str">
        <f aca="false">IF($B82="","",INDEX($A$4:$A$8,$B82))</f>
        <v>Knee</v>
      </c>
      <c r="F82" s="104" t="str">
        <f aca="false">IF($B82="","",IF($D82,UPPER($E82),CHOOSE($B82,INDEX(Hip!$I$137:$I$160,$C82),INDEX(Hamstring!$I$137:$I$160,$C82),INDEX(Knee!$I$137:$I$160,$C82),INDEX('Ankle-Foot'!$I$137:$I$160,$C82),INDEX(Shoulder!$I$137:$I$160,$C82))))</f>
        <v/>
      </c>
      <c r="G82" s="104" t="str">
        <f aca="false">IF($B82="","",IF($D82,INDEX($G$4:$G$8,$B82)&amp;"  ·  "&amp;INDEX($H$4:$H$8,$B82),CHOOSE($B82,INDEX(Hip!$C$137:$C$160,$C82),INDEX(Hamstring!$C$137:$C$160,$C82),INDEX(Knee!$C$137:$C$160,$C82),INDEX('Ankle-Foot'!$C$137:$C$160,$C82),INDEX(Shoulder!$C$137:$C$160,$C82))))</f>
        <v>SL CMJ Height (cm)</v>
      </c>
      <c r="H82" s="102" t="n">
        <f aca="false">IF(OR($B82="",$D82),"",CHOOSE($B82,INDEX(Hip!$E$137:$E$160,$C82),INDEX(Hamstring!$E$137:$E$160,$C82),INDEX(Knee!$E$137:$E$160,$C82),INDEX('Ankle-Foot'!$E$137:$E$160,$C82),INDEX(Shoulder!$E$137:$E$160,$C82)))</f>
        <v>14.2</v>
      </c>
      <c r="I82" s="102" t="n">
        <f aca="false">IF(OR($B82="",$D82),"",CHOOSE($B82,INDEX(Hip!$F$137:$F$160,$C82),INDEX(Hamstring!$F$137:$F$160,$C82),INDEX(Knee!$F$137:$F$160,$C82),INDEX('Ankle-Foot'!$F$137:$F$160,$C82),INDEX(Shoulder!$F$137:$F$160,$C82)))</f>
        <v>19</v>
      </c>
      <c r="J82" s="105" t="n">
        <f aca="false">IF(OR($B82="",$D82),"",CHOOSE($B82,INDEX(Hip!$G$137:$G$160,$C82),INDEX(Hamstring!$G$137:$G$160,$C82),INDEX(Knee!$G$137:$G$160,$C82),INDEX('Ankle-Foot'!$G$137:$G$160,$C82),INDEX(Shoulder!$G$137:$G$160,$C82)))</f>
        <v>0.747368421052632</v>
      </c>
      <c r="K82" s="102" t="str">
        <f aca="false">IF(OR($B82="",$D82),"",CHOOSE($B82,INDEX(Hip!$K$137:$K$160,$C82),INDEX(Hamstring!$K$137:$K$160,$C82),INDEX(Knee!$K$137:$K$160,$C82),INDEX('Ankle-Foot'!$K$137:$K$160,$C82),INDEX(Shoulder!$K$137:$K$160,$C82)))</f>
        <v/>
      </c>
      <c r="L82" s="52" t="n">
        <f aca="false">IF($B82="","",IF($D82,INDEX($K$4:$K$8,$B82),CHOOSE($B82,INDEX(Hip!$H$137:$H$160,$C82),INDEX(Hamstring!$H$137:$H$160,$C82),INDEX(Knee!$H$137:$H$160,$C82),INDEX('Ankle-Foot'!$H$137:$H$160,$C82),INDEX(Shoulder!$H$137:$H$160,$C82))))</f>
        <v>46307</v>
      </c>
    </row>
    <row r="83" customFormat="false" ht="15" hidden="false" customHeight="false" outlineLevel="0" collapsed="false">
      <c r="A83" s="102" t="n">
        <v>34</v>
      </c>
      <c r="B83" s="102" t="n">
        <f aca="false">IF($A83&gt;$B$11,"",COUNTIF($E$4:$E$8,"&lt;="&amp;$A83))</f>
        <v>3</v>
      </c>
      <c r="C83" s="102" t="n">
        <f aca="false">IF($B83="","",$A83-INDEX($E$4:$E$8,$B83))</f>
        <v>11</v>
      </c>
      <c r="D83" s="103" t="b">
        <f aca="false">IF($B83="",FALSE(),$C83=0)</f>
        <v>0</v>
      </c>
      <c r="E83" s="104" t="str">
        <f aca="false">IF($B83="","",INDEX($A$4:$A$8,$B83))</f>
        <v>Knee</v>
      </c>
      <c r="F83" s="104" t="str">
        <f aca="false">IF($B83="","",IF($D83,UPPER($E83),CHOOSE($B83,INDEX(Hip!$I$137:$I$160,$C83),INDEX(Hamstring!$I$137:$I$160,$C83),INDEX(Knee!$I$137:$I$160,$C83),INDEX('Ankle-Foot'!$I$137:$I$160,$C83),INDEX(Shoulder!$I$137:$I$160,$C83))))</f>
        <v/>
      </c>
      <c r="G83" s="104" t="str">
        <f aca="false">IF($B83="","",IF($D83,INDEX($G$4:$G$8,$B83)&amp;"  ·  "&amp;INDEX($H$4:$H$8,$B83),CHOOSE($B83,INDEX(Hip!$C$137:$C$160,$C83),INDEX(Hamstring!$C$137:$C$160,$C83),INDEX(Knee!$C$137:$C$160,$C83),INDEX('Ankle-Foot'!$C$137:$C$160,$C83),INDEX(Shoulder!$C$137:$C$160,$C83))))</f>
        <v>SL Hop Distance (cm)</v>
      </c>
      <c r="H83" s="102" t="n">
        <f aca="false">IF(OR($B83="",$D83),"",CHOOSE($B83,INDEX(Hip!$E$137:$E$160,$C83),INDEX(Hamstring!$E$137:$E$160,$C83),INDEX(Knee!$E$137:$E$160,$C83),INDEX('Ankle-Foot'!$E$137:$E$160,$C83),INDEX(Shoulder!$E$137:$E$160,$C83)))</f>
        <v>128</v>
      </c>
      <c r="I83" s="102" t="n">
        <f aca="false">IF(OR($B83="",$D83),"",CHOOSE($B83,INDEX(Hip!$F$137:$F$160,$C83),INDEX(Hamstring!$F$137:$F$160,$C83),INDEX(Knee!$F$137:$F$160,$C83),INDEX('Ankle-Foot'!$F$137:$F$160,$C83),INDEX(Shoulder!$F$137:$F$160,$C83)))</f>
        <v>160</v>
      </c>
      <c r="J83" s="105" t="n">
        <f aca="false">IF(OR($B83="",$D83),"",CHOOSE($B83,INDEX(Hip!$G$137:$G$160,$C83),INDEX(Hamstring!$G$137:$G$160,$C83),INDEX(Knee!$G$137:$G$160,$C83),INDEX('Ankle-Foot'!$G$137:$G$160,$C83),INDEX(Shoulder!$G$137:$G$160,$C83)))</f>
        <v>0.8</v>
      </c>
      <c r="K83" s="102" t="str">
        <f aca="false">IF(OR($B83="",$D83),"",CHOOSE($B83,INDEX(Hip!$K$137:$K$160,$C83),INDEX(Hamstring!$K$137:$K$160,$C83),INDEX(Knee!$K$137:$K$160,$C83),INDEX('Ankle-Foot'!$K$137:$K$160,$C83),INDEX(Shoulder!$K$137:$K$160,$C83)))</f>
        <v/>
      </c>
      <c r="L83" s="52" t="n">
        <f aca="false">IF($B83="","",IF($D83,INDEX($K$4:$K$8,$B83),CHOOSE($B83,INDEX(Hip!$H$137:$H$160,$C83),INDEX(Hamstring!$H$137:$H$160,$C83),INDEX(Knee!$H$137:$H$160,$C83),INDEX('Ankle-Foot'!$H$137:$H$160,$C83),INDEX(Shoulder!$H$137:$H$160,$C83))))</f>
        <v>46307</v>
      </c>
    </row>
    <row r="84" customFormat="false" ht="15" hidden="false" customHeight="false" outlineLevel="0" collapsed="false">
      <c r="A84" s="102" t="n">
        <v>35</v>
      </c>
      <c r="B84" s="102" t="n">
        <f aca="false">IF($A84&gt;$B$11,"",COUNTIF($E$4:$E$8,"&lt;="&amp;$A84))</f>
        <v>3</v>
      </c>
      <c r="C84" s="102" t="n">
        <f aca="false">IF($B84="","",$A84-INDEX($E$4:$E$8,$B84))</f>
        <v>12</v>
      </c>
      <c r="D84" s="103" t="b">
        <f aca="false">IF($B84="",FALSE(),$C84=0)</f>
        <v>0</v>
      </c>
      <c r="E84" s="104" t="str">
        <f aca="false">IF($B84="","",INDEX($A$4:$A$8,$B84))</f>
        <v>Knee</v>
      </c>
      <c r="F84" s="104" t="str">
        <f aca="false">IF($B84="","",IF($D84,UPPER($E84),CHOOSE($B84,INDEX(Hip!$I$137:$I$160,$C84),INDEX(Hamstring!$I$137:$I$160,$C84),INDEX(Knee!$I$137:$I$160,$C84),INDEX('Ankle-Foot'!$I$137:$I$160,$C84),INDEX(Shoulder!$I$137:$I$160,$C84))))</f>
        <v/>
      </c>
      <c r="G84" s="104" t="str">
        <f aca="false">IF($B84="","",IF($D84,INDEX($G$4:$G$8,$B84)&amp;"  ·  "&amp;INDEX($H$4:$H$8,$B84),CHOOSE($B84,INDEX(Hip!$C$137:$C$160,$C84),INDEX(Hamstring!$C$137:$C$160,$C84),INDEX(Knee!$C$137:$C$160,$C84),INDEX('Ankle-Foot'!$C$137:$C$160,$C84),INDEX(Shoulder!$C$137:$C$160,$C84))))</f>
        <v>Triple Hop Distance (cm)</v>
      </c>
      <c r="H84" s="102" t="str">
        <f aca="false">IF(OR($B84="",$D84),"",CHOOSE($B84,INDEX(Hip!$E$137:$E$160,$C84),INDEX(Hamstring!$E$137:$E$160,$C84),INDEX(Knee!$E$137:$E$160,$C84),INDEX('Ankle-Foot'!$E$137:$E$160,$C84),INDEX(Shoulder!$E$137:$E$160,$C84)))</f>
        <v/>
      </c>
      <c r="I84" s="102" t="str">
        <f aca="false">IF(OR($B84="",$D84),"",CHOOSE($B84,INDEX(Hip!$F$137:$F$160,$C84),INDEX(Hamstring!$F$137:$F$160,$C84),INDEX(Knee!$F$137:$F$160,$C84),INDEX('Ankle-Foot'!$F$137:$F$160,$C84),INDEX(Shoulder!$F$137:$F$160,$C84)))</f>
        <v/>
      </c>
      <c r="J84" s="105" t="str">
        <f aca="false">IF(OR($B84="",$D84),"",CHOOSE($B84,INDEX(Hip!$G$137:$G$160,$C84),INDEX(Hamstring!$G$137:$G$160,$C84),INDEX(Knee!$G$137:$G$160,$C84),INDEX('Ankle-Foot'!$G$137:$G$160,$C84),INDEX(Shoulder!$G$137:$G$160,$C84)))</f>
        <v/>
      </c>
      <c r="K84" s="102" t="str">
        <f aca="false">IF(OR($B84="",$D84),"",CHOOSE($B84,INDEX(Hip!$K$137:$K$160,$C84),INDEX(Hamstring!$K$137:$K$160,$C84),INDEX(Knee!$K$137:$K$160,$C84),INDEX('Ankle-Foot'!$K$137:$K$160,$C84),INDEX(Shoulder!$K$137:$K$160,$C84)))</f>
        <v/>
      </c>
      <c r="L84" s="52" t="str">
        <f aca="false">IF($B84="","",IF($D84,INDEX($K$4:$K$8,$B84),CHOOSE($B84,INDEX(Hip!$H$137:$H$160,$C84),INDEX(Hamstring!$H$137:$H$160,$C84),INDEX(Knee!$H$137:$H$160,$C84),INDEX('Ankle-Foot'!$H$137:$H$160,$C84),INDEX(Shoulder!$H$137:$H$160,$C84))))</f>
        <v/>
      </c>
    </row>
    <row r="85" customFormat="false" ht="15" hidden="false" customHeight="false" outlineLevel="0" collapsed="false">
      <c r="A85" s="102" t="n">
        <v>36</v>
      </c>
      <c r="B85" s="102" t="n">
        <f aca="false">IF($A85&gt;$B$11,"",COUNTIF($E$4:$E$8,"&lt;="&amp;$A85))</f>
        <v>3</v>
      </c>
      <c r="C85" s="102" t="n">
        <f aca="false">IF($B85="","",$A85-INDEX($E$4:$E$8,$B85))</f>
        <v>13</v>
      </c>
      <c r="D85" s="103" t="b">
        <f aca="false">IF($B85="",FALSE(),$C85=0)</f>
        <v>0</v>
      </c>
      <c r="E85" s="104" t="str">
        <f aca="false">IF($B85="","",INDEX($A$4:$A$8,$B85))</f>
        <v>Knee</v>
      </c>
      <c r="F85" s="104" t="str">
        <f aca="false">IF($B85="","",IF($D85,UPPER($E85),CHOOSE($B85,INDEX(Hip!$I$137:$I$160,$C85),INDEX(Hamstring!$I$137:$I$160,$C85),INDEX(Knee!$I$137:$I$160,$C85),INDEX('Ankle-Foot'!$I$137:$I$160,$C85),INDEX(Shoulder!$I$137:$I$160,$C85))))</f>
        <v/>
      </c>
      <c r="G85" s="104" t="str">
        <f aca="false">IF($B85="","",IF($D85,INDEX($G$4:$G$8,$B85)&amp;"  ·  "&amp;INDEX($H$4:$H$8,$B85),CHOOSE($B85,INDEX(Hip!$C$137:$C$160,$C85),INDEX(Hamstring!$C$137:$C$160,$C85),INDEX(Knee!$C$137:$C$160,$C85),INDEX('Ankle-Foot'!$C$137:$C$160,$C85),INDEX(Shoulder!$C$137:$C$160,$C85))))</f>
        <v>Lateral Capacity</v>
      </c>
      <c r="H85" s="102" t="str">
        <f aca="false">IF(OR($B85="",$D85),"",CHOOSE($B85,INDEX(Hip!$E$137:$E$160,$C85),INDEX(Hamstring!$E$137:$E$160,$C85),INDEX(Knee!$E$137:$E$160,$C85),INDEX('Ankle-Foot'!$E$137:$E$160,$C85),INDEX(Shoulder!$E$137:$E$160,$C85)))</f>
        <v/>
      </c>
      <c r="I85" s="102" t="str">
        <f aca="false">IF(OR($B85="",$D85),"",CHOOSE($B85,INDEX(Hip!$F$137:$F$160,$C85),INDEX(Hamstring!$F$137:$F$160,$C85),INDEX(Knee!$F$137:$F$160,$C85),INDEX('Ankle-Foot'!$F$137:$F$160,$C85),INDEX(Shoulder!$F$137:$F$160,$C85)))</f>
        <v/>
      </c>
      <c r="J85" s="105" t="str">
        <f aca="false">IF(OR($B85="",$D85),"",CHOOSE($B85,INDEX(Hip!$G$137:$G$160,$C85),INDEX(Hamstring!$G$137:$G$160,$C85),INDEX(Knee!$G$137:$G$160,$C85),INDEX('Ankle-Foot'!$G$137:$G$160,$C85),INDEX(Shoulder!$G$137:$G$160,$C85)))</f>
        <v/>
      </c>
      <c r="K85" s="102" t="str">
        <f aca="false">IF(OR($B85="",$D85),"",CHOOSE($B85,INDEX(Hip!$K$137:$K$160,$C85),INDEX(Hamstring!$K$137:$K$160,$C85),INDEX(Knee!$K$137:$K$160,$C85),INDEX('Ankle-Foot'!$K$137:$K$160,$C85),INDEX(Shoulder!$K$137:$K$160,$C85)))</f>
        <v/>
      </c>
      <c r="L85" s="52" t="str">
        <f aca="false">IF($B85="","",IF($D85,INDEX($K$4:$K$8,$B85),CHOOSE($B85,INDEX(Hip!$H$137:$H$160,$C85),INDEX(Hamstring!$H$137:$H$160,$C85),INDEX(Knee!$H$137:$H$160,$C85),INDEX('Ankle-Foot'!$H$137:$H$160,$C85),INDEX(Shoulder!$H$137:$H$160,$C85))))</f>
        <v/>
      </c>
    </row>
    <row r="86" customFormat="false" ht="15" hidden="false" customHeight="false" outlineLevel="0" collapsed="false">
      <c r="A86" s="102" t="n">
        <v>37</v>
      </c>
      <c r="B86" s="102" t="n">
        <f aca="false">IF($A86&gt;$B$11,"",COUNTIF($E$4:$E$8,"&lt;="&amp;$A86))</f>
        <v>3</v>
      </c>
      <c r="C86" s="102" t="n">
        <f aca="false">IF($B86="","",$A86-INDEX($E$4:$E$8,$B86))</f>
        <v>14</v>
      </c>
      <c r="D86" s="103" t="b">
        <f aca="false">IF($B86="",FALSE(),$C86=0)</f>
        <v>0</v>
      </c>
      <c r="E86" s="104" t="str">
        <f aca="false">IF($B86="","",INDEX($A$4:$A$8,$B86))</f>
        <v>Knee</v>
      </c>
      <c r="F86" s="104" t="str">
        <f aca="false">IF($B86="","",IF($D86,UPPER($E86),CHOOSE($B86,INDEX(Hip!$I$137:$I$160,$C86),INDEX(Hamstring!$I$137:$I$160,$C86),INDEX(Knee!$I$137:$I$160,$C86),INDEX('Ankle-Foot'!$I$137:$I$160,$C86),INDEX(Shoulder!$I$137:$I$160,$C86))))</f>
        <v/>
      </c>
      <c r="G86" s="104" t="str">
        <f aca="false">IF($B86="","",IF($D86,INDEX($G$4:$G$8,$B86)&amp;"  ·  "&amp;INDEX($H$4:$H$8,$B86),CHOOSE($B86,INDEX(Hip!$C$137:$C$160,$C86),INDEX(Hamstring!$C$137:$C$160,$C86),INDEX(Knee!$C$137:$C$160,$C86),INDEX('Ankle-Foot'!$C$137:$C$160,$C86),INDEX(Shoulder!$C$137:$C$160,$C86))))</f>
        <v>DL Drop Jump RSI</v>
      </c>
      <c r="H86" s="102" t="n">
        <f aca="false">IF(OR($B86="",$D86),"",CHOOSE($B86,INDEX(Hip!$E$137:$E$160,$C86),INDEX(Hamstring!$E$137:$E$160,$C86),INDEX(Knee!$E$137:$E$160,$C86),INDEX('Ankle-Foot'!$E$137:$E$160,$C86),INDEX(Shoulder!$E$137:$E$160,$C86)))</f>
        <v>1.62</v>
      </c>
      <c r="I86" s="102" t="str">
        <f aca="false">IF(OR($B86="",$D86),"",CHOOSE($B86,INDEX(Hip!$F$137:$F$160,$C86),INDEX(Hamstring!$F$137:$F$160,$C86),INDEX(Knee!$F$137:$F$160,$C86),INDEX('Ankle-Foot'!$F$137:$F$160,$C86),INDEX(Shoulder!$F$137:$F$160,$C86)))</f>
        <v/>
      </c>
      <c r="J86" s="105" t="str">
        <f aca="false">IF(OR($B86="",$D86),"",CHOOSE($B86,INDEX(Hip!$G$137:$G$160,$C86),INDEX(Hamstring!$G$137:$G$160,$C86),INDEX(Knee!$G$137:$G$160,$C86),INDEX('Ankle-Foot'!$G$137:$G$160,$C86),INDEX(Shoulder!$G$137:$G$160,$C86)))</f>
        <v/>
      </c>
      <c r="K86" s="102" t="str">
        <f aca="false">IF(OR($B86="",$D86),"",CHOOSE($B86,INDEX(Hip!$K$137:$K$160,$C86),INDEX(Hamstring!$K$137:$K$160,$C86),INDEX(Knee!$K$137:$K$160,$C86),INDEX('Ankle-Foot'!$K$137:$K$160,$C86),INDEX(Shoulder!$K$137:$K$160,$C86)))</f>
        <v/>
      </c>
      <c r="L86" s="52" t="n">
        <f aca="false">IF($B86="","",IF($D86,INDEX($K$4:$K$8,$B86),CHOOSE($B86,INDEX(Hip!$H$137:$H$160,$C86),INDEX(Hamstring!$H$137:$H$160,$C86),INDEX(Knee!$H$137:$H$160,$C86),INDEX('Ankle-Foot'!$H$137:$H$160,$C86),INDEX(Shoulder!$H$137:$H$160,$C86))))</f>
        <v>46307</v>
      </c>
    </row>
    <row r="87" customFormat="false" ht="15" hidden="false" customHeight="false" outlineLevel="0" collapsed="false">
      <c r="A87" s="102" t="n">
        <v>38</v>
      </c>
      <c r="B87" s="102" t="n">
        <f aca="false">IF($A87&gt;$B$11,"",COUNTIF($E$4:$E$8,"&lt;="&amp;$A87))</f>
        <v>3</v>
      </c>
      <c r="C87" s="102" t="n">
        <f aca="false">IF($B87="","",$A87-INDEX($E$4:$E$8,$B87))</f>
        <v>15</v>
      </c>
      <c r="D87" s="103" t="b">
        <f aca="false">IF($B87="",FALSE(),$C87=0)</f>
        <v>0</v>
      </c>
      <c r="E87" s="104" t="str">
        <f aca="false">IF($B87="","",INDEX($A$4:$A$8,$B87))</f>
        <v>Knee</v>
      </c>
      <c r="F87" s="104" t="str">
        <f aca="false">IF($B87="","",IF($D87,UPPER($E87),CHOOSE($B87,INDEX(Hip!$I$137:$I$160,$C87),INDEX(Hamstring!$I$137:$I$160,$C87),INDEX(Knee!$I$137:$I$160,$C87),INDEX('Ankle-Foot'!$I$137:$I$160,$C87),INDEX(Shoulder!$I$137:$I$160,$C87))))</f>
        <v/>
      </c>
      <c r="G87" s="104" t="str">
        <f aca="false">IF($B87="","",IF($D87,INDEX($G$4:$G$8,$B87)&amp;"  ·  "&amp;INDEX($H$4:$H$8,$B87),CHOOSE($B87,INDEX(Hip!$C$137:$C$160,$C87),INDEX(Hamstring!$C$137:$C$160,$C87),INDEX(Knee!$C$137:$C$160,$C87),INDEX('Ankle-Foot'!$C$137:$C$160,$C87),INDEX(Shoulder!$C$137:$C$160,$C87))))</f>
        <v>SL Drop Jump RSI</v>
      </c>
      <c r="H87" s="102" t="str">
        <f aca="false">IF(OR($B87="",$D87),"",CHOOSE($B87,INDEX(Hip!$E$137:$E$160,$C87),INDEX(Hamstring!$E$137:$E$160,$C87),INDEX(Knee!$E$137:$E$160,$C87),INDEX('Ankle-Foot'!$E$137:$E$160,$C87),INDEX(Shoulder!$E$137:$E$160,$C87)))</f>
        <v/>
      </c>
      <c r="I87" s="102" t="str">
        <f aca="false">IF(OR($B87="",$D87),"",CHOOSE($B87,INDEX(Hip!$F$137:$F$160,$C87),INDEX(Hamstring!$F$137:$F$160,$C87),INDEX(Knee!$F$137:$F$160,$C87),INDEX('Ankle-Foot'!$F$137:$F$160,$C87),INDEX(Shoulder!$F$137:$F$160,$C87)))</f>
        <v/>
      </c>
      <c r="J87" s="105" t="str">
        <f aca="false">IF(OR($B87="",$D87),"",CHOOSE($B87,INDEX(Hip!$G$137:$G$160,$C87),INDEX(Hamstring!$G$137:$G$160,$C87),INDEX(Knee!$G$137:$G$160,$C87),INDEX('Ankle-Foot'!$G$137:$G$160,$C87),INDEX(Shoulder!$G$137:$G$160,$C87)))</f>
        <v/>
      </c>
      <c r="K87" s="102" t="str">
        <f aca="false">IF(OR($B87="",$D87),"",CHOOSE($B87,INDEX(Hip!$K$137:$K$160,$C87),INDEX(Hamstring!$K$137:$K$160,$C87),INDEX(Knee!$K$137:$K$160,$C87),INDEX('Ankle-Foot'!$K$137:$K$160,$C87),INDEX(Shoulder!$K$137:$K$160,$C87)))</f>
        <v/>
      </c>
      <c r="L87" s="52" t="str">
        <f aca="false">IF($B87="","",IF($D87,INDEX($K$4:$K$8,$B87),CHOOSE($B87,INDEX(Hip!$H$137:$H$160,$C87),INDEX(Hamstring!$H$137:$H$160,$C87),INDEX(Knee!$H$137:$H$160,$C87),INDEX('Ankle-Foot'!$H$137:$H$160,$C87),INDEX(Shoulder!$H$137:$H$160,$C87))))</f>
        <v/>
      </c>
    </row>
    <row r="88" customFormat="false" ht="15" hidden="false" customHeight="false" outlineLevel="0" collapsed="false">
      <c r="A88" s="102" t="n">
        <v>39</v>
      </c>
      <c r="B88" s="102" t="n">
        <f aca="false">IF($A88&gt;$B$11,"",COUNTIF($E$4:$E$8,"&lt;="&amp;$A88))</f>
        <v>3</v>
      </c>
      <c r="C88" s="102" t="n">
        <f aca="false">IF($B88="","",$A88-INDEX($E$4:$E$8,$B88))</f>
        <v>16</v>
      </c>
      <c r="D88" s="103" t="b">
        <f aca="false">IF($B88="",FALSE(),$C88=0)</f>
        <v>0</v>
      </c>
      <c r="E88" s="104" t="str">
        <f aca="false">IF($B88="","",INDEX($A$4:$A$8,$B88))</f>
        <v>Knee</v>
      </c>
      <c r="F88" s="104" t="str">
        <f aca="false">IF($B88="","",IF($D88,UPPER($E88),CHOOSE($B88,INDEX(Hip!$I$137:$I$160,$C88),INDEX(Hamstring!$I$137:$I$160,$C88),INDEX(Knee!$I$137:$I$160,$C88),INDEX('Ankle-Foot'!$I$137:$I$160,$C88),INDEX(Shoulder!$I$137:$I$160,$C88))))</f>
        <v/>
      </c>
      <c r="G88" s="104" t="str">
        <f aca="false">IF($B88="","",IF($D88,INDEX($G$4:$G$8,$B88)&amp;"  ·  "&amp;INDEX($H$4:$H$8,$B88),CHOOSE($B88,INDEX(Hip!$C$137:$C$160,$C88),INDEX(Hamstring!$C$137:$C$160,$C88),INDEX(Knee!$C$137:$C$160,$C88),INDEX('Ankle-Foot'!$C$137:$C$160,$C88),INDEX(Shoulder!$C$137:$C$160,$C88))))</f>
        <v>10-5 Repeated Hops RSI</v>
      </c>
      <c r="H88" s="102" t="n">
        <f aca="false">IF(OR($B88="",$D88),"",CHOOSE($B88,INDEX(Hip!$E$137:$E$160,$C88),INDEX(Hamstring!$E$137:$E$160,$C88),INDEX(Knee!$E$137:$E$160,$C88),INDEX('Ankle-Foot'!$E$137:$E$160,$C88),INDEX(Shoulder!$E$137:$E$160,$C88)))</f>
        <v>1.85</v>
      </c>
      <c r="I88" s="102" t="str">
        <f aca="false">IF(OR($B88="",$D88),"",CHOOSE($B88,INDEX(Hip!$F$137:$F$160,$C88),INDEX(Hamstring!$F$137:$F$160,$C88),INDEX(Knee!$F$137:$F$160,$C88),INDEX('Ankle-Foot'!$F$137:$F$160,$C88),INDEX(Shoulder!$F$137:$F$160,$C88)))</f>
        <v/>
      </c>
      <c r="J88" s="105" t="str">
        <f aca="false">IF(OR($B88="",$D88),"",CHOOSE($B88,INDEX(Hip!$G$137:$G$160,$C88),INDEX(Hamstring!$G$137:$G$160,$C88),INDEX(Knee!$G$137:$G$160,$C88),INDEX('Ankle-Foot'!$G$137:$G$160,$C88),INDEX(Shoulder!$G$137:$G$160,$C88)))</f>
        <v/>
      </c>
      <c r="K88" s="102" t="str">
        <f aca="false">IF(OR($B88="",$D88),"",CHOOSE($B88,INDEX(Hip!$K$137:$K$160,$C88),INDEX(Hamstring!$K$137:$K$160,$C88),INDEX(Knee!$K$137:$K$160,$C88),INDEX('Ankle-Foot'!$K$137:$K$160,$C88),INDEX(Shoulder!$K$137:$K$160,$C88)))</f>
        <v/>
      </c>
      <c r="L88" s="52" t="n">
        <f aca="false">IF($B88="","",IF($D88,INDEX($K$4:$K$8,$B88),CHOOSE($B88,INDEX(Hip!$H$137:$H$160,$C88),INDEX(Hamstring!$H$137:$H$160,$C88),INDEX(Knee!$H$137:$H$160,$C88),INDEX('Ankle-Foot'!$H$137:$H$160,$C88),INDEX(Shoulder!$H$137:$H$160,$C88))))</f>
        <v>46307</v>
      </c>
    </row>
    <row r="89" customFormat="false" ht="15" hidden="false" customHeight="false" outlineLevel="0" collapsed="false">
      <c r="A89" s="102" t="n">
        <v>40</v>
      </c>
      <c r="B89" s="102" t="str">
        <f aca="false">IF($A89&gt;$B$11,"",COUNTIF($E$4:$E$8,"&lt;="&amp;$A89))</f>
        <v/>
      </c>
      <c r="C89" s="102" t="str">
        <f aca="false">IF($B89="","",$A89-INDEX($E$4:$E$8,$B89))</f>
        <v/>
      </c>
      <c r="D89" s="103" t="b">
        <f aca="false">IF($B89="",FALSE(),$C89=0)</f>
        <v>0</v>
      </c>
      <c r="E89" s="104" t="str">
        <f aca="false">IF($B89="","",INDEX($A$4:$A$8,$B89))</f>
        <v/>
      </c>
      <c r="F89" s="104" t="str">
        <f aca="false">IF($B89="","",IF($D89,UPPER($E89),CHOOSE($B89,INDEX(Hip!$I$137:$I$160,$C89),INDEX(Hamstring!$I$137:$I$160,$C89),INDEX(Knee!$I$137:$I$160,$C89),INDEX('Ankle-Foot'!$I$137:$I$160,$C89),INDEX(Shoulder!$I$137:$I$160,$C89))))</f>
        <v/>
      </c>
      <c r="G89" s="104" t="str">
        <f aca="false">IF($B89="","",IF($D89,INDEX($G$4:$G$8,$B89)&amp;"  ·  "&amp;INDEX($H$4:$H$8,$B89),CHOOSE($B89,INDEX(Hip!$C$137:$C$160,$C89),INDEX(Hamstring!$C$137:$C$160,$C89),INDEX(Knee!$C$137:$C$160,$C89),INDEX('Ankle-Foot'!$C$137:$C$160,$C89),INDEX(Shoulder!$C$137:$C$160,$C89))))</f>
        <v/>
      </c>
      <c r="H89" s="102" t="str">
        <f aca="false">IF(OR($B89="",$D89),"",CHOOSE($B89,INDEX(Hip!$E$137:$E$160,$C89),INDEX(Hamstring!$E$137:$E$160,$C89),INDEX(Knee!$E$137:$E$160,$C89),INDEX('Ankle-Foot'!$E$137:$E$160,$C89),INDEX(Shoulder!$E$137:$E$160,$C89)))</f>
        <v/>
      </c>
      <c r="I89" s="102" t="str">
        <f aca="false">IF(OR($B89="",$D89),"",CHOOSE($B89,INDEX(Hip!$F$137:$F$160,$C89),INDEX(Hamstring!$F$137:$F$160,$C89),INDEX(Knee!$F$137:$F$160,$C89),INDEX('Ankle-Foot'!$F$137:$F$160,$C89),INDEX(Shoulder!$F$137:$F$160,$C89)))</f>
        <v/>
      </c>
      <c r="J89" s="105" t="str">
        <f aca="false">IF(OR($B89="",$D89),"",CHOOSE($B89,INDEX(Hip!$G$137:$G$160,$C89),INDEX(Hamstring!$G$137:$G$160,$C89),INDEX(Knee!$G$137:$G$160,$C89),INDEX('Ankle-Foot'!$G$137:$G$160,$C89),INDEX(Shoulder!$G$137:$G$160,$C89)))</f>
        <v/>
      </c>
      <c r="K89" s="102" t="str">
        <f aca="false">IF(OR($B89="",$D89),"",CHOOSE($B89,INDEX(Hip!$K$137:$K$160,$C89),INDEX(Hamstring!$K$137:$K$160,$C89),INDEX(Knee!$K$137:$K$160,$C89),INDEX('Ankle-Foot'!$K$137:$K$160,$C89),INDEX(Shoulder!$K$137:$K$160,$C89)))</f>
        <v/>
      </c>
      <c r="L89" s="52" t="str">
        <f aca="false">IF($B89="","",IF($D89,INDEX($K$4:$K$8,$B89),CHOOSE($B89,INDEX(Hip!$H$137:$H$160,$C89),INDEX(Hamstring!$H$137:$H$160,$C89),INDEX(Knee!$H$137:$H$160,$C89),INDEX('Ankle-Foot'!$H$137:$H$160,$C89),INDEX(Shoulder!$H$137:$H$160,$C89))))</f>
        <v/>
      </c>
    </row>
    <row r="90" customFormat="false" ht="15" hidden="false" customHeight="false" outlineLevel="0" collapsed="false">
      <c r="A90" s="102" t="n">
        <v>41</v>
      </c>
      <c r="B90" s="102" t="str">
        <f aca="false">IF($A90&gt;$B$11,"",COUNTIF($E$4:$E$8,"&lt;="&amp;$A90))</f>
        <v/>
      </c>
      <c r="C90" s="102" t="str">
        <f aca="false">IF($B90="","",$A90-INDEX($E$4:$E$8,$B90))</f>
        <v/>
      </c>
      <c r="D90" s="103" t="b">
        <f aca="false">IF($B90="",FALSE(),$C90=0)</f>
        <v>0</v>
      </c>
      <c r="E90" s="104" t="str">
        <f aca="false">IF($B90="","",INDEX($A$4:$A$8,$B90))</f>
        <v/>
      </c>
      <c r="F90" s="104" t="str">
        <f aca="false">IF($B90="","",IF($D90,UPPER($E90),CHOOSE($B90,INDEX(Hip!$I$137:$I$160,$C90),INDEX(Hamstring!$I$137:$I$160,$C90),INDEX(Knee!$I$137:$I$160,$C90),INDEX('Ankle-Foot'!$I$137:$I$160,$C90),INDEX(Shoulder!$I$137:$I$160,$C90))))</f>
        <v/>
      </c>
      <c r="G90" s="104" t="str">
        <f aca="false">IF($B90="","",IF($D90,INDEX($G$4:$G$8,$B90)&amp;"  ·  "&amp;INDEX($H$4:$H$8,$B90),CHOOSE($B90,INDEX(Hip!$C$137:$C$160,$C90),INDEX(Hamstring!$C$137:$C$160,$C90),INDEX(Knee!$C$137:$C$160,$C90),INDEX('Ankle-Foot'!$C$137:$C$160,$C90),INDEX(Shoulder!$C$137:$C$160,$C90))))</f>
        <v/>
      </c>
      <c r="H90" s="102" t="str">
        <f aca="false">IF(OR($B90="",$D90),"",CHOOSE($B90,INDEX(Hip!$E$137:$E$160,$C90),INDEX(Hamstring!$E$137:$E$160,$C90),INDEX(Knee!$E$137:$E$160,$C90),INDEX('Ankle-Foot'!$E$137:$E$160,$C90),INDEX(Shoulder!$E$137:$E$160,$C90)))</f>
        <v/>
      </c>
      <c r="I90" s="102" t="str">
        <f aca="false">IF(OR($B90="",$D90),"",CHOOSE($B90,INDEX(Hip!$F$137:$F$160,$C90),INDEX(Hamstring!$F$137:$F$160,$C90),INDEX(Knee!$F$137:$F$160,$C90),INDEX('Ankle-Foot'!$F$137:$F$160,$C90),INDEX(Shoulder!$F$137:$F$160,$C90)))</f>
        <v/>
      </c>
      <c r="J90" s="105" t="str">
        <f aca="false">IF(OR($B90="",$D90),"",CHOOSE($B90,INDEX(Hip!$G$137:$G$160,$C90),INDEX(Hamstring!$G$137:$G$160,$C90),INDEX(Knee!$G$137:$G$160,$C90),INDEX('Ankle-Foot'!$G$137:$G$160,$C90),INDEX(Shoulder!$G$137:$G$160,$C90)))</f>
        <v/>
      </c>
      <c r="K90" s="102" t="str">
        <f aca="false">IF(OR($B90="",$D90),"",CHOOSE($B90,INDEX(Hip!$K$137:$K$160,$C90),INDEX(Hamstring!$K$137:$K$160,$C90),INDEX(Knee!$K$137:$K$160,$C90),INDEX('Ankle-Foot'!$K$137:$K$160,$C90),INDEX(Shoulder!$K$137:$K$160,$C90)))</f>
        <v/>
      </c>
      <c r="L90" s="52" t="str">
        <f aca="false">IF($B90="","",IF($D90,INDEX($K$4:$K$8,$B90),CHOOSE($B90,INDEX(Hip!$H$137:$H$160,$C90),INDEX(Hamstring!$H$137:$H$160,$C90),INDEX(Knee!$H$137:$H$160,$C90),INDEX('Ankle-Foot'!$H$137:$H$160,$C90),INDEX(Shoulder!$H$137:$H$160,$C90))))</f>
        <v/>
      </c>
    </row>
    <row r="91" customFormat="false" ht="15" hidden="false" customHeight="false" outlineLevel="0" collapsed="false">
      <c r="A91" s="102" t="n">
        <v>42</v>
      </c>
      <c r="B91" s="102" t="str">
        <f aca="false">IF($A91&gt;$B$11,"",COUNTIF($E$4:$E$8,"&lt;="&amp;$A91))</f>
        <v/>
      </c>
      <c r="C91" s="102" t="str">
        <f aca="false">IF($B91="","",$A91-INDEX($E$4:$E$8,$B91))</f>
        <v/>
      </c>
      <c r="D91" s="103" t="b">
        <f aca="false">IF($B91="",FALSE(),$C91=0)</f>
        <v>0</v>
      </c>
      <c r="E91" s="104" t="str">
        <f aca="false">IF($B91="","",INDEX($A$4:$A$8,$B91))</f>
        <v/>
      </c>
      <c r="F91" s="104" t="str">
        <f aca="false">IF($B91="","",IF($D91,UPPER($E91),CHOOSE($B91,INDEX(Hip!$I$137:$I$160,$C91),INDEX(Hamstring!$I$137:$I$160,$C91),INDEX(Knee!$I$137:$I$160,$C91),INDEX('Ankle-Foot'!$I$137:$I$160,$C91),INDEX(Shoulder!$I$137:$I$160,$C91))))</f>
        <v/>
      </c>
      <c r="G91" s="104" t="str">
        <f aca="false">IF($B91="","",IF($D91,INDEX($G$4:$G$8,$B91)&amp;"  ·  "&amp;INDEX($H$4:$H$8,$B91),CHOOSE($B91,INDEX(Hip!$C$137:$C$160,$C91),INDEX(Hamstring!$C$137:$C$160,$C91),INDEX(Knee!$C$137:$C$160,$C91),INDEX('Ankle-Foot'!$C$137:$C$160,$C91),INDEX(Shoulder!$C$137:$C$160,$C91))))</f>
        <v/>
      </c>
      <c r="H91" s="102" t="str">
        <f aca="false">IF(OR($B91="",$D91),"",CHOOSE($B91,INDEX(Hip!$E$137:$E$160,$C91),INDEX(Hamstring!$E$137:$E$160,$C91),INDEX(Knee!$E$137:$E$160,$C91),INDEX('Ankle-Foot'!$E$137:$E$160,$C91),INDEX(Shoulder!$E$137:$E$160,$C91)))</f>
        <v/>
      </c>
      <c r="I91" s="102" t="str">
        <f aca="false">IF(OR($B91="",$D91),"",CHOOSE($B91,INDEX(Hip!$F$137:$F$160,$C91),INDEX(Hamstring!$F$137:$F$160,$C91),INDEX(Knee!$F$137:$F$160,$C91),INDEX('Ankle-Foot'!$F$137:$F$160,$C91),INDEX(Shoulder!$F$137:$F$160,$C91)))</f>
        <v/>
      </c>
      <c r="J91" s="105" t="str">
        <f aca="false">IF(OR($B91="",$D91),"",CHOOSE($B91,INDEX(Hip!$G$137:$G$160,$C91),INDEX(Hamstring!$G$137:$G$160,$C91),INDEX(Knee!$G$137:$G$160,$C91),INDEX('Ankle-Foot'!$G$137:$G$160,$C91),INDEX(Shoulder!$G$137:$G$160,$C91)))</f>
        <v/>
      </c>
      <c r="K91" s="102" t="str">
        <f aca="false">IF(OR($B91="",$D91),"",CHOOSE($B91,INDEX(Hip!$K$137:$K$160,$C91),INDEX(Hamstring!$K$137:$K$160,$C91),INDEX(Knee!$K$137:$K$160,$C91),INDEX('Ankle-Foot'!$K$137:$K$160,$C91),INDEX(Shoulder!$K$137:$K$160,$C91)))</f>
        <v/>
      </c>
      <c r="L91" s="52" t="str">
        <f aca="false">IF($B91="","",IF($D91,INDEX($K$4:$K$8,$B91),CHOOSE($B91,INDEX(Hip!$H$137:$H$160,$C91),INDEX(Hamstring!$H$137:$H$160,$C91),INDEX(Knee!$H$137:$H$160,$C91),INDEX('Ankle-Foot'!$H$137:$H$160,$C91),INDEX(Shoulder!$H$137:$H$160,$C91))))</f>
        <v/>
      </c>
    </row>
    <row r="92" customFormat="false" ht="15" hidden="false" customHeight="false" outlineLevel="0" collapsed="false">
      <c r="A92" s="102" t="n">
        <v>43</v>
      </c>
      <c r="B92" s="102" t="str">
        <f aca="false">IF($A92&gt;$B$11,"",COUNTIF($E$4:$E$8,"&lt;="&amp;$A92))</f>
        <v/>
      </c>
      <c r="C92" s="102" t="str">
        <f aca="false">IF($B92="","",$A92-INDEX($E$4:$E$8,$B92))</f>
        <v/>
      </c>
      <c r="D92" s="103" t="b">
        <f aca="false">IF($B92="",FALSE(),$C92=0)</f>
        <v>0</v>
      </c>
      <c r="E92" s="104" t="str">
        <f aca="false">IF($B92="","",INDEX($A$4:$A$8,$B92))</f>
        <v/>
      </c>
      <c r="F92" s="104" t="str">
        <f aca="false">IF($B92="","",IF($D92,UPPER($E92),CHOOSE($B92,INDEX(Hip!$I$137:$I$160,$C92),INDEX(Hamstring!$I$137:$I$160,$C92),INDEX(Knee!$I$137:$I$160,$C92),INDEX('Ankle-Foot'!$I$137:$I$160,$C92),INDEX(Shoulder!$I$137:$I$160,$C92))))</f>
        <v/>
      </c>
      <c r="G92" s="104" t="str">
        <f aca="false">IF($B92="","",IF($D92,INDEX($G$4:$G$8,$B92)&amp;"  ·  "&amp;INDEX($H$4:$H$8,$B92),CHOOSE($B92,INDEX(Hip!$C$137:$C$160,$C92),INDEX(Hamstring!$C$137:$C$160,$C92),INDEX(Knee!$C$137:$C$160,$C92),INDEX('Ankle-Foot'!$C$137:$C$160,$C92),INDEX(Shoulder!$C$137:$C$160,$C92))))</f>
        <v/>
      </c>
      <c r="H92" s="102" t="str">
        <f aca="false">IF(OR($B92="",$D92),"",CHOOSE($B92,INDEX(Hip!$E$137:$E$160,$C92),INDEX(Hamstring!$E$137:$E$160,$C92),INDEX(Knee!$E$137:$E$160,$C92),INDEX('Ankle-Foot'!$E$137:$E$160,$C92),INDEX(Shoulder!$E$137:$E$160,$C92)))</f>
        <v/>
      </c>
      <c r="I92" s="102" t="str">
        <f aca="false">IF(OR($B92="",$D92),"",CHOOSE($B92,INDEX(Hip!$F$137:$F$160,$C92),INDEX(Hamstring!$F$137:$F$160,$C92),INDEX(Knee!$F$137:$F$160,$C92),INDEX('Ankle-Foot'!$F$137:$F$160,$C92),INDEX(Shoulder!$F$137:$F$160,$C92)))</f>
        <v/>
      </c>
      <c r="J92" s="105" t="str">
        <f aca="false">IF(OR($B92="",$D92),"",CHOOSE($B92,INDEX(Hip!$G$137:$G$160,$C92),INDEX(Hamstring!$G$137:$G$160,$C92),INDEX(Knee!$G$137:$G$160,$C92),INDEX('Ankle-Foot'!$G$137:$G$160,$C92),INDEX(Shoulder!$G$137:$G$160,$C92)))</f>
        <v/>
      </c>
      <c r="K92" s="102" t="str">
        <f aca="false">IF(OR($B92="",$D92),"",CHOOSE($B92,INDEX(Hip!$K$137:$K$160,$C92),INDEX(Hamstring!$K$137:$K$160,$C92),INDEX(Knee!$K$137:$K$160,$C92),INDEX('Ankle-Foot'!$K$137:$K$160,$C92),INDEX(Shoulder!$K$137:$K$160,$C92)))</f>
        <v/>
      </c>
      <c r="L92" s="52" t="str">
        <f aca="false">IF($B92="","",IF($D92,INDEX($K$4:$K$8,$B92),CHOOSE($B92,INDEX(Hip!$H$137:$H$160,$C92),INDEX(Hamstring!$H$137:$H$160,$C92),INDEX(Knee!$H$137:$H$160,$C92),INDEX('Ankle-Foot'!$H$137:$H$160,$C92),INDEX(Shoulder!$H$137:$H$160,$C92))))</f>
        <v/>
      </c>
    </row>
    <row r="93" customFormat="false" ht="15" hidden="false" customHeight="false" outlineLevel="0" collapsed="false">
      <c r="A93" s="102" t="n">
        <v>44</v>
      </c>
      <c r="B93" s="102" t="str">
        <f aca="false">IF($A93&gt;$B$11,"",COUNTIF($E$4:$E$8,"&lt;="&amp;$A93))</f>
        <v/>
      </c>
      <c r="C93" s="102" t="str">
        <f aca="false">IF($B93="","",$A93-INDEX($E$4:$E$8,$B93))</f>
        <v/>
      </c>
      <c r="D93" s="103" t="b">
        <f aca="false">IF($B93="",FALSE(),$C93=0)</f>
        <v>0</v>
      </c>
      <c r="E93" s="104" t="str">
        <f aca="false">IF($B93="","",INDEX($A$4:$A$8,$B93))</f>
        <v/>
      </c>
      <c r="F93" s="104" t="str">
        <f aca="false">IF($B93="","",IF($D93,UPPER($E93),CHOOSE($B93,INDEX(Hip!$I$137:$I$160,$C93),INDEX(Hamstring!$I$137:$I$160,$C93),INDEX(Knee!$I$137:$I$160,$C93),INDEX('Ankle-Foot'!$I$137:$I$160,$C93),INDEX(Shoulder!$I$137:$I$160,$C93))))</f>
        <v/>
      </c>
      <c r="G93" s="104" t="str">
        <f aca="false">IF($B93="","",IF($D93,INDEX($G$4:$G$8,$B93)&amp;"  ·  "&amp;INDEX($H$4:$H$8,$B93),CHOOSE($B93,INDEX(Hip!$C$137:$C$160,$C93),INDEX(Hamstring!$C$137:$C$160,$C93),INDEX(Knee!$C$137:$C$160,$C93),INDEX('Ankle-Foot'!$C$137:$C$160,$C93),INDEX(Shoulder!$C$137:$C$160,$C93))))</f>
        <v/>
      </c>
      <c r="H93" s="102" t="str">
        <f aca="false">IF(OR($B93="",$D93),"",CHOOSE($B93,INDEX(Hip!$E$137:$E$160,$C93),INDEX(Hamstring!$E$137:$E$160,$C93),INDEX(Knee!$E$137:$E$160,$C93),INDEX('Ankle-Foot'!$E$137:$E$160,$C93),INDEX(Shoulder!$E$137:$E$160,$C93)))</f>
        <v/>
      </c>
      <c r="I93" s="102" t="str">
        <f aca="false">IF(OR($B93="",$D93),"",CHOOSE($B93,INDEX(Hip!$F$137:$F$160,$C93),INDEX(Hamstring!$F$137:$F$160,$C93),INDEX(Knee!$F$137:$F$160,$C93),INDEX('Ankle-Foot'!$F$137:$F$160,$C93),INDEX(Shoulder!$F$137:$F$160,$C93)))</f>
        <v/>
      </c>
      <c r="J93" s="105" t="str">
        <f aca="false">IF(OR($B93="",$D93),"",CHOOSE($B93,INDEX(Hip!$G$137:$G$160,$C93),INDEX(Hamstring!$G$137:$G$160,$C93),INDEX(Knee!$G$137:$G$160,$C93),INDEX('Ankle-Foot'!$G$137:$G$160,$C93),INDEX(Shoulder!$G$137:$G$160,$C93)))</f>
        <v/>
      </c>
      <c r="K93" s="102" t="str">
        <f aca="false">IF(OR($B93="",$D93),"",CHOOSE($B93,INDEX(Hip!$K$137:$K$160,$C93),INDEX(Hamstring!$K$137:$K$160,$C93),INDEX(Knee!$K$137:$K$160,$C93),INDEX('Ankle-Foot'!$K$137:$K$160,$C93),INDEX(Shoulder!$K$137:$K$160,$C93)))</f>
        <v/>
      </c>
      <c r="L93" s="52" t="str">
        <f aca="false">IF($B93="","",IF($D93,INDEX($K$4:$K$8,$B93),CHOOSE($B93,INDEX(Hip!$H$137:$H$160,$C93),INDEX(Hamstring!$H$137:$H$160,$C93),INDEX(Knee!$H$137:$H$160,$C93),INDEX('Ankle-Foot'!$H$137:$H$160,$C93),INDEX(Shoulder!$H$137:$H$160,$C93))))</f>
        <v/>
      </c>
    </row>
    <row r="94" customFormat="false" ht="15" hidden="false" customHeight="false" outlineLevel="0" collapsed="false">
      <c r="A94" s="102" t="n">
        <v>45</v>
      </c>
      <c r="B94" s="102" t="str">
        <f aca="false">IF($A94&gt;$B$11,"",COUNTIF($E$4:$E$8,"&lt;="&amp;$A94))</f>
        <v/>
      </c>
      <c r="C94" s="102" t="str">
        <f aca="false">IF($B94="","",$A94-INDEX($E$4:$E$8,$B94))</f>
        <v/>
      </c>
      <c r="D94" s="103" t="b">
        <f aca="false">IF($B94="",FALSE(),$C94=0)</f>
        <v>0</v>
      </c>
      <c r="E94" s="104" t="str">
        <f aca="false">IF($B94="","",INDEX($A$4:$A$8,$B94))</f>
        <v/>
      </c>
      <c r="F94" s="104" t="str">
        <f aca="false">IF($B94="","",IF($D94,UPPER($E94),CHOOSE($B94,INDEX(Hip!$I$137:$I$160,$C94),INDEX(Hamstring!$I$137:$I$160,$C94),INDEX(Knee!$I$137:$I$160,$C94),INDEX('Ankle-Foot'!$I$137:$I$160,$C94),INDEX(Shoulder!$I$137:$I$160,$C94))))</f>
        <v/>
      </c>
      <c r="G94" s="104" t="str">
        <f aca="false">IF($B94="","",IF($D94,INDEX($G$4:$G$8,$B94)&amp;"  ·  "&amp;INDEX($H$4:$H$8,$B94),CHOOSE($B94,INDEX(Hip!$C$137:$C$160,$C94),INDEX(Hamstring!$C$137:$C$160,$C94),INDEX(Knee!$C$137:$C$160,$C94),INDEX('Ankle-Foot'!$C$137:$C$160,$C94),INDEX(Shoulder!$C$137:$C$160,$C94))))</f>
        <v/>
      </c>
      <c r="H94" s="102" t="str">
        <f aca="false">IF(OR($B94="",$D94),"",CHOOSE($B94,INDEX(Hip!$E$137:$E$160,$C94),INDEX(Hamstring!$E$137:$E$160,$C94),INDEX(Knee!$E$137:$E$160,$C94),INDEX('Ankle-Foot'!$E$137:$E$160,$C94),INDEX(Shoulder!$E$137:$E$160,$C94)))</f>
        <v/>
      </c>
      <c r="I94" s="102" t="str">
        <f aca="false">IF(OR($B94="",$D94),"",CHOOSE($B94,INDEX(Hip!$F$137:$F$160,$C94),INDEX(Hamstring!$F$137:$F$160,$C94),INDEX(Knee!$F$137:$F$160,$C94),INDEX('Ankle-Foot'!$F$137:$F$160,$C94),INDEX(Shoulder!$F$137:$F$160,$C94)))</f>
        <v/>
      </c>
      <c r="J94" s="105" t="str">
        <f aca="false">IF(OR($B94="",$D94),"",CHOOSE($B94,INDEX(Hip!$G$137:$G$160,$C94),INDEX(Hamstring!$G$137:$G$160,$C94),INDEX(Knee!$G$137:$G$160,$C94),INDEX('Ankle-Foot'!$G$137:$G$160,$C94),INDEX(Shoulder!$G$137:$G$160,$C94)))</f>
        <v/>
      </c>
      <c r="K94" s="102" t="str">
        <f aca="false">IF(OR($B94="",$D94),"",CHOOSE($B94,INDEX(Hip!$K$137:$K$160,$C94),INDEX(Hamstring!$K$137:$K$160,$C94),INDEX(Knee!$K$137:$K$160,$C94),INDEX('Ankle-Foot'!$K$137:$K$160,$C94),INDEX(Shoulder!$K$137:$K$160,$C94)))</f>
        <v/>
      </c>
      <c r="L94" s="52" t="str">
        <f aca="false">IF($B94="","",IF($D94,INDEX($K$4:$K$8,$B94),CHOOSE($B94,INDEX(Hip!$H$137:$H$160,$C94),INDEX(Hamstring!$H$137:$H$160,$C94),INDEX(Knee!$H$137:$H$160,$C94),INDEX('Ankle-Foot'!$H$137:$H$160,$C94),INDEX(Shoulder!$H$137:$H$160,$C94))))</f>
        <v/>
      </c>
    </row>
    <row r="95" customFormat="false" ht="15" hidden="false" customHeight="false" outlineLevel="0" collapsed="false">
      <c r="A95" s="102" t="n">
        <v>46</v>
      </c>
      <c r="B95" s="102" t="str">
        <f aca="false">IF($A95&gt;$B$11,"",COUNTIF($E$4:$E$8,"&lt;="&amp;$A95))</f>
        <v/>
      </c>
      <c r="C95" s="102" t="str">
        <f aca="false">IF($B95="","",$A95-INDEX($E$4:$E$8,$B95))</f>
        <v/>
      </c>
      <c r="D95" s="103" t="b">
        <f aca="false">IF($B95="",FALSE(),$C95=0)</f>
        <v>0</v>
      </c>
      <c r="E95" s="104" t="str">
        <f aca="false">IF($B95="","",INDEX($A$4:$A$8,$B95))</f>
        <v/>
      </c>
      <c r="F95" s="104" t="str">
        <f aca="false">IF($B95="","",IF($D95,UPPER($E95),CHOOSE($B95,INDEX(Hip!$I$137:$I$160,$C95),INDEX(Hamstring!$I$137:$I$160,$C95),INDEX(Knee!$I$137:$I$160,$C95),INDEX('Ankle-Foot'!$I$137:$I$160,$C95),INDEX(Shoulder!$I$137:$I$160,$C95))))</f>
        <v/>
      </c>
      <c r="G95" s="104" t="str">
        <f aca="false">IF($B95="","",IF($D95,INDEX($G$4:$G$8,$B95)&amp;"  ·  "&amp;INDEX($H$4:$H$8,$B95),CHOOSE($B95,INDEX(Hip!$C$137:$C$160,$C95),INDEX(Hamstring!$C$137:$C$160,$C95),INDEX(Knee!$C$137:$C$160,$C95),INDEX('Ankle-Foot'!$C$137:$C$160,$C95),INDEX(Shoulder!$C$137:$C$160,$C95))))</f>
        <v/>
      </c>
      <c r="H95" s="102" t="str">
        <f aca="false">IF(OR($B95="",$D95),"",CHOOSE($B95,INDEX(Hip!$E$137:$E$160,$C95),INDEX(Hamstring!$E$137:$E$160,$C95),INDEX(Knee!$E$137:$E$160,$C95),INDEX('Ankle-Foot'!$E$137:$E$160,$C95),INDEX(Shoulder!$E$137:$E$160,$C95)))</f>
        <v/>
      </c>
      <c r="I95" s="102" t="str">
        <f aca="false">IF(OR($B95="",$D95),"",CHOOSE($B95,INDEX(Hip!$F$137:$F$160,$C95),INDEX(Hamstring!$F$137:$F$160,$C95),INDEX(Knee!$F$137:$F$160,$C95),INDEX('Ankle-Foot'!$F$137:$F$160,$C95),INDEX(Shoulder!$F$137:$F$160,$C95)))</f>
        <v/>
      </c>
      <c r="J95" s="105" t="str">
        <f aca="false">IF(OR($B95="",$D95),"",CHOOSE($B95,INDEX(Hip!$G$137:$G$160,$C95),INDEX(Hamstring!$G$137:$G$160,$C95),INDEX(Knee!$G$137:$G$160,$C95),INDEX('Ankle-Foot'!$G$137:$G$160,$C95),INDEX(Shoulder!$G$137:$G$160,$C95)))</f>
        <v/>
      </c>
      <c r="K95" s="102" t="str">
        <f aca="false">IF(OR($B95="",$D95),"",CHOOSE($B95,INDEX(Hip!$K$137:$K$160,$C95),INDEX(Hamstring!$K$137:$K$160,$C95),INDEX(Knee!$K$137:$K$160,$C95),INDEX('Ankle-Foot'!$K$137:$K$160,$C95),INDEX(Shoulder!$K$137:$K$160,$C95)))</f>
        <v/>
      </c>
      <c r="L95" s="52" t="str">
        <f aca="false">IF($B95="","",IF($D95,INDEX($K$4:$K$8,$B95),CHOOSE($B95,INDEX(Hip!$H$137:$H$160,$C95),INDEX(Hamstring!$H$137:$H$160,$C95),INDEX(Knee!$H$137:$H$160,$C95),INDEX('Ankle-Foot'!$H$137:$H$160,$C95),INDEX(Shoulder!$H$137:$H$160,$C95))))</f>
        <v/>
      </c>
    </row>
    <row r="96" customFormat="false" ht="15" hidden="false" customHeight="false" outlineLevel="0" collapsed="false">
      <c r="A96" s="102" t="n">
        <v>47</v>
      </c>
      <c r="B96" s="102" t="str">
        <f aca="false">IF($A96&gt;$B$11,"",COUNTIF($E$4:$E$8,"&lt;="&amp;$A96))</f>
        <v/>
      </c>
      <c r="C96" s="102" t="str">
        <f aca="false">IF($B96="","",$A96-INDEX($E$4:$E$8,$B96))</f>
        <v/>
      </c>
      <c r="D96" s="103" t="b">
        <f aca="false">IF($B96="",FALSE(),$C96=0)</f>
        <v>0</v>
      </c>
      <c r="E96" s="104" t="str">
        <f aca="false">IF($B96="","",INDEX($A$4:$A$8,$B96))</f>
        <v/>
      </c>
      <c r="F96" s="104" t="str">
        <f aca="false">IF($B96="","",IF($D96,UPPER($E96),CHOOSE($B96,INDEX(Hip!$I$137:$I$160,$C96),INDEX(Hamstring!$I$137:$I$160,$C96),INDEX(Knee!$I$137:$I$160,$C96),INDEX('Ankle-Foot'!$I$137:$I$160,$C96),INDEX(Shoulder!$I$137:$I$160,$C96))))</f>
        <v/>
      </c>
      <c r="G96" s="104" t="str">
        <f aca="false">IF($B96="","",IF($D96,INDEX($G$4:$G$8,$B96)&amp;"  ·  "&amp;INDEX($H$4:$H$8,$B96),CHOOSE($B96,INDEX(Hip!$C$137:$C$160,$C96),INDEX(Hamstring!$C$137:$C$160,$C96),INDEX(Knee!$C$137:$C$160,$C96),INDEX('Ankle-Foot'!$C$137:$C$160,$C96),INDEX(Shoulder!$C$137:$C$160,$C96))))</f>
        <v/>
      </c>
      <c r="H96" s="102" t="str">
        <f aca="false">IF(OR($B96="",$D96),"",CHOOSE($B96,INDEX(Hip!$E$137:$E$160,$C96),INDEX(Hamstring!$E$137:$E$160,$C96),INDEX(Knee!$E$137:$E$160,$C96),INDEX('Ankle-Foot'!$E$137:$E$160,$C96),INDEX(Shoulder!$E$137:$E$160,$C96)))</f>
        <v/>
      </c>
      <c r="I96" s="102" t="str">
        <f aca="false">IF(OR($B96="",$D96),"",CHOOSE($B96,INDEX(Hip!$F$137:$F$160,$C96),INDEX(Hamstring!$F$137:$F$160,$C96),INDEX(Knee!$F$137:$F$160,$C96),INDEX('Ankle-Foot'!$F$137:$F$160,$C96),INDEX(Shoulder!$F$137:$F$160,$C96)))</f>
        <v/>
      </c>
      <c r="J96" s="105" t="str">
        <f aca="false">IF(OR($B96="",$D96),"",CHOOSE($B96,INDEX(Hip!$G$137:$G$160,$C96),INDEX(Hamstring!$G$137:$G$160,$C96),INDEX(Knee!$G$137:$G$160,$C96),INDEX('Ankle-Foot'!$G$137:$G$160,$C96),INDEX(Shoulder!$G$137:$G$160,$C96)))</f>
        <v/>
      </c>
      <c r="K96" s="102" t="str">
        <f aca="false">IF(OR($B96="",$D96),"",CHOOSE($B96,INDEX(Hip!$K$137:$K$160,$C96),INDEX(Hamstring!$K$137:$K$160,$C96),INDEX(Knee!$K$137:$K$160,$C96),INDEX('Ankle-Foot'!$K$137:$K$160,$C96),INDEX(Shoulder!$K$137:$K$160,$C96)))</f>
        <v/>
      </c>
      <c r="L96" s="52" t="str">
        <f aca="false">IF($B96="","",IF($D96,INDEX($K$4:$K$8,$B96),CHOOSE($B96,INDEX(Hip!$H$137:$H$160,$C96),INDEX(Hamstring!$H$137:$H$160,$C96),INDEX(Knee!$H$137:$H$160,$C96),INDEX('Ankle-Foot'!$H$137:$H$160,$C96),INDEX(Shoulder!$H$137:$H$160,$C96))))</f>
        <v/>
      </c>
    </row>
    <row r="97" customFormat="false" ht="15" hidden="false" customHeight="false" outlineLevel="0" collapsed="false">
      <c r="A97" s="102" t="n">
        <v>48</v>
      </c>
      <c r="B97" s="102" t="str">
        <f aca="false">IF($A97&gt;$B$11,"",COUNTIF($E$4:$E$8,"&lt;="&amp;$A97))</f>
        <v/>
      </c>
      <c r="C97" s="102" t="str">
        <f aca="false">IF($B97="","",$A97-INDEX($E$4:$E$8,$B97))</f>
        <v/>
      </c>
      <c r="D97" s="103" t="b">
        <f aca="false">IF($B97="",FALSE(),$C97=0)</f>
        <v>0</v>
      </c>
      <c r="E97" s="104" t="str">
        <f aca="false">IF($B97="","",INDEX($A$4:$A$8,$B97))</f>
        <v/>
      </c>
      <c r="F97" s="104" t="str">
        <f aca="false">IF($B97="","",IF($D97,UPPER($E97),CHOOSE($B97,INDEX(Hip!$I$137:$I$160,$C97),INDEX(Hamstring!$I$137:$I$160,$C97),INDEX(Knee!$I$137:$I$160,$C97),INDEX('Ankle-Foot'!$I$137:$I$160,$C97),INDEX(Shoulder!$I$137:$I$160,$C97))))</f>
        <v/>
      </c>
      <c r="G97" s="104" t="str">
        <f aca="false">IF($B97="","",IF($D97,INDEX($G$4:$G$8,$B97)&amp;"  ·  "&amp;INDEX($H$4:$H$8,$B97),CHOOSE($B97,INDEX(Hip!$C$137:$C$160,$C97),INDEX(Hamstring!$C$137:$C$160,$C97),INDEX(Knee!$C$137:$C$160,$C97),INDEX('Ankle-Foot'!$C$137:$C$160,$C97),INDEX(Shoulder!$C$137:$C$160,$C97))))</f>
        <v/>
      </c>
      <c r="H97" s="102" t="str">
        <f aca="false">IF(OR($B97="",$D97),"",CHOOSE($B97,INDEX(Hip!$E$137:$E$160,$C97),INDEX(Hamstring!$E$137:$E$160,$C97),INDEX(Knee!$E$137:$E$160,$C97),INDEX('Ankle-Foot'!$E$137:$E$160,$C97),INDEX(Shoulder!$E$137:$E$160,$C97)))</f>
        <v/>
      </c>
      <c r="I97" s="102" t="str">
        <f aca="false">IF(OR($B97="",$D97),"",CHOOSE($B97,INDEX(Hip!$F$137:$F$160,$C97),INDEX(Hamstring!$F$137:$F$160,$C97),INDEX(Knee!$F$137:$F$160,$C97),INDEX('Ankle-Foot'!$F$137:$F$160,$C97),INDEX(Shoulder!$F$137:$F$160,$C97)))</f>
        <v/>
      </c>
      <c r="J97" s="105" t="str">
        <f aca="false">IF(OR($B97="",$D97),"",CHOOSE($B97,INDEX(Hip!$G$137:$G$160,$C97),INDEX(Hamstring!$G$137:$G$160,$C97),INDEX(Knee!$G$137:$G$160,$C97),INDEX('Ankle-Foot'!$G$137:$G$160,$C97),INDEX(Shoulder!$G$137:$G$160,$C97)))</f>
        <v/>
      </c>
      <c r="K97" s="102" t="str">
        <f aca="false">IF(OR($B97="",$D97),"",CHOOSE($B97,INDEX(Hip!$K$137:$K$160,$C97),INDEX(Hamstring!$K$137:$K$160,$C97),INDEX(Knee!$K$137:$K$160,$C97),INDEX('Ankle-Foot'!$K$137:$K$160,$C97),INDEX(Shoulder!$K$137:$K$160,$C97)))</f>
        <v/>
      </c>
      <c r="L97" s="52" t="str">
        <f aca="false">IF($B97="","",IF($D97,INDEX($K$4:$K$8,$B97),CHOOSE($B97,INDEX(Hip!$H$137:$H$160,$C97),INDEX(Hamstring!$H$137:$H$160,$C97),INDEX(Knee!$H$137:$H$160,$C97),INDEX('Ankle-Foot'!$H$137:$H$160,$C97),INDEX(Shoulder!$H$137:$H$160,$C97))))</f>
        <v/>
      </c>
    </row>
    <row r="98" customFormat="false" ht="15" hidden="false" customHeight="false" outlineLevel="0" collapsed="false">
      <c r="A98" s="102" t="n">
        <v>49</v>
      </c>
      <c r="B98" s="102" t="str">
        <f aca="false">IF($A98&gt;$B$11,"",COUNTIF($E$4:$E$8,"&lt;="&amp;$A98))</f>
        <v/>
      </c>
      <c r="C98" s="102" t="str">
        <f aca="false">IF($B98="","",$A98-INDEX($E$4:$E$8,$B98))</f>
        <v/>
      </c>
      <c r="D98" s="103" t="b">
        <f aca="false">IF($B98="",FALSE(),$C98=0)</f>
        <v>0</v>
      </c>
      <c r="E98" s="104" t="str">
        <f aca="false">IF($B98="","",INDEX($A$4:$A$8,$B98))</f>
        <v/>
      </c>
      <c r="F98" s="104" t="str">
        <f aca="false">IF($B98="","",IF($D98,UPPER($E98),CHOOSE($B98,INDEX(Hip!$I$137:$I$160,$C98),INDEX(Hamstring!$I$137:$I$160,$C98),INDEX(Knee!$I$137:$I$160,$C98),INDEX('Ankle-Foot'!$I$137:$I$160,$C98),INDEX(Shoulder!$I$137:$I$160,$C98))))</f>
        <v/>
      </c>
      <c r="G98" s="104" t="str">
        <f aca="false">IF($B98="","",IF($D98,INDEX($G$4:$G$8,$B98)&amp;"  ·  "&amp;INDEX($H$4:$H$8,$B98),CHOOSE($B98,INDEX(Hip!$C$137:$C$160,$C98),INDEX(Hamstring!$C$137:$C$160,$C98),INDEX(Knee!$C$137:$C$160,$C98),INDEX('Ankle-Foot'!$C$137:$C$160,$C98),INDEX(Shoulder!$C$137:$C$160,$C98))))</f>
        <v/>
      </c>
      <c r="H98" s="102" t="str">
        <f aca="false">IF(OR($B98="",$D98),"",CHOOSE($B98,INDEX(Hip!$E$137:$E$160,$C98),INDEX(Hamstring!$E$137:$E$160,$C98),INDEX(Knee!$E$137:$E$160,$C98),INDEX('Ankle-Foot'!$E$137:$E$160,$C98),INDEX(Shoulder!$E$137:$E$160,$C98)))</f>
        <v/>
      </c>
      <c r="I98" s="102" t="str">
        <f aca="false">IF(OR($B98="",$D98),"",CHOOSE($B98,INDEX(Hip!$F$137:$F$160,$C98),INDEX(Hamstring!$F$137:$F$160,$C98),INDEX(Knee!$F$137:$F$160,$C98),INDEX('Ankle-Foot'!$F$137:$F$160,$C98),INDEX(Shoulder!$F$137:$F$160,$C98)))</f>
        <v/>
      </c>
      <c r="J98" s="105" t="str">
        <f aca="false">IF(OR($B98="",$D98),"",CHOOSE($B98,INDEX(Hip!$G$137:$G$160,$C98),INDEX(Hamstring!$G$137:$G$160,$C98),INDEX(Knee!$G$137:$G$160,$C98),INDEX('Ankle-Foot'!$G$137:$G$160,$C98),INDEX(Shoulder!$G$137:$G$160,$C98)))</f>
        <v/>
      </c>
      <c r="K98" s="102" t="str">
        <f aca="false">IF(OR($B98="",$D98),"",CHOOSE($B98,INDEX(Hip!$K$137:$K$160,$C98),INDEX(Hamstring!$K$137:$K$160,$C98),INDEX(Knee!$K$137:$K$160,$C98),INDEX('Ankle-Foot'!$K$137:$K$160,$C98),INDEX(Shoulder!$K$137:$K$160,$C98)))</f>
        <v/>
      </c>
      <c r="L98" s="52" t="str">
        <f aca="false">IF($B98="","",IF($D98,INDEX($K$4:$K$8,$B98),CHOOSE($B98,INDEX(Hip!$H$137:$H$160,$C98),INDEX(Hamstring!$H$137:$H$160,$C98),INDEX(Knee!$H$137:$H$160,$C98),INDEX('Ankle-Foot'!$H$137:$H$160,$C98),INDEX(Shoulder!$H$137:$H$160,$C98))))</f>
        <v/>
      </c>
    </row>
    <row r="99" customFormat="false" ht="15" hidden="false" customHeight="false" outlineLevel="0" collapsed="false">
      <c r="A99" s="102" t="n">
        <v>50</v>
      </c>
      <c r="B99" s="102" t="str">
        <f aca="false">IF($A99&gt;$B$11,"",COUNTIF($E$4:$E$8,"&lt;="&amp;$A99))</f>
        <v/>
      </c>
      <c r="C99" s="102" t="str">
        <f aca="false">IF($B99="","",$A99-INDEX($E$4:$E$8,$B99))</f>
        <v/>
      </c>
      <c r="D99" s="103" t="b">
        <f aca="false">IF($B99="",FALSE(),$C99=0)</f>
        <v>0</v>
      </c>
      <c r="E99" s="104" t="str">
        <f aca="false">IF($B99="","",INDEX($A$4:$A$8,$B99))</f>
        <v/>
      </c>
      <c r="F99" s="104" t="str">
        <f aca="false">IF($B99="","",IF($D99,UPPER($E99),CHOOSE($B99,INDEX(Hip!$I$137:$I$160,$C99),INDEX(Hamstring!$I$137:$I$160,$C99),INDEX(Knee!$I$137:$I$160,$C99),INDEX('Ankle-Foot'!$I$137:$I$160,$C99),INDEX(Shoulder!$I$137:$I$160,$C99))))</f>
        <v/>
      </c>
      <c r="G99" s="104" t="str">
        <f aca="false">IF($B99="","",IF($D99,INDEX($G$4:$G$8,$B99)&amp;"  ·  "&amp;INDEX($H$4:$H$8,$B99),CHOOSE($B99,INDEX(Hip!$C$137:$C$160,$C99),INDEX(Hamstring!$C$137:$C$160,$C99),INDEX(Knee!$C$137:$C$160,$C99),INDEX('Ankle-Foot'!$C$137:$C$160,$C99),INDEX(Shoulder!$C$137:$C$160,$C99))))</f>
        <v/>
      </c>
      <c r="H99" s="102" t="str">
        <f aca="false">IF(OR($B99="",$D99),"",CHOOSE($B99,INDEX(Hip!$E$137:$E$160,$C99),INDEX(Hamstring!$E$137:$E$160,$C99),INDEX(Knee!$E$137:$E$160,$C99),INDEX('Ankle-Foot'!$E$137:$E$160,$C99),INDEX(Shoulder!$E$137:$E$160,$C99)))</f>
        <v/>
      </c>
      <c r="I99" s="102" t="str">
        <f aca="false">IF(OR($B99="",$D99),"",CHOOSE($B99,INDEX(Hip!$F$137:$F$160,$C99),INDEX(Hamstring!$F$137:$F$160,$C99),INDEX(Knee!$F$137:$F$160,$C99),INDEX('Ankle-Foot'!$F$137:$F$160,$C99),INDEX(Shoulder!$F$137:$F$160,$C99)))</f>
        <v/>
      </c>
      <c r="J99" s="105" t="str">
        <f aca="false">IF(OR($B99="",$D99),"",CHOOSE($B99,INDEX(Hip!$G$137:$G$160,$C99),INDEX(Hamstring!$G$137:$G$160,$C99),INDEX(Knee!$G$137:$G$160,$C99),INDEX('Ankle-Foot'!$G$137:$G$160,$C99),INDEX(Shoulder!$G$137:$G$160,$C99)))</f>
        <v/>
      </c>
      <c r="K99" s="102" t="str">
        <f aca="false">IF(OR($B99="",$D99),"",CHOOSE($B99,INDEX(Hip!$K$137:$K$160,$C99),INDEX(Hamstring!$K$137:$K$160,$C99),INDEX(Knee!$K$137:$K$160,$C99),INDEX('Ankle-Foot'!$K$137:$K$160,$C99),INDEX(Shoulder!$K$137:$K$160,$C99)))</f>
        <v/>
      </c>
      <c r="L99" s="52" t="str">
        <f aca="false">IF($B99="","",IF($D99,INDEX($K$4:$K$8,$B99),CHOOSE($B99,INDEX(Hip!$H$137:$H$160,$C99),INDEX(Hamstring!$H$137:$H$160,$C99),INDEX(Knee!$H$137:$H$160,$C99),INDEX('Ankle-Foot'!$H$137:$H$160,$C99),INDEX(Shoulder!$H$137:$H$160,$C99))))</f>
        <v/>
      </c>
    </row>
    <row r="100" customFormat="false" ht="15" hidden="false" customHeight="false" outlineLevel="0" collapsed="false">
      <c r="A100" s="102" t="n">
        <v>51</v>
      </c>
      <c r="B100" s="102" t="str">
        <f aca="false">IF($A100&gt;$B$11,"",COUNTIF($E$4:$E$8,"&lt;="&amp;$A100))</f>
        <v/>
      </c>
      <c r="C100" s="102" t="str">
        <f aca="false">IF($B100="","",$A100-INDEX($E$4:$E$8,$B100))</f>
        <v/>
      </c>
      <c r="D100" s="103" t="b">
        <f aca="false">IF($B100="",FALSE(),$C100=0)</f>
        <v>0</v>
      </c>
      <c r="E100" s="104" t="str">
        <f aca="false">IF($B100="","",INDEX($A$4:$A$8,$B100))</f>
        <v/>
      </c>
      <c r="F100" s="104" t="str">
        <f aca="false">IF($B100="","",IF($D100,UPPER($E100),CHOOSE($B100,INDEX(Hip!$I$137:$I$160,$C100),INDEX(Hamstring!$I$137:$I$160,$C100),INDEX(Knee!$I$137:$I$160,$C100),INDEX('Ankle-Foot'!$I$137:$I$160,$C100),INDEX(Shoulder!$I$137:$I$160,$C100))))</f>
        <v/>
      </c>
      <c r="G100" s="104" t="str">
        <f aca="false">IF($B100="","",IF($D100,INDEX($G$4:$G$8,$B100)&amp;"  ·  "&amp;INDEX($H$4:$H$8,$B100),CHOOSE($B100,INDEX(Hip!$C$137:$C$160,$C100),INDEX(Hamstring!$C$137:$C$160,$C100),INDEX(Knee!$C$137:$C$160,$C100),INDEX('Ankle-Foot'!$C$137:$C$160,$C100),INDEX(Shoulder!$C$137:$C$160,$C100))))</f>
        <v/>
      </c>
      <c r="H100" s="102" t="str">
        <f aca="false">IF(OR($B100="",$D100),"",CHOOSE($B100,INDEX(Hip!$E$137:$E$160,$C100),INDEX(Hamstring!$E$137:$E$160,$C100),INDEX(Knee!$E$137:$E$160,$C100),INDEX('Ankle-Foot'!$E$137:$E$160,$C100),INDEX(Shoulder!$E$137:$E$160,$C100)))</f>
        <v/>
      </c>
      <c r="I100" s="102" t="str">
        <f aca="false">IF(OR($B100="",$D100),"",CHOOSE($B100,INDEX(Hip!$F$137:$F$160,$C100),INDEX(Hamstring!$F$137:$F$160,$C100),INDEX(Knee!$F$137:$F$160,$C100),INDEX('Ankle-Foot'!$F$137:$F$160,$C100),INDEX(Shoulder!$F$137:$F$160,$C100)))</f>
        <v/>
      </c>
      <c r="J100" s="105" t="str">
        <f aca="false">IF(OR($B100="",$D100),"",CHOOSE($B100,INDEX(Hip!$G$137:$G$160,$C100),INDEX(Hamstring!$G$137:$G$160,$C100),INDEX(Knee!$G$137:$G$160,$C100),INDEX('Ankle-Foot'!$G$137:$G$160,$C100),INDEX(Shoulder!$G$137:$G$160,$C100)))</f>
        <v/>
      </c>
      <c r="K100" s="102" t="str">
        <f aca="false">IF(OR($B100="",$D100),"",CHOOSE($B100,INDEX(Hip!$K$137:$K$160,$C100),INDEX(Hamstring!$K$137:$K$160,$C100),INDEX(Knee!$K$137:$K$160,$C100),INDEX('Ankle-Foot'!$K$137:$K$160,$C100),INDEX(Shoulder!$K$137:$K$160,$C100)))</f>
        <v/>
      </c>
      <c r="L100" s="52" t="str">
        <f aca="false">IF($B100="","",IF($D100,INDEX($K$4:$K$8,$B100),CHOOSE($B100,INDEX(Hip!$H$137:$H$160,$C100),INDEX(Hamstring!$H$137:$H$160,$C100),INDEX(Knee!$H$137:$H$160,$C100),INDEX('Ankle-Foot'!$H$137:$H$160,$C100),INDEX(Shoulder!$H$137:$H$160,$C100))))</f>
        <v/>
      </c>
    </row>
    <row r="101" customFormat="false" ht="15" hidden="false" customHeight="false" outlineLevel="0" collapsed="false">
      <c r="A101" s="102" t="n">
        <v>52</v>
      </c>
      <c r="B101" s="102" t="str">
        <f aca="false">IF($A101&gt;$B$11,"",COUNTIF($E$4:$E$8,"&lt;="&amp;$A101))</f>
        <v/>
      </c>
      <c r="C101" s="102" t="str">
        <f aca="false">IF($B101="","",$A101-INDEX($E$4:$E$8,$B101))</f>
        <v/>
      </c>
      <c r="D101" s="103" t="b">
        <f aca="false">IF($B101="",FALSE(),$C101=0)</f>
        <v>0</v>
      </c>
      <c r="E101" s="104" t="str">
        <f aca="false">IF($B101="","",INDEX($A$4:$A$8,$B101))</f>
        <v/>
      </c>
      <c r="F101" s="104" t="str">
        <f aca="false">IF($B101="","",IF($D101,UPPER($E101),CHOOSE($B101,INDEX(Hip!$I$137:$I$160,$C101),INDEX(Hamstring!$I$137:$I$160,$C101),INDEX(Knee!$I$137:$I$160,$C101),INDEX('Ankle-Foot'!$I$137:$I$160,$C101),INDEX(Shoulder!$I$137:$I$160,$C101))))</f>
        <v/>
      </c>
      <c r="G101" s="104" t="str">
        <f aca="false">IF($B101="","",IF($D101,INDEX($G$4:$G$8,$B101)&amp;"  ·  "&amp;INDEX($H$4:$H$8,$B101),CHOOSE($B101,INDEX(Hip!$C$137:$C$160,$C101),INDEX(Hamstring!$C$137:$C$160,$C101),INDEX(Knee!$C$137:$C$160,$C101),INDEX('Ankle-Foot'!$C$137:$C$160,$C101),INDEX(Shoulder!$C$137:$C$160,$C101))))</f>
        <v/>
      </c>
      <c r="H101" s="102" t="str">
        <f aca="false">IF(OR($B101="",$D101),"",CHOOSE($B101,INDEX(Hip!$E$137:$E$160,$C101),INDEX(Hamstring!$E$137:$E$160,$C101),INDEX(Knee!$E$137:$E$160,$C101),INDEX('Ankle-Foot'!$E$137:$E$160,$C101),INDEX(Shoulder!$E$137:$E$160,$C101)))</f>
        <v/>
      </c>
      <c r="I101" s="102" t="str">
        <f aca="false">IF(OR($B101="",$D101),"",CHOOSE($B101,INDEX(Hip!$F$137:$F$160,$C101),INDEX(Hamstring!$F$137:$F$160,$C101),INDEX(Knee!$F$137:$F$160,$C101),INDEX('Ankle-Foot'!$F$137:$F$160,$C101),INDEX(Shoulder!$F$137:$F$160,$C101)))</f>
        <v/>
      </c>
      <c r="J101" s="105" t="str">
        <f aca="false">IF(OR($B101="",$D101),"",CHOOSE($B101,INDEX(Hip!$G$137:$G$160,$C101),INDEX(Hamstring!$G$137:$G$160,$C101),INDEX(Knee!$G$137:$G$160,$C101),INDEX('Ankle-Foot'!$G$137:$G$160,$C101),INDEX(Shoulder!$G$137:$G$160,$C101)))</f>
        <v/>
      </c>
      <c r="K101" s="102" t="str">
        <f aca="false">IF(OR($B101="",$D101),"",CHOOSE($B101,INDEX(Hip!$K$137:$K$160,$C101),INDEX(Hamstring!$K$137:$K$160,$C101),INDEX(Knee!$K$137:$K$160,$C101),INDEX('Ankle-Foot'!$K$137:$K$160,$C101),INDEX(Shoulder!$K$137:$K$160,$C101)))</f>
        <v/>
      </c>
      <c r="L101" s="52" t="str">
        <f aca="false">IF($B101="","",IF($D101,INDEX($K$4:$K$8,$B101),CHOOSE($B101,INDEX(Hip!$H$137:$H$160,$C101),INDEX(Hamstring!$H$137:$H$160,$C101),INDEX(Knee!$H$137:$H$160,$C101),INDEX('Ankle-Foot'!$H$137:$H$160,$C101),INDEX(Shoulder!$H$137:$H$160,$C101))))</f>
        <v/>
      </c>
    </row>
    <row r="102" customFormat="false" ht="15" hidden="false" customHeight="false" outlineLevel="0" collapsed="false">
      <c r="A102" s="102" t="n">
        <v>53</v>
      </c>
      <c r="B102" s="102" t="str">
        <f aca="false">IF($A102&gt;$B$11,"",COUNTIF($E$4:$E$8,"&lt;="&amp;$A102))</f>
        <v/>
      </c>
      <c r="C102" s="102" t="str">
        <f aca="false">IF($B102="","",$A102-INDEX($E$4:$E$8,$B102))</f>
        <v/>
      </c>
      <c r="D102" s="103" t="b">
        <f aca="false">IF($B102="",FALSE(),$C102=0)</f>
        <v>0</v>
      </c>
      <c r="E102" s="104" t="str">
        <f aca="false">IF($B102="","",INDEX($A$4:$A$8,$B102))</f>
        <v/>
      </c>
      <c r="F102" s="104" t="str">
        <f aca="false">IF($B102="","",IF($D102,UPPER($E102),CHOOSE($B102,INDEX(Hip!$I$137:$I$160,$C102),INDEX(Hamstring!$I$137:$I$160,$C102),INDEX(Knee!$I$137:$I$160,$C102),INDEX('Ankle-Foot'!$I$137:$I$160,$C102),INDEX(Shoulder!$I$137:$I$160,$C102))))</f>
        <v/>
      </c>
      <c r="G102" s="104" t="str">
        <f aca="false">IF($B102="","",IF($D102,INDEX($G$4:$G$8,$B102)&amp;"  ·  "&amp;INDEX($H$4:$H$8,$B102),CHOOSE($B102,INDEX(Hip!$C$137:$C$160,$C102),INDEX(Hamstring!$C$137:$C$160,$C102),INDEX(Knee!$C$137:$C$160,$C102),INDEX('Ankle-Foot'!$C$137:$C$160,$C102),INDEX(Shoulder!$C$137:$C$160,$C102))))</f>
        <v/>
      </c>
      <c r="H102" s="102" t="str">
        <f aca="false">IF(OR($B102="",$D102),"",CHOOSE($B102,INDEX(Hip!$E$137:$E$160,$C102),INDEX(Hamstring!$E$137:$E$160,$C102),INDEX(Knee!$E$137:$E$160,$C102),INDEX('Ankle-Foot'!$E$137:$E$160,$C102),INDEX(Shoulder!$E$137:$E$160,$C102)))</f>
        <v/>
      </c>
      <c r="I102" s="102" t="str">
        <f aca="false">IF(OR($B102="",$D102),"",CHOOSE($B102,INDEX(Hip!$F$137:$F$160,$C102),INDEX(Hamstring!$F$137:$F$160,$C102),INDEX(Knee!$F$137:$F$160,$C102),INDEX('Ankle-Foot'!$F$137:$F$160,$C102),INDEX(Shoulder!$F$137:$F$160,$C102)))</f>
        <v/>
      </c>
      <c r="J102" s="105" t="str">
        <f aca="false">IF(OR($B102="",$D102),"",CHOOSE($B102,INDEX(Hip!$G$137:$G$160,$C102),INDEX(Hamstring!$G$137:$G$160,$C102),INDEX(Knee!$G$137:$G$160,$C102),INDEX('Ankle-Foot'!$G$137:$G$160,$C102),INDEX(Shoulder!$G$137:$G$160,$C102)))</f>
        <v/>
      </c>
      <c r="K102" s="102" t="str">
        <f aca="false">IF(OR($B102="",$D102),"",CHOOSE($B102,INDEX(Hip!$K$137:$K$160,$C102),INDEX(Hamstring!$K$137:$K$160,$C102),INDEX(Knee!$K$137:$K$160,$C102),INDEX('Ankle-Foot'!$K$137:$K$160,$C102),INDEX(Shoulder!$K$137:$K$160,$C102)))</f>
        <v/>
      </c>
      <c r="L102" s="52" t="str">
        <f aca="false">IF($B102="","",IF($D102,INDEX($K$4:$K$8,$B102),CHOOSE($B102,INDEX(Hip!$H$137:$H$160,$C102),INDEX(Hamstring!$H$137:$H$160,$C102),INDEX(Knee!$H$137:$H$160,$C102),INDEX('Ankle-Foot'!$H$137:$H$160,$C102),INDEX(Shoulder!$H$137:$H$160,$C102))))</f>
        <v/>
      </c>
    </row>
    <row r="103" customFormat="false" ht="15" hidden="false" customHeight="false" outlineLevel="0" collapsed="false">
      <c r="A103" s="102" t="n">
        <v>54</v>
      </c>
      <c r="B103" s="102" t="str">
        <f aca="false">IF($A103&gt;$B$11,"",COUNTIF($E$4:$E$8,"&lt;="&amp;$A103))</f>
        <v/>
      </c>
      <c r="C103" s="102" t="str">
        <f aca="false">IF($B103="","",$A103-INDEX($E$4:$E$8,$B103))</f>
        <v/>
      </c>
      <c r="D103" s="103" t="b">
        <f aca="false">IF($B103="",FALSE(),$C103=0)</f>
        <v>0</v>
      </c>
      <c r="E103" s="104" t="str">
        <f aca="false">IF($B103="","",INDEX($A$4:$A$8,$B103))</f>
        <v/>
      </c>
      <c r="F103" s="104" t="str">
        <f aca="false">IF($B103="","",IF($D103,UPPER($E103),CHOOSE($B103,INDEX(Hip!$I$137:$I$160,$C103),INDEX(Hamstring!$I$137:$I$160,$C103),INDEX(Knee!$I$137:$I$160,$C103),INDEX('Ankle-Foot'!$I$137:$I$160,$C103),INDEX(Shoulder!$I$137:$I$160,$C103))))</f>
        <v/>
      </c>
      <c r="G103" s="104" t="str">
        <f aca="false">IF($B103="","",IF($D103,INDEX($G$4:$G$8,$B103)&amp;"  ·  "&amp;INDEX($H$4:$H$8,$B103),CHOOSE($B103,INDEX(Hip!$C$137:$C$160,$C103),INDEX(Hamstring!$C$137:$C$160,$C103),INDEX(Knee!$C$137:$C$160,$C103),INDEX('Ankle-Foot'!$C$137:$C$160,$C103),INDEX(Shoulder!$C$137:$C$160,$C103))))</f>
        <v/>
      </c>
      <c r="H103" s="102" t="str">
        <f aca="false">IF(OR($B103="",$D103),"",CHOOSE($B103,INDEX(Hip!$E$137:$E$160,$C103),INDEX(Hamstring!$E$137:$E$160,$C103),INDEX(Knee!$E$137:$E$160,$C103),INDEX('Ankle-Foot'!$E$137:$E$160,$C103),INDEX(Shoulder!$E$137:$E$160,$C103)))</f>
        <v/>
      </c>
      <c r="I103" s="102" t="str">
        <f aca="false">IF(OR($B103="",$D103),"",CHOOSE($B103,INDEX(Hip!$F$137:$F$160,$C103),INDEX(Hamstring!$F$137:$F$160,$C103),INDEX(Knee!$F$137:$F$160,$C103),INDEX('Ankle-Foot'!$F$137:$F$160,$C103),INDEX(Shoulder!$F$137:$F$160,$C103)))</f>
        <v/>
      </c>
      <c r="J103" s="105" t="str">
        <f aca="false">IF(OR($B103="",$D103),"",CHOOSE($B103,INDEX(Hip!$G$137:$G$160,$C103),INDEX(Hamstring!$G$137:$G$160,$C103),INDEX(Knee!$G$137:$G$160,$C103),INDEX('Ankle-Foot'!$G$137:$G$160,$C103),INDEX(Shoulder!$G$137:$G$160,$C103)))</f>
        <v/>
      </c>
      <c r="K103" s="102" t="str">
        <f aca="false">IF(OR($B103="",$D103),"",CHOOSE($B103,INDEX(Hip!$K$137:$K$160,$C103),INDEX(Hamstring!$K$137:$K$160,$C103),INDEX(Knee!$K$137:$K$160,$C103),INDEX('Ankle-Foot'!$K$137:$K$160,$C103),INDEX(Shoulder!$K$137:$K$160,$C103)))</f>
        <v/>
      </c>
      <c r="L103" s="52" t="str">
        <f aca="false">IF($B103="","",IF($D103,INDEX($K$4:$K$8,$B103),CHOOSE($B103,INDEX(Hip!$H$137:$H$160,$C103),INDEX(Hamstring!$H$137:$H$160,$C103),INDEX(Knee!$H$137:$H$160,$C103),INDEX('Ankle-Foot'!$H$137:$H$160,$C103),INDEX(Shoulder!$H$137:$H$160,$C103))))</f>
        <v/>
      </c>
    </row>
    <row r="104" customFormat="false" ht="15" hidden="false" customHeight="false" outlineLevel="0" collapsed="false">
      <c r="A104" s="102" t="n">
        <v>55</v>
      </c>
      <c r="B104" s="102" t="str">
        <f aca="false">IF($A104&gt;$B$11,"",COUNTIF($E$4:$E$8,"&lt;="&amp;$A104))</f>
        <v/>
      </c>
      <c r="C104" s="102" t="str">
        <f aca="false">IF($B104="","",$A104-INDEX($E$4:$E$8,$B104))</f>
        <v/>
      </c>
      <c r="D104" s="103" t="b">
        <f aca="false">IF($B104="",FALSE(),$C104=0)</f>
        <v>0</v>
      </c>
      <c r="E104" s="104" t="str">
        <f aca="false">IF($B104="","",INDEX($A$4:$A$8,$B104))</f>
        <v/>
      </c>
      <c r="F104" s="104" t="str">
        <f aca="false">IF($B104="","",IF($D104,UPPER($E104),CHOOSE($B104,INDEX(Hip!$I$137:$I$160,$C104),INDEX(Hamstring!$I$137:$I$160,$C104),INDEX(Knee!$I$137:$I$160,$C104),INDEX('Ankle-Foot'!$I$137:$I$160,$C104),INDEX(Shoulder!$I$137:$I$160,$C104))))</f>
        <v/>
      </c>
      <c r="G104" s="104" t="str">
        <f aca="false">IF($B104="","",IF($D104,INDEX($G$4:$G$8,$B104)&amp;"  ·  "&amp;INDEX($H$4:$H$8,$B104),CHOOSE($B104,INDEX(Hip!$C$137:$C$160,$C104),INDEX(Hamstring!$C$137:$C$160,$C104),INDEX(Knee!$C$137:$C$160,$C104),INDEX('Ankle-Foot'!$C$137:$C$160,$C104),INDEX(Shoulder!$C$137:$C$160,$C104))))</f>
        <v/>
      </c>
      <c r="H104" s="102" t="str">
        <f aca="false">IF(OR($B104="",$D104),"",CHOOSE($B104,INDEX(Hip!$E$137:$E$160,$C104),INDEX(Hamstring!$E$137:$E$160,$C104),INDEX(Knee!$E$137:$E$160,$C104),INDEX('Ankle-Foot'!$E$137:$E$160,$C104),INDEX(Shoulder!$E$137:$E$160,$C104)))</f>
        <v/>
      </c>
      <c r="I104" s="102" t="str">
        <f aca="false">IF(OR($B104="",$D104),"",CHOOSE($B104,INDEX(Hip!$F$137:$F$160,$C104),INDEX(Hamstring!$F$137:$F$160,$C104),INDEX(Knee!$F$137:$F$160,$C104),INDEX('Ankle-Foot'!$F$137:$F$160,$C104),INDEX(Shoulder!$F$137:$F$160,$C104)))</f>
        <v/>
      </c>
      <c r="J104" s="105" t="str">
        <f aca="false">IF(OR($B104="",$D104),"",CHOOSE($B104,INDEX(Hip!$G$137:$G$160,$C104),INDEX(Hamstring!$G$137:$G$160,$C104),INDEX(Knee!$G$137:$G$160,$C104),INDEX('Ankle-Foot'!$G$137:$G$160,$C104),INDEX(Shoulder!$G$137:$G$160,$C104)))</f>
        <v/>
      </c>
      <c r="K104" s="102" t="str">
        <f aca="false">IF(OR($B104="",$D104),"",CHOOSE($B104,INDEX(Hip!$K$137:$K$160,$C104),INDEX(Hamstring!$K$137:$K$160,$C104),INDEX(Knee!$K$137:$K$160,$C104),INDEX('Ankle-Foot'!$K$137:$K$160,$C104),INDEX(Shoulder!$K$137:$K$160,$C104)))</f>
        <v/>
      </c>
      <c r="L104" s="52" t="str">
        <f aca="false">IF($B104="","",IF($D104,INDEX($K$4:$K$8,$B104),CHOOSE($B104,INDEX(Hip!$H$137:$H$160,$C104),INDEX(Hamstring!$H$137:$H$160,$C104),INDEX(Knee!$H$137:$H$160,$C104),INDEX('Ankle-Foot'!$H$137:$H$160,$C104),INDEX(Shoulder!$H$137:$H$160,$C104))))</f>
        <v/>
      </c>
    </row>
    <row r="105" customFormat="false" ht="15" hidden="false" customHeight="false" outlineLevel="0" collapsed="false">
      <c r="A105" s="102" t="n">
        <v>56</v>
      </c>
      <c r="B105" s="102" t="str">
        <f aca="false">IF($A105&gt;$B$11,"",COUNTIF($E$4:$E$8,"&lt;="&amp;$A105))</f>
        <v/>
      </c>
      <c r="C105" s="102" t="str">
        <f aca="false">IF($B105="","",$A105-INDEX($E$4:$E$8,$B105))</f>
        <v/>
      </c>
      <c r="D105" s="103" t="b">
        <f aca="false">IF($B105="",FALSE(),$C105=0)</f>
        <v>0</v>
      </c>
      <c r="E105" s="104" t="str">
        <f aca="false">IF($B105="","",INDEX($A$4:$A$8,$B105))</f>
        <v/>
      </c>
      <c r="F105" s="104" t="str">
        <f aca="false">IF($B105="","",IF($D105,UPPER($E105),CHOOSE($B105,INDEX(Hip!$I$137:$I$160,$C105),INDEX(Hamstring!$I$137:$I$160,$C105),INDEX(Knee!$I$137:$I$160,$C105),INDEX('Ankle-Foot'!$I$137:$I$160,$C105),INDEX(Shoulder!$I$137:$I$160,$C105))))</f>
        <v/>
      </c>
      <c r="G105" s="104" t="str">
        <f aca="false">IF($B105="","",IF($D105,INDEX($G$4:$G$8,$B105)&amp;"  ·  "&amp;INDEX($H$4:$H$8,$B105),CHOOSE($B105,INDEX(Hip!$C$137:$C$160,$C105),INDEX(Hamstring!$C$137:$C$160,$C105),INDEX(Knee!$C$137:$C$160,$C105),INDEX('Ankle-Foot'!$C$137:$C$160,$C105),INDEX(Shoulder!$C$137:$C$160,$C105))))</f>
        <v/>
      </c>
      <c r="H105" s="102" t="str">
        <f aca="false">IF(OR($B105="",$D105),"",CHOOSE($B105,INDEX(Hip!$E$137:$E$160,$C105),INDEX(Hamstring!$E$137:$E$160,$C105),INDEX(Knee!$E$137:$E$160,$C105),INDEX('Ankle-Foot'!$E$137:$E$160,$C105),INDEX(Shoulder!$E$137:$E$160,$C105)))</f>
        <v/>
      </c>
      <c r="I105" s="102" t="str">
        <f aca="false">IF(OR($B105="",$D105),"",CHOOSE($B105,INDEX(Hip!$F$137:$F$160,$C105),INDEX(Hamstring!$F$137:$F$160,$C105),INDEX(Knee!$F$137:$F$160,$C105),INDEX('Ankle-Foot'!$F$137:$F$160,$C105),INDEX(Shoulder!$F$137:$F$160,$C105)))</f>
        <v/>
      </c>
      <c r="J105" s="105" t="str">
        <f aca="false">IF(OR($B105="",$D105),"",CHOOSE($B105,INDEX(Hip!$G$137:$G$160,$C105),INDEX(Hamstring!$G$137:$G$160,$C105),INDEX(Knee!$G$137:$G$160,$C105),INDEX('Ankle-Foot'!$G$137:$G$160,$C105),INDEX(Shoulder!$G$137:$G$160,$C105)))</f>
        <v/>
      </c>
      <c r="K105" s="102" t="str">
        <f aca="false">IF(OR($B105="",$D105),"",CHOOSE($B105,INDEX(Hip!$K$137:$K$160,$C105),INDEX(Hamstring!$K$137:$K$160,$C105),INDEX(Knee!$K$137:$K$160,$C105),INDEX('Ankle-Foot'!$K$137:$K$160,$C105),INDEX(Shoulder!$K$137:$K$160,$C105)))</f>
        <v/>
      </c>
      <c r="L105" s="52" t="str">
        <f aca="false">IF($B105="","",IF($D105,INDEX($K$4:$K$8,$B105),CHOOSE($B105,INDEX(Hip!$H$137:$H$160,$C105),INDEX(Hamstring!$H$137:$H$160,$C105),INDEX(Knee!$H$137:$H$160,$C105),INDEX('Ankle-Foot'!$H$137:$H$160,$C105),INDEX(Shoulder!$H$137:$H$160,$C105))))</f>
        <v/>
      </c>
    </row>
    <row r="106" customFormat="false" ht="15" hidden="false" customHeight="false" outlineLevel="0" collapsed="false">
      <c r="A106" s="102" t="n">
        <v>57</v>
      </c>
      <c r="B106" s="102" t="str">
        <f aca="false">IF($A106&gt;$B$11,"",COUNTIF($E$4:$E$8,"&lt;="&amp;$A106))</f>
        <v/>
      </c>
      <c r="C106" s="102" t="str">
        <f aca="false">IF($B106="","",$A106-INDEX($E$4:$E$8,$B106))</f>
        <v/>
      </c>
      <c r="D106" s="103" t="b">
        <f aca="false">IF($B106="",FALSE(),$C106=0)</f>
        <v>0</v>
      </c>
      <c r="E106" s="104" t="str">
        <f aca="false">IF($B106="","",INDEX($A$4:$A$8,$B106))</f>
        <v/>
      </c>
      <c r="F106" s="104" t="str">
        <f aca="false">IF($B106="","",IF($D106,UPPER($E106),CHOOSE($B106,INDEX(Hip!$I$137:$I$160,$C106),INDEX(Hamstring!$I$137:$I$160,$C106),INDEX(Knee!$I$137:$I$160,$C106),INDEX('Ankle-Foot'!$I$137:$I$160,$C106),INDEX(Shoulder!$I$137:$I$160,$C106))))</f>
        <v/>
      </c>
      <c r="G106" s="104" t="str">
        <f aca="false">IF($B106="","",IF($D106,INDEX($G$4:$G$8,$B106)&amp;"  ·  "&amp;INDEX($H$4:$H$8,$B106),CHOOSE($B106,INDEX(Hip!$C$137:$C$160,$C106),INDEX(Hamstring!$C$137:$C$160,$C106),INDEX(Knee!$C$137:$C$160,$C106),INDEX('Ankle-Foot'!$C$137:$C$160,$C106),INDEX(Shoulder!$C$137:$C$160,$C106))))</f>
        <v/>
      </c>
      <c r="H106" s="102" t="str">
        <f aca="false">IF(OR($B106="",$D106),"",CHOOSE($B106,INDEX(Hip!$E$137:$E$160,$C106),INDEX(Hamstring!$E$137:$E$160,$C106),INDEX(Knee!$E$137:$E$160,$C106),INDEX('Ankle-Foot'!$E$137:$E$160,$C106),INDEX(Shoulder!$E$137:$E$160,$C106)))</f>
        <v/>
      </c>
      <c r="I106" s="102" t="str">
        <f aca="false">IF(OR($B106="",$D106),"",CHOOSE($B106,INDEX(Hip!$F$137:$F$160,$C106),INDEX(Hamstring!$F$137:$F$160,$C106),INDEX(Knee!$F$137:$F$160,$C106),INDEX('Ankle-Foot'!$F$137:$F$160,$C106),INDEX(Shoulder!$F$137:$F$160,$C106)))</f>
        <v/>
      </c>
      <c r="J106" s="105" t="str">
        <f aca="false">IF(OR($B106="",$D106),"",CHOOSE($B106,INDEX(Hip!$G$137:$G$160,$C106),INDEX(Hamstring!$G$137:$G$160,$C106),INDEX(Knee!$G$137:$G$160,$C106),INDEX('Ankle-Foot'!$G$137:$G$160,$C106),INDEX(Shoulder!$G$137:$G$160,$C106)))</f>
        <v/>
      </c>
      <c r="K106" s="102" t="str">
        <f aca="false">IF(OR($B106="",$D106),"",CHOOSE($B106,INDEX(Hip!$K$137:$K$160,$C106),INDEX(Hamstring!$K$137:$K$160,$C106),INDEX(Knee!$K$137:$K$160,$C106),INDEX('Ankle-Foot'!$K$137:$K$160,$C106),INDEX(Shoulder!$K$137:$K$160,$C106)))</f>
        <v/>
      </c>
      <c r="L106" s="52" t="str">
        <f aca="false">IF($B106="","",IF($D106,INDEX($K$4:$K$8,$B106),CHOOSE($B106,INDEX(Hip!$H$137:$H$160,$C106),INDEX(Hamstring!$H$137:$H$160,$C106),INDEX(Knee!$H$137:$H$160,$C106),INDEX('Ankle-Foot'!$H$137:$H$160,$C106),INDEX(Shoulder!$H$137:$H$160,$C106))))</f>
        <v/>
      </c>
    </row>
    <row r="107" customFormat="false" ht="15" hidden="false" customHeight="false" outlineLevel="0" collapsed="false">
      <c r="A107" s="102" t="n">
        <v>58</v>
      </c>
      <c r="B107" s="102" t="str">
        <f aca="false">IF($A107&gt;$B$11,"",COUNTIF($E$4:$E$8,"&lt;="&amp;$A107))</f>
        <v/>
      </c>
      <c r="C107" s="102" t="str">
        <f aca="false">IF($B107="","",$A107-INDEX($E$4:$E$8,$B107))</f>
        <v/>
      </c>
      <c r="D107" s="103" t="b">
        <f aca="false">IF($B107="",FALSE(),$C107=0)</f>
        <v>0</v>
      </c>
      <c r="E107" s="104" t="str">
        <f aca="false">IF($B107="","",INDEX($A$4:$A$8,$B107))</f>
        <v/>
      </c>
      <c r="F107" s="104" t="str">
        <f aca="false">IF($B107="","",IF($D107,UPPER($E107),CHOOSE($B107,INDEX(Hip!$I$137:$I$160,$C107),INDEX(Hamstring!$I$137:$I$160,$C107),INDEX(Knee!$I$137:$I$160,$C107),INDEX('Ankle-Foot'!$I$137:$I$160,$C107),INDEX(Shoulder!$I$137:$I$160,$C107))))</f>
        <v/>
      </c>
      <c r="G107" s="104" t="str">
        <f aca="false">IF($B107="","",IF($D107,INDEX($G$4:$G$8,$B107)&amp;"  ·  "&amp;INDEX($H$4:$H$8,$B107),CHOOSE($B107,INDEX(Hip!$C$137:$C$160,$C107),INDEX(Hamstring!$C$137:$C$160,$C107),INDEX(Knee!$C$137:$C$160,$C107),INDEX('Ankle-Foot'!$C$137:$C$160,$C107),INDEX(Shoulder!$C$137:$C$160,$C107))))</f>
        <v/>
      </c>
      <c r="H107" s="102" t="str">
        <f aca="false">IF(OR($B107="",$D107),"",CHOOSE($B107,INDEX(Hip!$E$137:$E$160,$C107),INDEX(Hamstring!$E$137:$E$160,$C107),INDEX(Knee!$E$137:$E$160,$C107),INDEX('Ankle-Foot'!$E$137:$E$160,$C107),INDEX(Shoulder!$E$137:$E$160,$C107)))</f>
        <v/>
      </c>
      <c r="I107" s="102" t="str">
        <f aca="false">IF(OR($B107="",$D107),"",CHOOSE($B107,INDEX(Hip!$F$137:$F$160,$C107),INDEX(Hamstring!$F$137:$F$160,$C107),INDEX(Knee!$F$137:$F$160,$C107),INDEX('Ankle-Foot'!$F$137:$F$160,$C107),INDEX(Shoulder!$F$137:$F$160,$C107)))</f>
        <v/>
      </c>
      <c r="J107" s="105" t="str">
        <f aca="false">IF(OR($B107="",$D107),"",CHOOSE($B107,INDEX(Hip!$G$137:$G$160,$C107),INDEX(Hamstring!$G$137:$G$160,$C107),INDEX(Knee!$G$137:$G$160,$C107),INDEX('Ankle-Foot'!$G$137:$G$160,$C107),INDEX(Shoulder!$G$137:$G$160,$C107)))</f>
        <v/>
      </c>
      <c r="K107" s="102" t="str">
        <f aca="false">IF(OR($B107="",$D107),"",CHOOSE($B107,INDEX(Hip!$K$137:$K$160,$C107),INDEX(Hamstring!$K$137:$K$160,$C107),INDEX(Knee!$K$137:$K$160,$C107),INDEX('Ankle-Foot'!$K$137:$K$160,$C107),INDEX(Shoulder!$K$137:$K$160,$C107)))</f>
        <v/>
      </c>
      <c r="L107" s="52" t="str">
        <f aca="false">IF($B107="","",IF($D107,INDEX($K$4:$K$8,$B107),CHOOSE($B107,INDEX(Hip!$H$137:$H$160,$C107),INDEX(Hamstring!$H$137:$H$160,$C107),INDEX(Knee!$H$137:$H$160,$C107),INDEX('Ankle-Foot'!$H$137:$H$160,$C107),INDEX(Shoulder!$H$137:$H$160,$C107))))</f>
        <v/>
      </c>
    </row>
    <row r="108" customFormat="false" ht="15" hidden="false" customHeight="false" outlineLevel="0" collapsed="false">
      <c r="A108" s="102" t="n">
        <v>59</v>
      </c>
      <c r="B108" s="102" t="str">
        <f aca="false">IF($A108&gt;$B$11,"",COUNTIF($E$4:$E$8,"&lt;="&amp;$A108))</f>
        <v/>
      </c>
      <c r="C108" s="102" t="str">
        <f aca="false">IF($B108="","",$A108-INDEX($E$4:$E$8,$B108))</f>
        <v/>
      </c>
      <c r="D108" s="103" t="b">
        <f aca="false">IF($B108="",FALSE(),$C108=0)</f>
        <v>0</v>
      </c>
      <c r="E108" s="104" t="str">
        <f aca="false">IF($B108="","",INDEX($A$4:$A$8,$B108))</f>
        <v/>
      </c>
      <c r="F108" s="104" t="str">
        <f aca="false">IF($B108="","",IF($D108,UPPER($E108),CHOOSE($B108,INDEX(Hip!$I$137:$I$160,$C108),INDEX(Hamstring!$I$137:$I$160,$C108),INDEX(Knee!$I$137:$I$160,$C108),INDEX('Ankle-Foot'!$I$137:$I$160,$C108),INDEX(Shoulder!$I$137:$I$160,$C108))))</f>
        <v/>
      </c>
      <c r="G108" s="104" t="str">
        <f aca="false">IF($B108="","",IF($D108,INDEX($G$4:$G$8,$B108)&amp;"  ·  "&amp;INDEX($H$4:$H$8,$B108),CHOOSE($B108,INDEX(Hip!$C$137:$C$160,$C108),INDEX(Hamstring!$C$137:$C$160,$C108),INDEX(Knee!$C$137:$C$160,$C108),INDEX('Ankle-Foot'!$C$137:$C$160,$C108),INDEX(Shoulder!$C$137:$C$160,$C108))))</f>
        <v/>
      </c>
      <c r="H108" s="102" t="str">
        <f aca="false">IF(OR($B108="",$D108),"",CHOOSE($B108,INDEX(Hip!$E$137:$E$160,$C108),INDEX(Hamstring!$E$137:$E$160,$C108),INDEX(Knee!$E$137:$E$160,$C108),INDEX('Ankle-Foot'!$E$137:$E$160,$C108),INDEX(Shoulder!$E$137:$E$160,$C108)))</f>
        <v/>
      </c>
      <c r="I108" s="102" t="str">
        <f aca="false">IF(OR($B108="",$D108),"",CHOOSE($B108,INDEX(Hip!$F$137:$F$160,$C108),INDEX(Hamstring!$F$137:$F$160,$C108),INDEX(Knee!$F$137:$F$160,$C108),INDEX('Ankle-Foot'!$F$137:$F$160,$C108),INDEX(Shoulder!$F$137:$F$160,$C108)))</f>
        <v/>
      </c>
      <c r="J108" s="105" t="str">
        <f aca="false">IF(OR($B108="",$D108),"",CHOOSE($B108,INDEX(Hip!$G$137:$G$160,$C108),INDEX(Hamstring!$G$137:$G$160,$C108),INDEX(Knee!$G$137:$G$160,$C108),INDEX('Ankle-Foot'!$G$137:$G$160,$C108),INDEX(Shoulder!$G$137:$G$160,$C108)))</f>
        <v/>
      </c>
      <c r="K108" s="102" t="str">
        <f aca="false">IF(OR($B108="",$D108),"",CHOOSE($B108,INDEX(Hip!$K$137:$K$160,$C108),INDEX(Hamstring!$K$137:$K$160,$C108),INDEX(Knee!$K$137:$K$160,$C108),INDEX('Ankle-Foot'!$K$137:$K$160,$C108),INDEX(Shoulder!$K$137:$K$160,$C108)))</f>
        <v/>
      </c>
      <c r="L108" s="52" t="str">
        <f aca="false">IF($B108="","",IF($D108,INDEX($K$4:$K$8,$B108),CHOOSE($B108,INDEX(Hip!$H$137:$H$160,$C108),INDEX(Hamstring!$H$137:$H$160,$C108),INDEX(Knee!$H$137:$H$160,$C108),INDEX('Ankle-Foot'!$H$137:$H$160,$C108),INDEX(Shoulder!$H$137:$H$160,$C108))))</f>
        <v/>
      </c>
    </row>
    <row r="109" customFormat="false" ht="15" hidden="false" customHeight="false" outlineLevel="0" collapsed="false">
      <c r="A109" s="102" t="n">
        <v>60</v>
      </c>
      <c r="B109" s="102" t="str">
        <f aca="false">IF($A109&gt;$B$11,"",COUNTIF($E$4:$E$8,"&lt;="&amp;$A109))</f>
        <v/>
      </c>
      <c r="C109" s="102" t="str">
        <f aca="false">IF($B109="","",$A109-INDEX($E$4:$E$8,$B109))</f>
        <v/>
      </c>
      <c r="D109" s="103" t="b">
        <f aca="false">IF($B109="",FALSE(),$C109=0)</f>
        <v>0</v>
      </c>
      <c r="E109" s="104" t="str">
        <f aca="false">IF($B109="","",INDEX($A$4:$A$8,$B109))</f>
        <v/>
      </c>
      <c r="F109" s="104" t="str">
        <f aca="false">IF($B109="","",IF($D109,UPPER($E109),CHOOSE($B109,INDEX(Hip!$I$137:$I$160,$C109),INDEX(Hamstring!$I$137:$I$160,$C109),INDEX(Knee!$I$137:$I$160,$C109),INDEX('Ankle-Foot'!$I$137:$I$160,$C109),INDEX(Shoulder!$I$137:$I$160,$C109))))</f>
        <v/>
      </c>
      <c r="G109" s="104" t="str">
        <f aca="false">IF($B109="","",IF($D109,INDEX($G$4:$G$8,$B109)&amp;"  ·  "&amp;INDEX($H$4:$H$8,$B109),CHOOSE($B109,INDEX(Hip!$C$137:$C$160,$C109),INDEX(Hamstring!$C$137:$C$160,$C109),INDEX(Knee!$C$137:$C$160,$C109),INDEX('Ankle-Foot'!$C$137:$C$160,$C109),INDEX(Shoulder!$C$137:$C$160,$C109))))</f>
        <v/>
      </c>
      <c r="H109" s="102" t="str">
        <f aca="false">IF(OR($B109="",$D109),"",CHOOSE($B109,INDEX(Hip!$E$137:$E$160,$C109),INDEX(Hamstring!$E$137:$E$160,$C109),INDEX(Knee!$E$137:$E$160,$C109),INDEX('Ankle-Foot'!$E$137:$E$160,$C109),INDEX(Shoulder!$E$137:$E$160,$C109)))</f>
        <v/>
      </c>
      <c r="I109" s="102" t="str">
        <f aca="false">IF(OR($B109="",$D109),"",CHOOSE($B109,INDEX(Hip!$F$137:$F$160,$C109),INDEX(Hamstring!$F$137:$F$160,$C109),INDEX(Knee!$F$137:$F$160,$C109),INDEX('Ankle-Foot'!$F$137:$F$160,$C109),INDEX(Shoulder!$F$137:$F$160,$C109)))</f>
        <v/>
      </c>
      <c r="J109" s="105" t="str">
        <f aca="false">IF(OR($B109="",$D109),"",CHOOSE($B109,INDEX(Hip!$G$137:$G$160,$C109),INDEX(Hamstring!$G$137:$G$160,$C109),INDEX(Knee!$G$137:$G$160,$C109),INDEX('Ankle-Foot'!$G$137:$G$160,$C109),INDEX(Shoulder!$G$137:$G$160,$C109)))</f>
        <v/>
      </c>
      <c r="K109" s="102" t="str">
        <f aca="false">IF(OR($B109="",$D109),"",CHOOSE($B109,INDEX(Hip!$K$137:$K$160,$C109),INDEX(Hamstring!$K$137:$K$160,$C109),INDEX(Knee!$K$137:$K$160,$C109),INDEX('Ankle-Foot'!$K$137:$K$160,$C109),INDEX(Shoulder!$K$137:$K$160,$C109)))</f>
        <v/>
      </c>
      <c r="L109" s="52" t="str">
        <f aca="false">IF($B109="","",IF($D109,INDEX($K$4:$K$8,$B109),CHOOSE($B109,INDEX(Hip!$H$137:$H$160,$C109),INDEX(Hamstring!$H$137:$H$160,$C109),INDEX(Knee!$H$137:$H$160,$C109),INDEX('Ankle-Foot'!$H$137:$H$160,$C109),INDEX(Shoulder!$H$137:$H$160,$C109))))</f>
        <v/>
      </c>
    </row>
    <row r="110" customFormat="false" ht="15" hidden="false" customHeight="false" outlineLevel="0" collapsed="false">
      <c r="A110" s="102" t="n">
        <v>61</v>
      </c>
      <c r="B110" s="102" t="str">
        <f aca="false">IF($A110&gt;$B$11,"",COUNTIF($E$4:$E$8,"&lt;="&amp;$A110))</f>
        <v/>
      </c>
      <c r="C110" s="102" t="str">
        <f aca="false">IF($B110="","",$A110-INDEX($E$4:$E$8,$B110))</f>
        <v/>
      </c>
      <c r="D110" s="103" t="b">
        <f aca="false">IF($B110="",FALSE(),$C110=0)</f>
        <v>0</v>
      </c>
      <c r="E110" s="104" t="str">
        <f aca="false">IF($B110="","",INDEX($A$4:$A$8,$B110))</f>
        <v/>
      </c>
      <c r="F110" s="104" t="str">
        <f aca="false">IF($B110="","",IF($D110,UPPER($E110),CHOOSE($B110,INDEX(Hip!$I$137:$I$160,$C110),INDEX(Hamstring!$I$137:$I$160,$C110),INDEX(Knee!$I$137:$I$160,$C110),INDEX('Ankle-Foot'!$I$137:$I$160,$C110),INDEX(Shoulder!$I$137:$I$160,$C110))))</f>
        <v/>
      </c>
      <c r="G110" s="104" t="str">
        <f aca="false">IF($B110="","",IF($D110,INDEX($G$4:$G$8,$B110)&amp;"  ·  "&amp;INDEX($H$4:$H$8,$B110),CHOOSE($B110,INDEX(Hip!$C$137:$C$160,$C110),INDEX(Hamstring!$C$137:$C$160,$C110),INDEX(Knee!$C$137:$C$160,$C110),INDEX('Ankle-Foot'!$C$137:$C$160,$C110),INDEX(Shoulder!$C$137:$C$160,$C110))))</f>
        <v/>
      </c>
      <c r="H110" s="102" t="str">
        <f aca="false">IF(OR($B110="",$D110),"",CHOOSE($B110,INDEX(Hip!$E$137:$E$160,$C110),INDEX(Hamstring!$E$137:$E$160,$C110),INDEX(Knee!$E$137:$E$160,$C110),INDEX('Ankle-Foot'!$E$137:$E$160,$C110),INDEX(Shoulder!$E$137:$E$160,$C110)))</f>
        <v/>
      </c>
      <c r="I110" s="102" t="str">
        <f aca="false">IF(OR($B110="",$D110),"",CHOOSE($B110,INDEX(Hip!$F$137:$F$160,$C110),INDEX(Hamstring!$F$137:$F$160,$C110),INDEX(Knee!$F$137:$F$160,$C110),INDEX('Ankle-Foot'!$F$137:$F$160,$C110),INDEX(Shoulder!$F$137:$F$160,$C110)))</f>
        <v/>
      </c>
      <c r="J110" s="105" t="str">
        <f aca="false">IF(OR($B110="",$D110),"",CHOOSE($B110,INDEX(Hip!$G$137:$G$160,$C110),INDEX(Hamstring!$G$137:$G$160,$C110),INDEX(Knee!$G$137:$G$160,$C110),INDEX('Ankle-Foot'!$G$137:$G$160,$C110),INDEX(Shoulder!$G$137:$G$160,$C110)))</f>
        <v/>
      </c>
      <c r="K110" s="102" t="str">
        <f aca="false">IF(OR($B110="",$D110),"",CHOOSE($B110,INDEX(Hip!$K$137:$K$160,$C110),INDEX(Hamstring!$K$137:$K$160,$C110),INDEX(Knee!$K$137:$K$160,$C110),INDEX('Ankle-Foot'!$K$137:$K$160,$C110),INDEX(Shoulder!$K$137:$K$160,$C110)))</f>
        <v/>
      </c>
      <c r="L110" s="52" t="str">
        <f aca="false">IF($B110="","",IF($D110,INDEX($K$4:$K$8,$B110),CHOOSE($B110,INDEX(Hip!$H$137:$H$160,$C110),INDEX(Hamstring!$H$137:$H$160,$C110),INDEX(Knee!$H$137:$H$160,$C110),INDEX('Ankle-Foot'!$H$137:$H$160,$C110),INDEX(Shoulder!$H$137:$H$160,$C110))))</f>
        <v/>
      </c>
    </row>
    <row r="111" customFormat="false" ht="15" hidden="false" customHeight="false" outlineLevel="0" collapsed="false">
      <c r="A111" s="102" t="n">
        <v>62</v>
      </c>
      <c r="B111" s="102" t="str">
        <f aca="false">IF($A111&gt;$B$11,"",COUNTIF($E$4:$E$8,"&lt;="&amp;$A111))</f>
        <v/>
      </c>
      <c r="C111" s="102" t="str">
        <f aca="false">IF($B111="","",$A111-INDEX($E$4:$E$8,$B111))</f>
        <v/>
      </c>
      <c r="D111" s="103" t="b">
        <f aca="false">IF($B111="",FALSE(),$C111=0)</f>
        <v>0</v>
      </c>
      <c r="E111" s="104" t="str">
        <f aca="false">IF($B111="","",INDEX($A$4:$A$8,$B111))</f>
        <v/>
      </c>
      <c r="F111" s="104" t="str">
        <f aca="false">IF($B111="","",IF($D111,UPPER($E111),CHOOSE($B111,INDEX(Hip!$I$137:$I$160,$C111),INDEX(Hamstring!$I$137:$I$160,$C111),INDEX(Knee!$I$137:$I$160,$C111),INDEX('Ankle-Foot'!$I$137:$I$160,$C111),INDEX(Shoulder!$I$137:$I$160,$C111))))</f>
        <v/>
      </c>
      <c r="G111" s="104" t="str">
        <f aca="false">IF($B111="","",IF($D111,INDEX($G$4:$G$8,$B111)&amp;"  ·  "&amp;INDEX($H$4:$H$8,$B111),CHOOSE($B111,INDEX(Hip!$C$137:$C$160,$C111),INDEX(Hamstring!$C$137:$C$160,$C111),INDEX(Knee!$C$137:$C$160,$C111),INDEX('Ankle-Foot'!$C$137:$C$160,$C111),INDEX(Shoulder!$C$137:$C$160,$C111))))</f>
        <v/>
      </c>
      <c r="H111" s="102" t="str">
        <f aca="false">IF(OR($B111="",$D111),"",CHOOSE($B111,INDEX(Hip!$E$137:$E$160,$C111),INDEX(Hamstring!$E$137:$E$160,$C111),INDEX(Knee!$E$137:$E$160,$C111),INDEX('Ankle-Foot'!$E$137:$E$160,$C111),INDEX(Shoulder!$E$137:$E$160,$C111)))</f>
        <v/>
      </c>
      <c r="I111" s="102" t="str">
        <f aca="false">IF(OR($B111="",$D111),"",CHOOSE($B111,INDEX(Hip!$F$137:$F$160,$C111),INDEX(Hamstring!$F$137:$F$160,$C111),INDEX(Knee!$F$137:$F$160,$C111),INDEX('Ankle-Foot'!$F$137:$F$160,$C111),INDEX(Shoulder!$F$137:$F$160,$C111)))</f>
        <v/>
      </c>
      <c r="J111" s="105" t="str">
        <f aca="false">IF(OR($B111="",$D111),"",CHOOSE($B111,INDEX(Hip!$G$137:$G$160,$C111),INDEX(Hamstring!$G$137:$G$160,$C111),INDEX(Knee!$G$137:$G$160,$C111),INDEX('Ankle-Foot'!$G$137:$G$160,$C111),INDEX(Shoulder!$G$137:$G$160,$C111)))</f>
        <v/>
      </c>
      <c r="K111" s="102" t="str">
        <f aca="false">IF(OR($B111="",$D111),"",CHOOSE($B111,INDEX(Hip!$K$137:$K$160,$C111),INDEX(Hamstring!$K$137:$K$160,$C111),INDEX(Knee!$K$137:$K$160,$C111),INDEX('Ankle-Foot'!$K$137:$K$160,$C111),INDEX(Shoulder!$K$137:$K$160,$C111)))</f>
        <v/>
      </c>
      <c r="L111" s="52" t="str">
        <f aca="false">IF($B111="","",IF($D111,INDEX($K$4:$K$8,$B111),CHOOSE($B111,INDEX(Hip!$H$137:$H$160,$C111),INDEX(Hamstring!$H$137:$H$160,$C111),INDEX(Knee!$H$137:$H$160,$C111),INDEX('Ankle-Foot'!$H$137:$H$160,$C111),INDEX(Shoulder!$H$137:$H$160,$C111))))</f>
        <v/>
      </c>
    </row>
    <row r="112" customFormat="false" ht="15" hidden="false" customHeight="false" outlineLevel="0" collapsed="false">
      <c r="A112" s="102" t="n">
        <v>63</v>
      </c>
      <c r="B112" s="102" t="str">
        <f aca="false">IF($A112&gt;$B$11,"",COUNTIF($E$4:$E$8,"&lt;="&amp;$A112))</f>
        <v/>
      </c>
      <c r="C112" s="102" t="str">
        <f aca="false">IF($B112="","",$A112-INDEX($E$4:$E$8,$B112))</f>
        <v/>
      </c>
      <c r="D112" s="103" t="b">
        <f aca="false">IF($B112="",FALSE(),$C112=0)</f>
        <v>0</v>
      </c>
      <c r="E112" s="104" t="str">
        <f aca="false">IF($B112="","",INDEX($A$4:$A$8,$B112))</f>
        <v/>
      </c>
      <c r="F112" s="104" t="str">
        <f aca="false">IF($B112="","",IF($D112,UPPER($E112),CHOOSE($B112,INDEX(Hip!$I$137:$I$160,$C112),INDEX(Hamstring!$I$137:$I$160,$C112),INDEX(Knee!$I$137:$I$160,$C112),INDEX('Ankle-Foot'!$I$137:$I$160,$C112),INDEX(Shoulder!$I$137:$I$160,$C112))))</f>
        <v/>
      </c>
      <c r="G112" s="104" t="str">
        <f aca="false">IF($B112="","",IF($D112,INDEX($G$4:$G$8,$B112)&amp;"  ·  "&amp;INDEX($H$4:$H$8,$B112),CHOOSE($B112,INDEX(Hip!$C$137:$C$160,$C112),INDEX(Hamstring!$C$137:$C$160,$C112),INDEX(Knee!$C$137:$C$160,$C112),INDEX('Ankle-Foot'!$C$137:$C$160,$C112),INDEX(Shoulder!$C$137:$C$160,$C112))))</f>
        <v/>
      </c>
      <c r="H112" s="102" t="str">
        <f aca="false">IF(OR($B112="",$D112),"",CHOOSE($B112,INDEX(Hip!$E$137:$E$160,$C112),INDEX(Hamstring!$E$137:$E$160,$C112),INDEX(Knee!$E$137:$E$160,$C112),INDEX('Ankle-Foot'!$E$137:$E$160,$C112),INDEX(Shoulder!$E$137:$E$160,$C112)))</f>
        <v/>
      </c>
      <c r="I112" s="102" t="str">
        <f aca="false">IF(OR($B112="",$D112),"",CHOOSE($B112,INDEX(Hip!$F$137:$F$160,$C112),INDEX(Hamstring!$F$137:$F$160,$C112),INDEX(Knee!$F$137:$F$160,$C112),INDEX('Ankle-Foot'!$F$137:$F$160,$C112),INDEX(Shoulder!$F$137:$F$160,$C112)))</f>
        <v/>
      </c>
      <c r="J112" s="105" t="str">
        <f aca="false">IF(OR($B112="",$D112),"",CHOOSE($B112,INDEX(Hip!$G$137:$G$160,$C112),INDEX(Hamstring!$G$137:$G$160,$C112),INDEX(Knee!$G$137:$G$160,$C112),INDEX('Ankle-Foot'!$G$137:$G$160,$C112),INDEX(Shoulder!$G$137:$G$160,$C112)))</f>
        <v/>
      </c>
      <c r="K112" s="102" t="str">
        <f aca="false">IF(OR($B112="",$D112),"",CHOOSE($B112,INDEX(Hip!$K$137:$K$160,$C112),INDEX(Hamstring!$K$137:$K$160,$C112),INDEX(Knee!$K$137:$K$160,$C112),INDEX('Ankle-Foot'!$K$137:$K$160,$C112),INDEX(Shoulder!$K$137:$K$160,$C112)))</f>
        <v/>
      </c>
      <c r="L112" s="52" t="str">
        <f aca="false">IF($B112="","",IF($D112,INDEX($K$4:$K$8,$B112),CHOOSE($B112,INDEX(Hip!$H$137:$H$160,$C112),INDEX(Hamstring!$H$137:$H$160,$C112),INDEX(Knee!$H$137:$H$160,$C112),INDEX('Ankle-Foot'!$H$137:$H$160,$C112),INDEX(Shoulder!$H$137:$H$160,$C112))))</f>
        <v/>
      </c>
    </row>
    <row r="113" customFormat="false" ht="15" hidden="false" customHeight="false" outlineLevel="0" collapsed="false">
      <c r="A113" s="102" t="n">
        <v>64</v>
      </c>
      <c r="B113" s="102" t="str">
        <f aca="false">IF($A113&gt;$B$11,"",COUNTIF($E$4:$E$8,"&lt;="&amp;$A113))</f>
        <v/>
      </c>
      <c r="C113" s="102" t="str">
        <f aca="false">IF($B113="","",$A113-INDEX($E$4:$E$8,$B113))</f>
        <v/>
      </c>
      <c r="D113" s="103" t="b">
        <f aca="false">IF($B113="",FALSE(),$C113=0)</f>
        <v>0</v>
      </c>
      <c r="E113" s="104" t="str">
        <f aca="false">IF($B113="","",INDEX($A$4:$A$8,$B113))</f>
        <v/>
      </c>
      <c r="F113" s="104" t="str">
        <f aca="false">IF($B113="","",IF($D113,UPPER($E113),CHOOSE($B113,INDEX(Hip!$I$137:$I$160,$C113),INDEX(Hamstring!$I$137:$I$160,$C113),INDEX(Knee!$I$137:$I$160,$C113),INDEX('Ankle-Foot'!$I$137:$I$160,$C113),INDEX(Shoulder!$I$137:$I$160,$C113))))</f>
        <v/>
      </c>
      <c r="G113" s="104" t="str">
        <f aca="false">IF($B113="","",IF($D113,INDEX($G$4:$G$8,$B113)&amp;"  ·  "&amp;INDEX($H$4:$H$8,$B113),CHOOSE($B113,INDEX(Hip!$C$137:$C$160,$C113),INDEX(Hamstring!$C$137:$C$160,$C113),INDEX(Knee!$C$137:$C$160,$C113),INDEX('Ankle-Foot'!$C$137:$C$160,$C113),INDEX(Shoulder!$C$137:$C$160,$C113))))</f>
        <v/>
      </c>
      <c r="H113" s="102" t="str">
        <f aca="false">IF(OR($B113="",$D113),"",CHOOSE($B113,INDEX(Hip!$E$137:$E$160,$C113),INDEX(Hamstring!$E$137:$E$160,$C113),INDEX(Knee!$E$137:$E$160,$C113),INDEX('Ankle-Foot'!$E$137:$E$160,$C113),INDEX(Shoulder!$E$137:$E$160,$C113)))</f>
        <v/>
      </c>
      <c r="I113" s="102" t="str">
        <f aca="false">IF(OR($B113="",$D113),"",CHOOSE($B113,INDEX(Hip!$F$137:$F$160,$C113),INDEX(Hamstring!$F$137:$F$160,$C113),INDEX(Knee!$F$137:$F$160,$C113),INDEX('Ankle-Foot'!$F$137:$F$160,$C113),INDEX(Shoulder!$F$137:$F$160,$C113)))</f>
        <v/>
      </c>
      <c r="J113" s="105" t="str">
        <f aca="false">IF(OR($B113="",$D113),"",CHOOSE($B113,INDEX(Hip!$G$137:$G$160,$C113),INDEX(Hamstring!$G$137:$G$160,$C113),INDEX(Knee!$G$137:$G$160,$C113),INDEX('Ankle-Foot'!$G$137:$G$160,$C113),INDEX(Shoulder!$G$137:$G$160,$C113)))</f>
        <v/>
      </c>
      <c r="K113" s="102" t="str">
        <f aca="false">IF(OR($B113="",$D113),"",CHOOSE($B113,INDEX(Hip!$K$137:$K$160,$C113),INDEX(Hamstring!$K$137:$K$160,$C113),INDEX(Knee!$K$137:$K$160,$C113),INDEX('Ankle-Foot'!$K$137:$K$160,$C113),INDEX(Shoulder!$K$137:$K$160,$C113)))</f>
        <v/>
      </c>
      <c r="L113" s="52" t="str">
        <f aca="false">IF($B113="","",IF($D113,INDEX($K$4:$K$8,$B113),CHOOSE($B113,INDEX(Hip!$H$137:$H$160,$C113),INDEX(Hamstring!$H$137:$H$160,$C113),INDEX(Knee!$H$137:$H$160,$C113),INDEX('Ankle-Foot'!$H$137:$H$160,$C113),INDEX(Shoulder!$H$137:$H$160,$C113))))</f>
        <v/>
      </c>
    </row>
    <row r="114" customFormat="false" ht="15" hidden="false" customHeight="false" outlineLevel="0" collapsed="false">
      <c r="A114" s="102" t="n">
        <v>65</v>
      </c>
      <c r="B114" s="102" t="str">
        <f aca="false">IF($A114&gt;$B$11,"",COUNTIF($E$4:$E$8,"&lt;="&amp;$A114))</f>
        <v/>
      </c>
      <c r="C114" s="102" t="str">
        <f aca="false">IF($B114="","",$A114-INDEX($E$4:$E$8,$B114))</f>
        <v/>
      </c>
      <c r="D114" s="103" t="b">
        <f aca="false">IF($B114="",FALSE(),$C114=0)</f>
        <v>0</v>
      </c>
      <c r="E114" s="104" t="str">
        <f aca="false">IF($B114="","",INDEX($A$4:$A$8,$B114))</f>
        <v/>
      </c>
      <c r="F114" s="104" t="str">
        <f aca="false">IF($B114="","",IF($D114,UPPER($E114),CHOOSE($B114,INDEX(Hip!$I$137:$I$160,$C114),INDEX(Hamstring!$I$137:$I$160,$C114),INDEX(Knee!$I$137:$I$160,$C114),INDEX('Ankle-Foot'!$I$137:$I$160,$C114),INDEX(Shoulder!$I$137:$I$160,$C114))))</f>
        <v/>
      </c>
      <c r="G114" s="104" t="str">
        <f aca="false">IF($B114="","",IF($D114,INDEX($G$4:$G$8,$B114)&amp;"  ·  "&amp;INDEX($H$4:$H$8,$B114),CHOOSE($B114,INDEX(Hip!$C$137:$C$160,$C114),INDEX(Hamstring!$C$137:$C$160,$C114),INDEX(Knee!$C$137:$C$160,$C114),INDEX('Ankle-Foot'!$C$137:$C$160,$C114),INDEX(Shoulder!$C$137:$C$160,$C114))))</f>
        <v/>
      </c>
      <c r="H114" s="102" t="str">
        <f aca="false">IF(OR($B114="",$D114),"",CHOOSE($B114,INDEX(Hip!$E$137:$E$160,$C114),INDEX(Hamstring!$E$137:$E$160,$C114),INDEX(Knee!$E$137:$E$160,$C114),INDEX('Ankle-Foot'!$E$137:$E$160,$C114),INDEX(Shoulder!$E$137:$E$160,$C114)))</f>
        <v/>
      </c>
      <c r="I114" s="102" t="str">
        <f aca="false">IF(OR($B114="",$D114),"",CHOOSE($B114,INDEX(Hip!$F$137:$F$160,$C114),INDEX(Hamstring!$F$137:$F$160,$C114),INDEX(Knee!$F$137:$F$160,$C114),INDEX('Ankle-Foot'!$F$137:$F$160,$C114),INDEX(Shoulder!$F$137:$F$160,$C114)))</f>
        <v/>
      </c>
      <c r="J114" s="105" t="str">
        <f aca="false">IF(OR($B114="",$D114),"",CHOOSE($B114,INDEX(Hip!$G$137:$G$160,$C114),INDEX(Hamstring!$G$137:$G$160,$C114),INDEX(Knee!$G$137:$G$160,$C114),INDEX('Ankle-Foot'!$G$137:$G$160,$C114),INDEX(Shoulder!$G$137:$G$160,$C114)))</f>
        <v/>
      </c>
      <c r="K114" s="102" t="str">
        <f aca="false">IF(OR($B114="",$D114),"",CHOOSE($B114,INDEX(Hip!$K$137:$K$160,$C114),INDEX(Hamstring!$K$137:$K$160,$C114),INDEX(Knee!$K$137:$K$160,$C114),INDEX('Ankle-Foot'!$K$137:$K$160,$C114),INDEX(Shoulder!$K$137:$K$160,$C114)))</f>
        <v/>
      </c>
      <c r="L114" s="52" t="str">
        <f aca="false">IF($B114="","",IF($D114,INDEX($K$4:$K$8,$B114),CHOOSE($B114,INDEX(Hip!$H$137:$H$160,$C114),INDEX(Hamstring!$H$137:$H$160,$C114),INDEX(Knee!$H$137:$H$160,$C114),INDEX('Ankle-Foot'!$H$137:$H$160,$C114),INDEX(Shoulder!$H$137:$H$160,$C114))))</f>
        <v/>
      </c>
    </row>
    <row r="115" customFormat="false" ht="15" hidden="false" customHeight="false" outlineLevel="0" collapsed="false">
      <c r="A115" s="102" t="n">
        <v>66</v>
      </c>
      <c r="B115" s="102" t="str">
        <f aca="false">IF($A115&gt;$B$11,"",COUNTIF($E$4:$E$8,"&lt;="&amp;$A115))</f>
        <v/>
      </c>
      <c r="C115" s="102" t="str">
        <f aca="false">IF($B115="","",$A115-INDEX($E$4:$E$8,$B115))</f>
        <v/>
      </c>
      <c r="D115" s="103" t="b">
        <f aca="false">IF($B115="",FALSE(),$C115=0)</f>
        <v>0</v>
      </c>
      <c r="E115" s="104" t="str">
        <f aca="false">IF($B115="","",INDEX($A$4:$A$8,$B115))</f>
        <v/>
      </c>
      <c r="F115" s="104" t="str">
        <f aca="false">IF($B115="","",IF($D115,UPPER($E115),CHOOSE($B115,INDEX(Hip!$I$137:$I$160,$C115),INDEX(Hamstring!$I$137:$I$160,$C115),INDEX(Knee!$I$137:$I$160,$C115),INDEX('Ankle-Foot'!$I$137:$I$160,$C115),INDEX(Shoulder!$I$137:$I$160,$C115))))</f>
        <v/>
      </c>
      <c r="G115" s="104" t="str">
        <f aca="false">IF($B115="","",IF($D115,INDEX($G$4:$G$8,$B115)&amp;"  ·  "&amp;INDEX($H$4:$H$8,$B115),CHOOSE($B115,INDEX(Hip!$C$137:$C$160,$C115),INDEX(Hamstring!$C$137:$C$160,$C115),INDEX(Knee!$C$137:$C$160,$C115),INDEX('Ankle-Foot'!$C$137:$C$160,$C115),INDEX(Shoulder!$C$137:$C$160,$C115))))</f>
        <v/>
      </c>
      <c r="H115" s="102" t="str">
        <f aca="false">IF(OR($B115="",$D115),"",CHOOSE($B115,INDEX(Hip!$E$137:$E$160,$C115),INDEX(Hamstring!$E$137:$E$160,$C115),INDEX(Knee!$E$137:$E$160,$C115),INDEX('Ankle-Foot'!$E$137:$E$160,$C115),INDEX(Shoulder!$E$137:$E$160,$C115)))</f>
        <v/>
      </c>
      <c r="I115" s="102" t="str">
        <f aca="false">IF(OR($B115="",$D115),"",CHOOSE($B115,INDEX(Hip!$F$137:$F$160,$C115),INDEX(Hamstring!$F$137:$F$160,$C115),INDEX(Knee!$F$137:$F$160,$C115),INDEX('Ankle-Foot'!$F$137:$F$160,$C115),INDEX(Shoulder!$F$137:$F$160,$C115)))</f>
        <v/>
      </c>
      <c r="J115" s="105" t="str">
        <f aca="false">IF(OR($B115="",$D115),"",CHOOSE($B115,INDEX(Hip!$G$137:$G$160,$C115),INDEX(Hamstring!$G$137:$G$160,$C115),INDEX(Knee!$G$137:$G$160,$C115),INDEX('Ankle-Foot'!$G$137:$G$160,$C115),INDEX(Shoulder!$G$137:$G$160,$C115)))</f>
        <v/>
      </c>
      <c r="K115" s="102" t="str">
        <f aca="false">IF(OR($B115="",$D115),"",CHOOSE($B115,INDEX(Hip!$K$137:$K$160,$C115),INDEX(Hamstring!$K$137:$K$160,$C115),INDEX(Knee!$K$137:$K$160,$C115),INDEX('Ankle-Foot'!$K$137:$K$160,$C115),INDEX(Shoulder!$K$137:$K$160,$C115)))</f>
        <v/>
      </c>
      <c r="L115" s="52" t="str">
        <f aca="false">IF($B115="","",IF($D115,INDEX($K$4:$K$8,$B115),CHOOSE($B115,INDEX(Hip!$H$137:$H$160,$C115),INDEX(Hamstring!$H$137:$H$160,$C115),INDEX(Knee!$H$137:$H$160,$C115),INDEX('Ankle-Foot'!$H$137:$H$160,$C115),INDEX(Shoulder!$H$137:$H$160,$C115))))</f>
        <v/>
      </c>
    </row>
    <row r="116" customFormat="false" ht="15" hidden="false" customHeight="false" outlineLevel="0" collapsed="false">
      <c r="A116" s="102" t="n">
        <v>67</v>
      </c>
      <c r="B116" s="102" t="str">
        <f aca="false">IF($A116&gt;$B$11,"",COUNTIF($E$4:$E$8,"&lt;="&amp;$A116))</f>
        <v/>
      </c>
      <c r="C116" s="102" t="str">
        <f aca="false">IF($B116="","",$A116-INDEX($E$4:$E$8,$B116))</f>
        <v/>
      </c>
      <c r="D116" s="103" t="b">
        <f aca="false">IF($B116="",FALSE(),$C116=0)</f>
        <v>0</v>
      </c>
      <c r="E116" s="104" t="str">
        <f aca="false">IF($B116="","",INDEX($A$4:$A$8,$B116))</f>
        <v/>
      </c>
      <c r="F116" s="104" t="str">
        <f aca="false">IF($B116="","",IF($D116,UPPER($E116),CHOOSE($B116,INDEX(Hip!$I$137:$I$160,$C116),INDEX(Hamstring!$I$137:$I$160,$C116),INDEX(Knee!$I$137:$I$160,$C116),INDEX('Ankle-Foot'!$I$137:$I$160,$C116),INDEX(Shoulder!$I$137:$I$160,$C116))))</f>
        <v/>
      </c>
      <c r="G116" s="104" t="str">
        <f aca="false">IF($B116="","",IF($D116,INDEX($G$4:$G$8,$B116)&amp;"  ·  "&amp;INDEX($H$4:$H$8,$B116),CHOOSE($B116,INDEX(Hip!$C$137:$C$160,$C116),INDEX(Hamstring!$C$137:$C$160,$C116),INDEX(Knee!$C$137:$C$160,$C116),INDEX('Ankle-Foot'!$C$137:$C$160,$C116),INDEX(Shoulder!$C$137:$C$160,$C116))))</f>
        <v/>
      </c>
      <c r="H116" s="102" t="str">
        <f aca="false">IF(OR($B116="",$D116),"",CHOOSE($B116,INDEX(Hip!$E$137:$E$160,$C116),INDEX(Hamstring!$E$137:$E$160,$C116),INDEX(Knee!$E$137:$E$160,$C116),INDEX('Ankle-Foot'!$E$137:$E$160,$C116),INDEX(Shoulder!$E$137:$E$160,$C116)))</f>
        <v/>
      </c>
      <c r="I116" s="102" t="str">
        <f aca="false">IF(OR($B116="",$D116),"",CHOOSE($B116,INDEX(Hip!$F$137:$F$160,$C116),INDEX(Hamstring!$F$137:$F$160,$C116),INDEX(Knee!$F$137:$F$160,$C116),INDEX('Ankle-Foot'!$F$137:$F$160,$C116),INDEX(Shoulder!$F$137:$F$160,$C116)))</f>
        <v/>
      </c>
      <c r="J116" s="105" t="str">
        <f aca="false">IF(OR($B116="",$D116),"",CHOOSE($B116,INDEX(Hip!$G$137:$G$160,$C116),INDEX(Hamstring!$G$137:$G$160,$C116),INDEX(Knee!$G$137:$G$160,$C116),INDEX('Ankle-Foot'!$G$137:$G$160,$C116),INDEX(Shoulder!$G$137:$G$160,$C116)))</f>
        <v/>
      </c>
      <c r="K116" s="102" t="str">
        <f aca="false">IF(OR($B116="",$D116),"",CHOOSE($B116,INDEX(Hip!$K$137:$K$160,$C116),INDEX(Hamstring!$K$137:$K$160,$C116),INDEX(Knee!$K$137:$K$160,$C116),INDEX('Ankle-Foot'!$K$137:$K$160,$C116),INDEX(Shoulder!$K$137:$K$160,$C116)))</f>
        <v/>
      </c>
      <c r="L116" s="52" t="str">
        <f aca="false">IF($B116="","",IF($D116,INDEX($K$4:$K$8,$B116),CHOOSE($B116,INDEX(Hip!$H$137:$H$160,$C116),INDEX(Hamstring!$H$137:$H$160,$C116),INDEX(Knee!$H$137:$H$160,$C116),INDEX('Ankle-Foot'!$H$137:$H$160,$C116),INDEX(Shoulder!$H$137:$H$160,$C116))))</f>
        <v/>
      </c>
    </row>
    <row r="117" customFormat="false" ht="15" hidden="false" customHeight="false" outlineLevel="0" collapsed="false">
      <c r="A117" s="102" t="n">
        <v>68</v>
      </c>
      <c r="B117" s="102" t="str">
        <f aca="false">IF($A117&gt;$B$11,"",COUNTIF($E$4:$E$8,"&lt;="&amp;$A117))</f>
        <v/>
      </c>
      <c r="C117" s="102" t="str">
        <f aca="false">IF($B117="","",$A117-INDEX($E$4:$E$8,$B117))</f>
        <v/>
      </c>
      <c r="D117" s="103" t="b">
        <f aca="false">IF($B117="",FALSE(),$C117=0)</f>
        <v>0</v>
      </c>
      <c r="E117" s="104" t="str">
        <f aca="false">IF($B117="","",INDEX($A$4:$A$8,$B117))</f>
        <v/>
      </c>
      <c r="F117" s="104" t="str">
        <f aca="false">IF($B117="","",IF($D117,UPPER($E117),CHOOSE($B117,INDEX(Hip!$I$137:$I$160,$C117),INDEX(Hamstring!$I$137:$I$160,$C117),INDEX(Knee!$I$137:$I$160,$C117),INDEX('Ankle-Foot'!$I$137:$I$160,$C117),INDEX(Shoulder!$I$137:$I$160,$C117))))</f>
        <v/>
      </c>
      <c r="G117" s="104" t="str">
        <f aca="false">IF($B117="","",IF($D117,INDEX($G$4:$G$8,$B117)&amp;"  ·  "&amp;INDEX($H$4:$H$8,$B117),CHOOSE($B117,INDEX(Hip!$C$137:$C$160,$C117),INDEX(Hamstring!$C$137:$C$160,$C117),INDEX(Knee!$C$137:$C$160,$C117),INDEX('Ankle-Foot'!$C$137:$C$160,$C117),INDEX(Shoulder!$C$137:$C$160,$C117))))</f>
        <v/>
      </c>
      <c r="H117" s="102" t="str">
        <f aca="false">IF(OR($B117="",$D117),"",CHOOSE($B117,INDEX(Hip!$E$137:$E$160,$C117),INDEX(Hamstring!$E$137:$E$160,$C117),INDEX(Knee!$E$137:$E$160,$C117),INDEX('Ankle-Foot'!$E$137:$E$160,$C117),INDEX(Shoulder!$E$137:$E$160,$C117)))</f>
        <v/>
      </c>
      <c r="I117" s="102" t="str">
        <f aca="false">IF(OR($B117="",$D117),"",CHOOSE($B117,INDEX(Hip!$F$137:$F$160,$C117),INDEX(Hamstring!$F$137:$F$160,$C117),INDEX(Knee!$F$137:$F$160,$C117),INDEX('Ankle-Foot'!$F$137:$F$160,$C117),INDEX(Shoulder!$F$137:$F$160,$C117)))</f>
        <v/>
      </c>
      <c r="J117" s="105" t="str">
        <f aca="false">IF(OR($B117="",$D117),"",CHOOSE($B117,INDEX(Hip!$G$137:$G$160,$C117),INDEX(Hamstring!$G$137:$G$160,$C117),INDEX(Knee!$G$137:$G$160,$C117),INDEX('Ankle-Foot'!$G$137:$G$160,$C117),INDEX(Shoulder!$G$137:$G$160,$C117)))</f>
        <v/>
      </c>
      <c r="K117" s="102" t="str">
        <f aca="false">IF(OR($B117="",$D117),"",CHOOSE($B117,INDEX(Hip!$K$137:$K$160,$C117),INDEX(Hamstring!$K$137:$K$160,$C117),INDEX(Knee!$K$137:$K$160,$C117),INDEX('Ankle-Foot'!$K$137:$K$160,$C117),INDEX(Shoulder!$K$137:$K$160,$C117)))</f>
        <v/>
      </c>
      <c r="L117" s="52" t="str">
        <f aca="false">IF($B117="","",IF($D117,INDEX($K$4:$K$8,$B117),CHOOSE($B117,INDEX(Hip!$H$137:$H$160,$C117),INDEX(Hamstring!$H$137:$H$160,$C117),INDEX(Knee!$H$137:$H$160,$C117),INDEX('Ankle-Foot'!$H$137:$H$160,$C117),INDEX(Shoulder!$H$137:$H$160,$C117))))</f>
        <v/>
      </c>
    </row>
    <row r="118" customFormat="false" ht="15" hidden="false" customHeight="false" outlineLevel="0" collapsed="false">
      <c r="A118" s="102" t="n">
        <v>69</v>
      </c>
      <c r="B118" s="102" t="str">
        <f aca="false">IF($A118&gt;$B$11,"",COUNTIF($E$4:$E$8,"&lt;="&amp;$A118))</f>
        <v/>
      </c>
      <c r="C118" s="102" t="str">
        <f aca="false">IF($B118="","",$A118-INDEX($E$4:$E$8,$B118))</f>
        <v/>
      </c>
      <c r="D118" s="103" t="b">
        <f aca="false">IF($B118="",FALSE(),$C118=0)</f>
        <v>0</v>
      </c>
      <c r="E118" s="104" t="str">
        <f aca="false">IF($B118="","",INDEX($A$4:$A$8,$B118))</f>
        <v/>
      </c>
      <c r="F118" s="104" t="str">
        <f aca="false">IF($B118="","",IF($D118,UPPER($E118),CHOOSE($B118,INDEX(Hip!$I$137:$I$160,$C118),INDEX(Hamstring!$I$137:$I$160,$C118),INDEX(Knee!$I$137:$I$160,$C118),INDEX('Ankle-Foot'!$I$137:$I$160,$C118),INDEX(Shoulder!$I$137:$I$160,$C118))))</f>
        <v/>
      </c>
      <c r="G118" s="104" t="str">
        <f aca="false">IF($B118="","",IF($D118,INDEX($G$4:$G$8,$B118)&amp;"  ·  "&amp;INDEX($H$4:$H$8,$B118),CHOOSE($B118,INDEX(Hip!$C$137:$C$160,$C118),INDEX(Hamstring!$C$137:$C$160,$C118),INDEX(Knee!$C$137:$C$160,$C118),INDEX('Ankle-Foot'!$C$137:$C$160,$C118),INDEX(Shoulder!$C$137:$C$160,$C118))))</f>
        <v/>
      </c>
      <c r="H118" s="102" t="str">
        <f aca="false">IF(OR($B118="",$D118),"",CHOOSE($B118,INDEX(Hip!$E$137:$E$160,$C118),INDEX(Hamstring!$E$137:$E$160,$C118),INDEX(Knee!$E$137:$E$160,$C118),INDEX('Ankle-Foot'!$E$137:$E$160,$C118),INDEX(Shoulder!$E$137:$E$160,$C118)))</f>
        <v/>
      </c>
      <c r="I118" s="102" t="str">
        <f aca="false">IF(OR($B118="",$D118),"",CHOOSE($B118,INDEX(Hip!$F$137:$F$160,$C118),INDEX(Hamstring!$F$137:$F$160,$C118),INDEX(Knee!$F$137:$F$160,$C118),INDEX('Ankle-Foot'!$F$137:$F$160,$C118),INDEX(Shoulder!$F$137:$F$160,$C118)))</f>
        <v/>
      </c>
      <c r="J118" s="105" t="str">
        <f aca="false">IF(OR($B118="",$D118),"",CHOOSE($B118,INDEX(Hip!$G$137:$G$160,$C118),INDEX(Hamstring!$G$137:$G$160,$C118),INDEX(Knee!$G$137:$G$160,$C118),INDEX('Ankle-Foot'!$G$137:$G$160,$C118),INDEX(Shoulder!$G$137:$G$160,$C118)))</f>
        <v/>
      </c>
      <c r="K118" s="102" t="str">
        <f aca="false">IF(OR($B118="",$D118),"",CHOOSE($B118,INDEX(Hip!$K$137:$K$160,$C118),INDEX(Hamstring!$K$137:$K$160,$C118),INDEX(Knee!$K$137:$K$160,$C118),INDEX('Ankle-Foot'!$K$137:$K$160,$C118),INDEX(Shoulder!$K$137:$K$160,$C118)))</f>
        <v/>
      </c>
      <c r="L118" s="52" t="str">
        <f aca="false">IF($B118="","",IF($D118,INDEX($K$4:$K$8,$B118),CHOOSE($B118,INDEX(Hip!$H$137:$H$160,$C118),INDEX(Hamstring!$H$137:$H$160,$C118),INDEX(Knee!$H$137:$H$160,$C118),INDEX('Ankle-Foot'!$H$137:$H$160,$C118),INDEX(Shoulder!$H$137:$H$160,$C118))))</f>
        <v/>
      </c>
    </row>
    <row r="119" customFormat="false" ht="15" hidden="false" customHeight="false" outlineLevel="0" collapsed="false">
      <c r="A119" s="102" t="n">
        <v>70</v>
      </c>
      <c r="B119" s="102" t="str">
        <f aca="false">IF($A119&gt;$B$11,"",COUNTIF($E$4:$E$8,"&lt;="&amp;$A119))</f>
        <v/>
      </c>
      <c r="C119" s="102" t="str">
        <f aca="false">IF($B119="","",$A119-INDEX($E$4:$E$8,$B119))</f>
        <v/>
      </c>
      <c r="D119" s="103" t="b">
        <f aca="false">IF($B119="",FALSE(),$C119=0)</f>
        <v>0</v>
      </c>
      <c r="E119" s="104" t="str">
        <f aca="false">IF($B119="","",INDEX($A$4:$A$8,$B119))</f>
        <v/>
      </c>
      <c r="F119" s="104" t="str">
        <f aca="false">IF($B119="","",IF($D119,UPPER($E119),CHOOSE($B119,INDEX(Hip!$I$137:$I$160,$C119),INDEX(Hamstring!$I$137:$I$160,$C119),INDEX(Knee!$I$137:$I$160,$C119),INDEX('Ankle-Foot'!$I$137:$I$160,$C119),INDEX(Shoulder!$I$137:$I$160,$C119))))</f>
        <v/>
      </c>
      <c r="G119" s="104" t="str">
        <f aca="false">IF($B119="","",IF($D119,INDEX($G$4:$G$8,$B119)&amp;"  ·  "&amp;INDEX($H$4:$H$8,$B119),CHOOSE($B119,INDEX(Hip!$C$137:$C$160,$C119),INDEX(Hamstring!$C$137:$C$160,$C119),INDEX(Knee!$C$137:$C$160,$C119),INDEX('Ankle-Foot'!$C$137:$C$160,$C119),INDEX(Shoulder!$C$137:$C$160,$C119))))</f>
        <v/>
      </c>
      <c r="H119" s="102" t="str">
        <f aca="false">IF(OR($B119="",$D119),"",CHOOSE($B119,INDEX(Hip!$E$137:$E$160,$C119),INDEX(Hamstring!$E$137:$E$160,$C119),INDEX(Knee!$E$137:$E$160,$C119),INDEX('Ankle-Foot'!$E$137:$E$160,$C119),INDEX(Shoulder!$E$137:$E$160,$C119)))</f>
        <v/>
      </c>
      <c r="I119" s="102" t="str">
        <f aca="false">IF(OR($B119="",$D119),"",CHOOSE($B119,INDEX(Hip!$F$137:$F$160,$C119),INDEX(Hamstring!$F$137:$F$160,$C119),INDEX(Knee!$F$137:$F$160,$C119),INDEX('Ankle-Foot'!$F$137:$F$160,$C119),INDEX(Shoulder!$F$137:$F$160,$C119)))</f>
        <v/>
      </c>
      <c r="J119" s="105" t="str">
        <f aca="false">IF(OR($B119="",$D119),"",CHOOSE($B119,INDEX(Hip!$G$137:$G$160,$C119),INDEX(Hamstring!$G$137:$G$160,$C119),INDEX(Knee!$G$137:$G$160,$C119),INDEX('Ankle-Foot'!$G$137:$G$160,$C119),INDEX(Shoulder!$G$137:$G$160,$C119)))</f>
        <v/>
      </c>
      <c r="K119" s="102" t="str">
        <f aca="false">IF(OR($B119="",$D119),"",CHOOSE($B119,INDEX(Hip!$K$137:$K$160,$C119),INDEX(Hamstring!$K$137:$K$160,$C119),INDEX(Knee!$K$137:$K$160,$C119),INDEX('Ankle-Foot'!$K$137:$K$160,$C119),INDEX(Shoulder!$K$137:$K$160,$C119)))</f>
        <v/>
      </c>
      <c r="L119" s="52" t="str">
        <f aca="false">IF($B119="","",IF($D119,INDEX($K$4:$K$8,$B119),CHOOSE($B119,INDEX(Hip!$H$137:$H$160,$C119),INDEX(Hamstring!$H$137:$H$160,$C119),INDEX(Knee!$H$137:$H$160,$C119),INDEX('Ankle-Foot'!$H$137:$H$160,$C119),INDEX(Shoulder!$H$137:$H$160,$C119))))</f>
        <v/>
      </c>
    </row>
    <row r="120" customFormat="false" ht="15" hidden="false" customHeight="false" outlineLevel="0" collapsed="false">
      <c r="A120" s="102" t="n">
        <v>71</v>
      </c>
      <c r="B120" s="102" t="str">
        <f aca="false">IF($A120&gt;$B$11,"",COUNTIF($E$4:$E$8,"&lt;="&amp;$A120))</f>
        <v/>
      </c>
      <c r="C120" s="102" t="str">
        <f aca="false">IF($B120="","",$A120-INDEX($E$4:$E$8,$B120))</f>
        <v/>
      </c>
      <c r="D120" s="103" t="b">
        <f aca="false">IF($B120="",FALSE(),$C120=0)</f>
        <v>0</v>
      </c>
      <c r="E120" s="104" t="str">
        <f aca="false">IF($B120="","",INDEX($A$4:$A$8,$B120))</f>
        <v/>
      </c>
      <c r="F120" s="104" t="str">
        <f aca="false">IF($B120="","",IF($D120,UPPER($E120),CHOOSE($B120,INDEX(Hip!$I$137:$I$160,$C120),INDEX(Hamstring!$I$137:$I$160,$C120),INDEX(Knee!$I$137:$I$160,$C120),INDEX('Ankle-Foot'!$I$137:$I$160,$C120),INDEX(Shoulder!$I$137:$I$160,$C120))))</f>
        <v/>
      </c>
      <c r="G120" s="104" t="str">
        <f aca="false">IF($B120="","",IF($D120,INDEX($G$4:$G$8,$B120)&amp;"  ·  "&amp;INDEX($H$4:$H$8,$B120),CHOOSE($B120,INDEX(Hip!$C$137:$C$160,$C120),INDEX(Hamstring!$C$137:$C$160,$C120),INDEX(Knee!$C$137:$C$160,$C120),INDEX('Ankle-Foot'!$C$137:$C$160,$C120),INDEX(Shoulder!$C$137:$C$160,$C120))))</f>
        <v/>
      </c>
      <c r="H120" s="102" t="str">
        <f aca="false">IF(OR($B120="",$D120),"",CHOOSE($B120,INDEX(Hip!$E$137:$E$160,$C120),INDEX(Hamstring!$E$137:$E$160,$C120),INDEX(Knee!$E$137:$E$160,$C120),INDEX('Ankle-Foot'!$E$137:$E$160,$C120),INDEX(Shoulder!$E$137:$E$160,$C120)))</f>
        <v/>
      </c>
      <c r="I120" s="102" t="str">
        <f aca="false">IF(OR($B120="",$D120),"",CHOOSE($B120,INDEX(Hip!$F$137:$F$160,$C120),INDEX(Hamstring!$F$137:$F$160,$C120),INDEX(Knee!$F$137:$F$160,$C120),INDEX('Ankle-Foot'!$F$137:$F$160,$C120),INDEX(Shoulder!$F$137:$F$160,$C120)))</f>
        <v/>
      </c>
      <c r="J120" s="105" t="str">
        <f aca="false">IF(OR($B120="",$D120),"",CHOOSE($B120,INDEX(Hip!$G$137:$G$160,$C120),INDEX(Hamstring!$G$137:$G$160,$C120),INDEX(Knee!$G$137:$G$160,$C120),INDEX('Ankle-Foot'!$G$137:$G$160,$C120),INDEX(Shoulder!$G$137:$G$160,$C120)))</f>
        <v/>
      </c>
      <c r="K120" s="102" t="str">
        <f aca="false">IF(OR($B120="",$D120),"",CHOOSE($B120,INDEX(Hip!$K$137:$K$160,$C120),INDEX(Hamstring!$K$137:$K$160,$C120),INDEX(Knee!$K$137:$K$160,$C120),INDEX('Ankle-Foot'!$K$137:$K$160,$C120),INDEX(Shoulder!$K$137:$K$160,$C120)))</f>
        <v/>
      </c>
      <c r="L120" s="52" t="str">
        <f aca="false">IF($B120="","",IF($D120,INDEX($K$4:$K$8,$B120),CHOOSE($B120,INDEX(Hip!$H$137:$H$160,$C120),INDEX(Hamstring!$H$137:$H$160,$C120),INDEX(Knee!$H$137:$H$160,$C120),INDEX('Ankle-Foot'!$H$137:$H$160,$C120),INDEX(Shoulder!$H$137:$H$160,$C120))))</f>
        <v/>
      </c>
    </row>
    <row r="121" customFormat="false" ht="15" hidden="false" customHeight="false" outlineLevel="0" collapsed="false">
      <c r="A121" s="102" t="n">
        <v>72</v>
      </c>
      <c r="B121" s="102" t="str">
        <f aca="false">IF($A121&gt;$B$11,"",COUNTIF($E$4:$E$8,"&lt;="&amp;$A121))</f>
        <v/>
      </c>
      <c r="C121" s="102" t="str">
        <f aca="false">IF($B121="","",$A121-INDEX($E$4:$E$8,$B121))</f>
        <v/>
      </c>
      <c r="D121" s="103" t="b">
        <f aca="false">IF($B121="",FALSE(),$C121=0)</f>
        <v>0</v>
      </c>
      <c r="E121" s="104" t="str">
        <f aca="false">IF($B121="","",INDEX($A$4:$A$8,$B121))</f>
        <v/>
      </c>
      <c r="F121" s="104" t="str">
        <f aca="false">IF($B121="","",IF($D121,UPPER($E121),CHOOSE($B121,INDEX(Hip!$I$137:$I$160,$C121),INDEX(Hamstring!$I$137:$I$160,$C121),INDEX(Knee!$I$137:$I$160,$C121),INDEX('Ankle-Foot'!$I$137:$I$160,$C121),INDEX(Shoulder!$I$137:$I$160,$C121))))</f>
        <v/>
      </c>
      <c r="G121" s="104" t="str">
        <f aca="false">IF($B121="","",IF($D121,INDEX($G$4:$G$8,$B121)&amp;"  ·  "&amp;INDEX($H$4:$H$8,$B121),CHOOSE($B121,INDEX(Hip!$C$137:$C$160,$C121),INDEX(Hamstring!$C$137:$C$160,$C121),INDEX(Knee!$C$137:$C$160,$C121),INDEX('Ankle-Foot'!$C$137:$C$160,$C121),INDEX(Shoulder!$C$137:$C$160,$C121))))</f>
        <v/>
      </c>
      <c r="H121" s="102" t="str">
        <f aca="false">IF(OR($B121="",$D121),"",CHOOSE($B121,INDEX(Hip!$E$137:$E$160,$C121),INDEX(Hamstring!$E$137:$E$160,$C121),INDEX(Knee!$E$137:$E$160,$C121),INDEX('Ankle-Foot'!$E$137:$E$160,$C121),INDEX(Shoulder!$E$137:$E$160,$C121)))</f>
        <v/>
      </c>
      <c r="I121" s="102" t="str">
        <f aca="false">IF(OR($B121="",$D121),"",CHOOSE($B121,INDEX(Hip!$F$137:$F$160,$C121),INDEX(Hamstring!$F$137:$F$160,$C121),INDEX(Knee!$F$137:$F$160,$C121),INDEX('Ankle-Foot'!$F$137:$F$160,$C121),INDEX(Shoulder!$F$137:$F$160,$C121)))</f>
        <v/>
      </c>
      <c r="J121" s="105" t="str">
        <f aca="false">IF(OR($B121="",$D121),"",CHOOSE($B121,INDEX(Hip!$G$137:$G$160,$C121),INDEX(Hamstring!$G$137:$G$160,$C121),INDEX(Knee!$G$137:$G$160,$C121),INDEX('Ankle-Foot'!$G$137:$G$160,$C121),INDEX(Shoulder!$G$137:$G$160,$C121)))</f>
        <v/>
      </c>
      <c r="K121" s="102" t="str">
        <f aca="false">IF(OR($B121="",$D121),"",CHOOSE($B121,INDEX(Hip!$K$137:$K$160,$C121),INDEX(Hamstring!$K$137:$K$160,$C121),INDEX(Knee!$K$137:$K$160,$C121),INDEX('Ankle-Foot'!$K$137:$K$160,$C121),INDEX(Shoulder!$K$137:$K$160,$C121)))</f>
        <v/>
      </c>
      <c r="L121" s="52" t="str">
        <f aca="false">IF($B121="","",IF($D121,INDEX($K$4:$K$8,$B121),CHOOSE($B121,INDEX(Hip!$H$137:$H$160,$C121),INDEX(Hamstring!$H$137:$H$160,$C121),INDEX(Knee!$H$137:$H$160,$C121),INDEX('Ankle-Foot'!$H$137:$H$160,$C121),INDEX(Shoulder!$H$137:$H$160,$C121))))</f>
        <v/>
      </c>
    </row>
    <row r="122" customFormat="false" ht="15" hidden="false" customHeight="false" outlineLevel="0" collapsed="false">
      <c r="A122" s="102" t="n">
        <v>73</v>
      </c>
      <c r="B122" s="102" t="str">
        <f aca="false">IF($A122&gt;$B$11,"",COUNTIF($E$4:$E$8,"&lt;="&amp;$A122))</f>
        <v/>
      </c>
      <c r="C122" s="102" t="str">
        <f aca="false">IF($B122="","",$A122-INDEX($E$4:$E$8,$B122))</f>
        <v/>
      </c>
      <c r="D122" s="103" t="b">
        <f aca="false">IF($B122="",FALSE(),$C122=0)</f>
        <v>0</v>
      </c>
      <c r="E122" s="104" t="str">
        <f aca="false">IF($B122="","",INDEX($A$4:$A$8,$B122))</f>
        <v/>
      </c>
      <c r="F122" s="104" t="str">
        <f aca="false">IF($B122="","",IF($D122,UPPER($E122),CHOOSE($B122,INDEX(Hip!$I$137:$I$160,$C122),INDEX(Hamstring!$I$137:$I$160,$C122),INDEX(Knee!$I$137:$I$160,$C122),INDEX('Ankle-Foot'!$I$137:$I$160,$C122),INDEX(Shoulder!$I$137:$I$160,$C122))))</f>
        <v/>
      </c>
      <c r="G122" s="104" t="str">
        <f aca="false">IF($B122="","",IF($D122,INDEX($G$4:$G$8,$B122)&amp;"  ·  "&amp;INDEX($H$4:$H$8,$B122),CHOOSE($B122,INDEX(Hip!$C$137:$C$160,$C122),INDEX(Hamstring!$C$137:$C$160,$C122),INDEX(Knee!$C$137:$C$160,$C122),INDEX('Ankle-Foot'!$C$137:$C$160,$C122),INDEX(Shoulder!$C$137:$C$160,$C122))))</f>
        <v/>
      </c>
      <c r="H122" s="102" t="str">
        <f aca="false">IF(OR($B122="",$D122),"",CHOOSE($B122,INDEX(Hip!$E$137:$E$160,$C122),INDEX(Hamstring!$E$137:$E$160,$C122),INDEX(Knee!$E$137:$E$160,$C122),INDEX('Ankle-Foot'!$E$137:$E$160,$C122),INDEX(Shoulder!$E$137:$E$160,$C122)))</f>
        <v/>
      </c>
      <c r="I122" s="102" t="str">
        <f aca="false">IF(OR($B122="",$D122),"",CHOOSE($B122,INDEX(Hip!$F$137:$F$160,$C122),INDEX(Hamstring!$F$137:$F$160,$C122),INDEX(Knee!$F$137:$F$160,$C122),INDEX('Ankle-Foot'!$F$137:$F$160,$C122),INDEX(Shoulder!$F$137:$F$160,$C122)))</f>
        <v/>
      </c>
      <c r="J122" s="105" t="str">
        <f aca="false">IF(OR($B122="",$D122),"",CHOOSE($B122,INDEX(Hip!$G$137:$G$160,$C122),INDEX(Hamstring!$G$137:$G$160,$C122),INDEX(Knee!$G$137:$G$160,$C122),INDEX('Ankle-Foot'!$G$137:$G$160,$C122),INDEX(Shoulder!$G$137:$G$160,$C122)))</f>
        <v/>
      </c>
      <c r="K122" s="102" t="str">
        <f aca="false">IF(OR($B122="",$D122),"",CHOOSE($B122,INDEX(Hip!$K$137:$K$160,$C122),INDEX(Hamstring!$K$137:$K$160,$C122),INDEX(Knee!$K$137:$K$160,$C122),INDEX('Ankle-Foot'!$K$137:$K$160,$C122),INDEX(Shoulder!$K$137:$K$160,$C122)))</f>
        <v/>
      </c>
      <c r="L122" s="52" t="str">
        <f aca="false">IF($B122="","",IF($D122,INDEX($K$4:$K$8,$B122),CHOOSE($B122,INDEX(Hip!$H$137:$H$160,$C122),INDEX(Hamstring!$H$137:$H$160,$C122),INDEX(Knee!$H$137:$H$160,$C122),INDEX('Ankle-Foot'!$H$137:$H$160,$C122),INDEX(Shoulder!$H$137:$H$160,$C122))))</f>
        <v/>
      </c>
    </row>
    <row r="123" customFormat="false" ht="15" hidden="false" customHeight="false" outlineLevel="0" collapsed="false">
      <c r="A123" s="102" t="n">
        <v>74</v>
      </c>
      <c r="B123" s="102" t="str">
        <f aca="false">IF($A123&gt;$B$11,"",COUNTIF($E$4:$E$8,"&lt;="&amp;$A123))</f>
        <v/>
      </c>
      <c r="C123" s="102" t="str">
        <f aca="false">IF($B123="","",$A123-INDEX($E$4:$E$8,$B123))</f>
        <v/>
      </c>
      <c r="D123" s="103" t="b">
        <f aca="false">IF($B123="",FALSE(),$C123=0)</f>
        <v>0</v>
      </c>
      <c r="E123" s="104" t="str">
        <f aca="false">IF($B123="","",INDEX($A$4:$A$8,$B123))</f>
        <v/>
      </c>
      <c r="F123" s="104" t="str">
        <f aca="false">IF($B123="","",IF($D123,UPPER($E123),CHOOSE($B123,INDEX(Hip!$I$137:$I$160,$C123),INDEX(Hamstring!$I$137:$I$160,$C123),INDEX(Knee!$I$137:$I$160,$C123),INDEX('Ankle-Foot'!$I$137:$I$160,$C123),INDEX(Shoulder!$I$137:$I$160,$C123))))</f>
        <v/>
      </c>
      <c r="G123" s="104" t="str">
        <f aca="false">IF($B123="","",IF($D123,INDEX($G$4:$G$8,$B123)&amp;"  ·  "&amp;INDEX($H$4:$H$8,$B123),CHOOSE($B123,INDEX(Hip!$C$137:$C$160,$C123),INDEX(Hamstring!$C$137:$C$160,$C123),INDEX(Knee!$C$137:$C$160,$C123),INDEX('Ankle-Foot'!$C$137:$C$160,$C123),INDEX(Shoulder!$C$137:$C$160,$C123))))</f>
        <v/>
      </c>
      <c r="H123" s="102" t="str">
        <f aca="false">IF(OR($B123="",$D123),"",CHOOSE($B123,INDEX(Hip!$E$137:$E$160,$C123),INDEX(Hamstring!$E$137:$E$160,$C123),INDEX(Knee!$E$137:$E$160,$C123),INDEX('Ankle-Foot'!$E$137:$E$160,$C123),INDEX(Shoulder!$E$137:$E$160,$C123)))</f>
        <v/>
      </c>
      <c r="I123" s="102" t="str">
        <f aca="false">IF(OR($B123="",$D123),"",CHOOSE($B123,INDEX(Hip!$F$137:$F$160,$C123),INDEX(Hamstring!$F$137:$F$160,$C123),INDEX(Knee!$F$137:$F$160,$C123),INDEX('Ankle-Foot'!$F$137:$F$160,$C123),INDEX(Shoulder!$F$137:$F$160,$C123)))</f>
        <v/>
      </c>
      <c r="J123" s="105" t="str">
        <f aca="false">IF(OR($B123="",$D123),"",CHOOSE($B123,INDEX(Hip!$G$137:$G$160,$C123),INDEX(Hamstring!$G$137:$G$160,$C123),INDEX(Knee!$G$137:$G$160,$C123),INDEX('Ankle-Foot'!$G$137:$G$160,$C123),INDEX(Shoulder!$G$137:$G$160,$C123)))</f>
        <v/>
      </c>
      <c r="K123" s="102" t="str">
        <f aca="false">IF(OR($B123="",$D123),"",CHOOSE($B123,INDEX(Hip!$K$137:$K$160,$C123),INDEX(Hamstring!$K$137:$K$160,$C123),INDEX(Knee!$K$137:$K$160,$C123),INDEX('Ankle-Foot'!$K$137:$K$160,$C123),INDEX(Shoulder!$K$137:$K$160,$C123)))</f>
        <v/>
      </c>
      <c r="L123" s="52" t="str">
        <f aca="false">IF($B123="","",IF($D123,INDEX($K$4:$K$8,$B123),CHOOSE($B123,INDEX(Hip!$H$137:$H$160,$C123),INDEX(Hamstring!$H$137:$H$160,$C123),INDEX(Knee!$H$137:$H$160,$C123),INDEX('Ankle-Foot'!$H$137:$H$160,$C123),INDEX(Shoulder!$H$137:$H$160,$C123))))</f>
        <v/>
      </c>
    </row>
    <row r="124" customFormat="false" ht="15" hidden="false" customHeight="false" outlineLevel="0" collapsed="false">
      <c r="A124" s="102" t="n">
        <v>75</v>
      </c>
      <c r="B124" s="102" t="str">
        <f aca="false">IF($A124&gt;$B$11,"",COUNTIF($E$4:$E$8,"&lt;="&amp;$A124))</f>
        <v/>
      </c>
      <c r="C124" s="102" t="str">
        <f aca="false">IF($B124="","",$A124-INDEX($E$4:$E$8,$B124))</f>
        <v/>
      </c>
      <c r="D124" s="103" t="b">
        <f aca="false">IF($B124="",FALSE(),$C124=0)</f>
        <v>0</v>
      </c>
      <c r="E124" s="104" t="str">
        <f aca="false">IF($B124="","",INDEX($A$4:$A$8,$B124))</f>
        <v/>
      </c>
      <c r="F124" s="104" t="str">
        <f aca="false">IF($B124="","",IF($D124,UPPER($E124),CHOOSE($B124,INDEX(Hip!$I$137:$I$160,$C124),INDEX(Hamstring!$I$137:$I$160,$C124),INDEX(Knee!$I$137:$I$160,$C124),INDEX('Ankle-Foot'!$I$137:$I$160,$C124),INDEX(Shoulder!$I$137:$I$160,$C124))))</f>
        <v/>
      </c>
      <c r="G124" s="104" t="str">
        <f aca="false">IF($B124="","",IF($D124,INDEX($G$4:$G$8,$B124)&amp;"  ·  "&amp;INDEX($H$4:$H$8,$B124),CHOOSE($B124,INDEX(Hip!$C$137:$C$160,$C124),INDEX(Hamstring!$C$137:$C$160,$C124),INDEX(Knee!$C$137:$C$160,$C124),INDEX('Ankle-Foot'!$C$137:$C$160,$C124),INDEX(Shoulder!$C$137:$C$160,$C124))))</f>
        <v/>
      </c>
      <c r="H124" s="102" t="str">
        <f aca="false">IF(OR($B124="",$D124),"",CHOOSE($B124,INDEX(Hip!$E$137:$E$160,$C124),INDEX(Hamstring!$E$137:$E$160,$C124),INDEX(Knee!$E$137:$E$160,$C124),INDEX('Ankle-Foot'!$E$137:$E$160,$C124),INDEX(Shoulder!$E$137:$E$160,$C124)))</f>
        <v/>
      </c>
      <c r="I124" s="102" t="str">
        <f aca="false">IF(OR($B124="",$D124),"",CHOOSE($B124,INDEX(Hip!$F$137:$F$160,$C124),INDEX(Hamstring!$F$137:$F$160,$C124),INDEX(Knee!$F$137:$F$160,$C124),INDEX('Ankle-Foot'!$F$137:$F$160,$C124),INDEX(Shoulder!$F$137:$F$160,$C124)))</f>
        <v/>
      </c>
      <c r="J124" s="105" t="str">
        <f aca="false">IF(OR($B124="",$D124),"",CHOOSE($B124,INDEX(Hip!$G$137:$G$160,$C124),INDEX(Hamstring!$G$137:$G$160,$C124),INDEX(Knee!$G$137:$G$160,$C124),INDEX('Ankle-Foot'!$G$137:$G$160,$C124),INDEX(Shoulder!$G$137:$G$160,$C124)))</f>
        <v/>
      </c>
      <c r="K124" s="102" t="str">
        <f aca="false">IF(OR($B124="",$D124),"",CHOOSE($B124,INDEX(Hip!$K$137:$K$160,$C124),INDEX(Hamstring!$K$137:$K$160,$C124),INDEX(Knee!$K$137:$K$160,$C124),INDEX('Ankle-Foot'!$K$137:$K$160,$C124),INDEX(Shoulder!$K$137:$K$160,$C124)))</f>
        <v/>
      </c>
      <c r="L124" s="52" t="str">
        <f aca="false">IF($B124="","",IF($D124,INDEX($K$4:$K$8,$B124),CHOOSE($B124,INDEX(Hip!$H$137:$H$160,$C124),INDEX(Hamstring!$H$137:$H$160,$C124),INDEX(Knee!$H$137:$H$160,$C124),INDEX('Ankle-Foot'!$H$137:$H$160,$C124),INDEX(Shoulder!$H$137:$H$160,$C124))))</f>
        <v/>
      </c>
    </row>
    <row r="125" customFormat="false" ht="15" hidden="false" customHeight="false" outlineLevel="0" collapsed="false">
      <c r="A125" s="102" t="n">
        <v>76</v>
      </c>
      <c r="B125" s="102" t="str">
        <f aca="false">IF($A125&gt;$B$11,"",COUNTIF($E$4:$E$8,"&lt;="&amp;$A125))</f>
        <v/>
      </c>
      <c r="C125" s="102" t="str">
        <f aca="false">IF($B125="","",$A125-INDEX($E$4:$E$8,$B125))</f>
        <v/>
      </c>
      <c r="D125" s="103" t="b">
        <f aca="false">IF($B125="",FALSE(),$C125=0)</f>
        <v>0</v>
      </c>
      <c r="E125" s="104" t="str">
        <f aca="false">IF($B125="","",INDEX($A$4:$A$8,$B125))</f>
        <v/>
      </c>
      <c r="F125" s="104" t="str">
        <f aca="false">IF($B125="","",IF($D125,UPPER($E125),CHOOSE($B125,INDEX(Hip!$I$137:$I$160,$C125),INDEX(Hamstring!$I$137:$I$160,$C125),INDEX(Knee!$I$137:$I$160,$C125),INDEX('Ankle-Foot'!$I$137:$I$160,$C125),INDEX(Shoulder!$I$137:$I$160,$C125))))</f>
        <v/>
      </c>
      <c r="G125" s="104" t="str">
        <f aca="false">IF($B125="","",IF($D125,INDEX($G$4:$G$8,$B125)&amp;"  ·  "&amp;INDEX($H$4:$H$8,$B125),CHOOSE($B125,INDEX(Hip!$C$137:$C$160,$C125),INDEX(Hamstring!$C$137:$C$160,$C125),INDEX(Knee!$C$137:$C$160,$C125),INDEX('Ankle-Foot'!$C$137:$C$160,$C125),INDEX(Shoulder!$C$137:$C$160,$C125))))</f>
        <v/>
      </c>
      <c r="H125" s="102" t="str">
        <f aca="false">IF(OR($B125="",$D125),"",CHOOSE($B125,INDEX(Hip!$E$137:$E$160,$C125),INDEX(Hamstring!$E$137:$E$160,$C125),INDEX(Knee!$E$137:$E$160,$C125),INDEX('Ankle-Foot'!$E$137:$E$160,$C125),INDEX(Shoulder!$E$137:$E$160,$C125)))</f>
        <v/>
      </c>
      <c r="I125" s="102" t="str">
        <f aca="false">IF(OR($B125="",$D125),"",CHOOSE($B125,INDEX(Hip!$F$137:$F$160,$C125),INDEX(Hamstring!$F$137:$F$160,$C125),INDEX(Knee!$F$137:$F$160,$C125),INDEX('Ankle-Foot'!$F$137:$F$160,$C125),INDEX(Shoulder!$F$137:$F$160,$C125)))</f>
        <v/>
      </c>
      <c r="J125" s="105" t="str">
        <f aca="false">IF(OR($B125="",$D125),"",CHOOSE($B125,INDEX(Hip!$G$137:$G$160,$C125),INDEX(Hamstring!$G$137:$G$160,$C125),INDEX(Knee!$G$137:$G$160,$C125),INDEX('Ankle-Foot'!$G$137:$G$160,$C125),INDEX(Shoulder!$G$137:$G$160,$C125)))</f>
        <v/>
      </c>
      <c r="K125" s="102" t="str">
        <f aca="false">IF(OR($B125="",$D125),"",CHOOSE($B125,INDEX(Hip!$K$137:$K$160,$C125),INDEX(Hamstring!$K$137:$K$160,$C125),INDEX(Knee!$K$137:$K$160,$C125),INDEX('Ankle-Foot'!$K$137:$K$160,$C125),INDEX(Shoulder!$K$137:$K$160,$C125)))</f>
        <v/>
      </c>
      <c r="L125" s="52" t="str">
        <f aca="false">IF($B125="","",IF($D125,INDEX($K$4:$K$8,$B125),CHOOSE($B125,INDEX(Hip!$H$137:$H$160,$C125),INDEX(Hamstring!$H$137:$H$160,$C125),INDEX(Knee!$H$137:$H$160,$C125),INDEX('Ankle-Foot'!$H$137:$H$160,$C125),INDEX(Shoulder!$H$137:$H$160,$C125))))</f>
        <v/>
      </c>
    </row>
    <row r="126" customFormat="false" ht="15" hidden="false" customHeight="false" outlineLevel="0" collapsed="false">
      <c r="A126" s="102" t="n">
        <v>77</v>
      </c>
      <c r="B126" s="102" t="str">
        <f aca="false">IF($A126&gt;$B$11,"",COUNTIF($E$4:$E$8,"&lt;="&amp;$A126))</f>
        <v/>
      </c>
      <c r="C126" s="102" t="str">
        <f aca="false">IF($B126="","",$A126-INDEX($E$4:$E$8,$B126))</f>
        <v/>
      </c>
      <c r="D126" s="103" t="b">
        <f aca="false">IF($B126="",FALSE(),$C126=0)</f>
        <v>0</v>
      </c>
      <c r="E126" s="104" t="str">
        <f aca="false">IF($B126="","",INDEX($A$4:$A$8,$B126))</f>
        <v/>
      </c>
      <c r="F126" s="104" t="str">
        <f aca="false">IF($B126="","",IF($D126,UPPER($E126),CHOOSE($B126,INDEX(Hip!$I$137:$I$160,$C126),INDEX(Hamstring!$I$137:$I$160,$C126),INDEX(Knee!$I$137:$I$160,$C126),INDEX('Ankle-Foot'!$I$137:$I$160,$C126),INDEX(Shoulder!$I$137:$I$160,$C126))))</f>
        <v/>
      </c>
      <c r="G126" s="104" t="str">
        <f aca="false">IF($B126="","",IF($D126,INDEX($G$4:$G$8,$B126)&amp;"  ·  "&amp;INDEX($H$4:$H$8,$B126),CHOOSE($B126,INDEX(Hip!$C$137:$C$160,$C126),INDEX(Hamstring!$C$137:$C$160,$C126),INDEX(Knee!$C$137:$C$160,$C126),INDEX('Ankle-Foot'!$C$137:$C$160,$C126),INDEX(Shoulder!$C$137:$C$160,$C126))))</f>
        <v/>
      </c>
      <c r="H126" s="102" t="str">
        <f aca="false">IF(OR($B126="",$D126),"",CHOOSE($B126,INDEX(Hip!$E$137:$E$160,$C126),INDEX(Hamstring!$E$137:$E$160,$C126),INDEX(Knee!$E$137:$E$160,$C126),INDEX('Ankle-Foot'!$E$137:$E$160,$C126),INDEX(Shoulder!$E$137:$E$160,$C126)))</f>
        <v/>
      </c>
      <c r="I126" s="102" t="str">
        <f aca="false">IF(OR($B126="",$D126),"",CHOOSE($B126,INDEX(Hip!$F$137:$F$160,$C126),INDEX(Hamstring!$F$137:$F$160,$C126),INDEX(Knee!$F$137:$F$160,$C126),INDEX('Ankle-Foot'!$F$137:$F$160,$C126),INDEX(Shoulder!$F$137:$F$160,$C126)))</f>
        <v/>
      </c>
      <c r="J126" s="105" t="str">
        <f aca="false">IF(OR($B126="",$D126),"",CHOOSE($B126,INDEX(Hip!$G$137:$G$160,$C126),INDEX(Hamstring!$G$137:$G$160,$C126),INDEX(Knee!$G$137:$G$160,$C126),INDEX('Ankle-Foot'!$G$137:$G$160,$C126),INDEX(Shoulder!$G$137:$G$160,$C126)))</f>
        <v/>
      </c>
      <c r="K126" s="102" t="str">
        <f aca="false">IF(OR($B126="",$D126),"",CHOOSE($B126,INDEX(Hip!$K$137:$K$160,$C126),INDEX(Hamstring!$K$137:$K$160,$C126),INDEX(Knee!$K$137:$K$160,$C126),INDEX('Ankle-Foot'!$K$137:$K$160,$C126),INDEX(Shoulder!$K$137:$K$160,$C126)))</f>
        <v/>
      </c>
      <c r="L126" s="52" t="str">
        <f aca="false">IF($B126="","",IF($D126,INDEX($K$4:$K$8,$B126),CHOOSE($B126,INDEX(Hip!$H$137:$H$160,$C126),INDEX(Hamstring!$H$137:$H$160,$C126),INDEX(Knee!$H$137:$H$160,$C126),INDEX('Ankle-Foot'!$H$137:$H$160,$C126),INDEX(Shoulder!$H$137:$H$160,$C126))))</f>
        <v/>
      </c>
    </row>
    <row r="127" customFormat="false" ht="15" hidden="false" customHeight="false" outlineLevel="0" collapsed="false">
      <c r="A127" s="102" t="n">
        <v>78</v>
      </c>
      <c r="B127" s="102" t="str">
        <f aca="false">IF($A127&gt;$B$11,"",COUNTIF($E$4:$E$8,"&lt;="&amp;$A127))</f>
        <v/>
      </c>
      <c r="C127" s="102" t="str">
        <f aca="false">IF($B127="","",$A127-INDEX($E$4:$E$8,$B127))</f>
        <v/>
      </c>
      <c r="D127" s="103" t="b">
        <f aca="false">IF($B127="",FALSE(),$C127=0)</f>
        <v>0</v>
      </c>
      <c r="E127" s="104" t="str">
        <f aca="false">IF($B127="","",INDEX($A$4:$A$8,$B127))</f>
        <v/>
      </c>
      <c r="F127" s="104" t="str">
        <f aca="false">IF($B127="","",IF($D127,UPPER($E127),CHOOSE($B127,INDEX(Hip!$I$137:$I$160,$C127),INDEX(Hamstring!$I$137:$I$160,$C127),INDEX(Knee!$I$137:$I$160,$C127),INDEX('Ankle-Foot'!$I$137:$I$160,$C127),INDEX(Shoulder!$I$137:$I$160,$C127))))</f>
        <v/>
      </c>
      <c r="G127" s="104" t="str">
        <f aca="false">IF($B127="","",IF($D127,INDEX($G$4:$G$8,$B127)&amp;"  ·  "&amp;INDEX($H$4:$H$8,$B127),CHOOSE($B127,INDEX(Hip!$C$137:$C$160,$C127),INDEX(Hamstring!$C$137:$C$160,$C127),INDEX(Knee!$C$137:$C$160,$C127),INDEX('Ankle-Foot'!$C$137:$C$160,$C127),INDEX(Shoulder!$C$137:$C$160,$C127))))</f>
        <v/>
      </c>
      <c r="H127" s="102" t="str">
        <f aca="false">IF(OR($B127="",$D127),"",CHOOSE($B127,INDEX(Hip!$E$137:$E$160,$C127),INDEX(Hamstring!$E$137:$E$160,$C127),INDEX(Knee!$E$137:$E$160,$C127),INDEX('Ankle-Foot'!$E$137:$E$160,$C127),INDEX(Shoulder!$E$137:$E$160,$C127)))</f>
        <v/>
      </c>
      <c r="I127" s="102" t="str">
        <f aca="false">IF(OR($B127="",$D127),"",CHOOSE($B127,INDEX(Hip!$F$137:$F$160,$C127),INDEX(Hamstring!$F$137:$F$160,$C127),INDEX(Knee!$F$137:$F$160,$C127),INDEX('Ankle-Foot'!$F$137:$F$160,$C127),INDEX(Shoulder!$F$137:$F$160,$C127)))</f>
        <v/>
      </c>
      <c r="J127" s="105" t="str">
        <f aca="false">IF(OR($B127="",$D127),"",CHOOSE($B127,INDEX(Hip!$G$137:$G$160,$C127),INDEX(Hamstring!$G$137:$G$160,$C127),INDEX(Knee!$G$137:$G$160,$C127),INDEX('Ankle-Foot'!$G$137:$G$160,$C127),INDEX(Shoulder!$G$137:$G$160,$C127)))</f>
        <v/>
      </c>
      <c r="K127" s="102" t="str">
        <f aca="false">IF(OR($B127="",$D127),"",CHOOSE($B127,INDEX(Hip!$K$137:$K$160,$C127),INDEX(Hamstring!$K$137:$K$160,$C127),INDEX(Knee!$K$137:$K$160,$C127),INDEX('Ankle-Foot'!$K$137:$K$160,$C127),INDEX(Shoulder!$K$137:$K$160,$C127)))</f>
        <v/>
      </c>
      <c r="L127" s="52" t="str">
        <f aca="false">IF($B127="","",IF($D127,INDEX($K$4:$K$8,$B127),CHOOSE($B127,INDEX(Hip!$H$137:$H$160,$C127),INDEX(Hamstring!$H$137:$H$160,$C127),INDEX(Knee!$H$137:$H$160,$C127),INDEX('Ankle-Foot'!$H$137:$H$160,$C127),INDEX(Shoulder!$H$137:$H$160,$C127))))</f>
        <v/>
      </c>
    </row>
    <row r="128" customFormat="false" ht="15" hidden="false" customHeight="false" outlineLevel="0" collapsed="false">
      <c r="A128" s="102" t="n">
        <v>79</v>
      </c>
      <c r="B128" s="102" t="str">
        <f aca="false">IF($A128&gt;$B$11,"",COUNTIF($E$4:$E$8,"&lt;="&amp;$A128))</f>
        <v/>
      </c>
      <c r="C128" s="102" t="str">
        <f aca="false">IF($B128="","",$A128-INDEX($E$4:$E$8,$B128))</f>
        <v/>
      </c>
      <c r="D128" s="103" t="b">
        <f aca="false">IF($B128="",FALSE(),$C128=0)</f>
        <v>0</v>
      </c>
      <c r="E128" s="104" t="str">
        <f aca="false">IF($B128="","",INDEX($A$4:$A$8,$B128))</f>
        <v/>
      </c>
      <c r="F128" s="104" t="str">
        <f aca="false">IF($B128="","",IF($D128,UPPER($E128),CHOOSE($B128,INDEX(Hip!$I$137:$I$160,$C128),INDEX(Hamstring!$I$137:$I$160,$C128),INDEX(Knee!$I$137:$I$160,$C128),INDEX('Ankle-Foot'!$I$137:$I$160,$C128),INDEX(Shoulder!$I$137:$I$160,$C128))))</f>
        <v/>
      </c>
      <c r="G128" s="104" t="str">
        <f aca="false">IF($B128="","",IF($D128,INDEX($G$4:$G$8,$B128)&amp;"  ·  "&amp;INDEX($H$4:$H$8,$B128),CHOOSE($B128,INDEX(Hip!$C$137:$C$160,$C128),INDEX(Hamstring!$C$137:$C$160,$C128),INDEX(Knee!$C$137:$C$160,$C128),INDEX('Ankle-Foot'!$C$137:$C$160,$C128),INDEX(Shoulder!$C$137:$C$160,$C128))))</f>
        <v/>
      </c>
      <c r="H128" s="102" t="str">
        <f aca="false">IF(OR($B128="",$D128),"",CHOOSE($B128,INDEX(Hip!$E$137:$E$160,$C128),INDEX(Hamstring!$E$137:$E$160,$C128),INDEX(Knee!$E$137:$E$160,$C128),INDEX('Ankle-Foot'!$E$137:$E$160,$C128),INDEX(Shoulder!$E$137:$E$160,$C128)))</f>
        <v/>
      </c>
      <c r="I128" s="102" t="str">
        <f aca="false">IF(OR($B128="",$D128),"",CHOOSE($B128,INDEX(Hip!$F$137:$F$160,$C128),INDEX(Hamstring!$F$137:$F$160,$C128),INDEX(Knee!$F$137:$F$160,$C128),INDEX('Ankle-Foot'!$F$137:$F$160,$C128),INDEX(Shoulder!$F$137:$F$160,$C128)))</f>
        <v/>
      </c>
      <c r="J128" s="105" t="str">
        <f aca="false">IF(OR($B128="",$D128),"",CHOOSE($B128,INDEX(Hip!$G$137:$G$160,$C128),INDEX(Hamstring!$G$137:$G$160,$C128),INDEX(Knee!$G$137:$G$160,$C128),INDEX('Ankle-Foot'!$G$137:$G$160,$C128),INDEX(Shoulder!$G$137:$G$160,$C128)))</f>
        <v/>
      </c>
      <c r="K128" s="102" t="str">
        <f aca="false">IF(OR($B128="",$D128),"",CHOOSE($B128,INDEX(Hip!$K$137:$K$160,$C128),INDEX(Hamstring!$K$137:$K$160,$C128),INDEX(Knee!$K$137:$K$160,$C128),INDEX('Ankle-Foot'!$K$137:$K$160,$C128),INDEX(Shoulder!$K$137:$K$160,$C128)))</f>
        <v/>
      </c>
      <c r="L128" s="52" t="str">
        <f aca="false">IF($B128="","",IF($D128,INDEX($K$4:$K$8,$B128),CHOOSE($B128,INDEX(Hip!$H$137:$H$160,$C128),INDEX(Hamstring!$H$137:$H$160,$C128),INDEX(Knee!$H$137:$H$160,$C128),INDEX('Ankle-Foot'!$H$137:$H$160,$C128),INDEX(Shoulder!$H$137:$H$160,$C128))))</f>
        <v/>
      </c>
    </row>
    <row r="129" customFormat="false" ht="15" hidden="false" customHeight="false" outlineLevel="0" collapsed="false">
      <c r="A129" s="102" t="n">
        <v>80</v>
      </c>
      <c r="B129" s="102" t="str">
        <f aca="false">IF($A129&gt;$B$11,"",COUNTIF($E$4:$E$8,"&lt;="&amp;$A129))</f>
        <v/>
      </c>
      <c r="C129" s="102" t="str">
        <f aca="false">IF($B129="","",$A129-INDEX($E$4:$E$8,$B129))</f>
        <v/>
      </c>
      <c r="D129" s="103" t="b">
        <f aca="false">IF($B129="",FALSE(),$C129=0)</f>
        <v>0</v>
      </c>
      <c r="E129" s="104" t="str">
        <f aca="false">IF($B129="","",INDEX($A$4:$A$8,$B129))</f>
        <v/>
      </c>
      <c r="F129" s="104" t="str">
        <f aca="false">IF($B129="","",IF($D129,UPPER($E129),CHOOSE($B129,INDEX(Hip!$I$137:$I$160,$C129),INDEX(Hamstring!$I$137:$I$160,$C129),INDEX(Knee!$I$137:$I$160,$C129),INDEX('Ankle-Foot'!$I$137:$I$160,$C129),INDEX(Shoulder!$I$137:$I$160,$C129))))</f>
        <v/>
      </c>
      <c r="G129" s="104" t="str">
        <f aca="false">IF($B129="","",IF($D129,INDEX($G$4:$G$8,$B129)&amp;"  ·  "&amp;INDEX($H$4:$H$8,$B129),CHOOSE($B129,INDEX(Hip!$C$137:$C$160,$C129),INDEX(Hamstring!$C$137:$C$160,$C129),INDEX(Knee!$C$137:$C$160,$C129),INDEX('Ankle-Foot'!$C$137:$C$160,$C129),INDEX(Shoulder!$C$137:$C$160,$C129))))</f>
        <v/>
      </c>
      <c r="H129" s="102" t="str">
        <f aca="false">IF(OR($B129="",$D129),"",CHOOSE($B129,INDEX(Hip!$E$137:$E$160,$C129),INDEX(Hamstring!$E$137:$E$160,$C129),INDEX(Knee!$E$137:$E$160,$C129),INDEX('Ankle-Foot'!$E$137:$E$160,$C129),INDEX(Shoulder!$E$137:$E$160,$C129)))</f>
        <v/>
      </c>
      <c r="I129" s="102" t="str">
        <f aca="false">IF(OR($B129="",$D129),"",CHOOSE($B129,INDEX(Hip!$F$137:$F$160,$C129),INDEX(Hamstring!$F$137:$F$160,$C129),INDEX(Knee!$F$137:$F$160,$C129),INDEX('Ankle-Foot'!$F$137:$F$160,$C129),INDEX(Shoulder!$F$137:$F$160,$C129)))</f>
        <v/>
      </c>
      <c r="J129" s="105" t="str">
        <f aca="false">IF(OR($B129="",$D129),"",CHOOSE($B129,INDEX(Hip!$G$137:$G$160,$C129),INDEX(Hamstring!$G$137:$G$160,$C129),INDEX(Knee!$G$137:$G$160,$C129),INDEX('Ankle-Foot'!$G$137:$G$160,$C129),INDEX(Shoulder!$G$137:$G$160,$C129)))</f>
        <v/>
      </c>
      <c r="K129" s="102" t="str">
        <f aca="false">IF(OR($B129="",$D129),"",CHOOSE($B129,INDEX(Hip!$K$137:$K$160,$C129),INDEX(Hamstring!$K$137:$K$160,$C129),INDEX(Knee!$K$137:$K$160,$C129),INDEX('Ankle-Foot'!$K$137:$K$160,$C129),INDEX(Shoulder!$K$137:$K$160,$C129)))</f>
        <v/>
      </c>
      <c r="L129" s="52" t="str">
        <f aca="false">IF($B129="","",IF($D129,INDEX($K$4:$K$8,$B129),CHOOSE($B129,INDEX(Hip!$H$137:$H$160,$C129),INDEX(Hamstring!$H$137:$H$160,$C129),INDEX(Knee!$H$137:$H$160,$C129),INDEX('Ankle-Foot'!$H$137:$H$160,$C129),INDEX(Shoulder!$H$137:$H$160,$C129))))</f>
        <v/>
      </c>
    </row>
    <row r="130" customFormat="false" ht="15" hidden="false" customHeight="false" outlineLevel="0" collapsed="false">
      <c r="A130" s="102" t="n">
        <v>81</v>
      </c>
      <c r="B130" s="102" t="str">
        <f aca="false">IF($A130&gt;$B$11,"",COUNTIF($E$4:$E$8,"&lt;="&amp;$A130))</f>
        <v/>
      </c>
      <c r="C130" s="102" t="str">
        <f aca="false">IF($B130="","",$A130-INDEX($E$4:$E$8,$B130))</f>
        <v/>
      </c>
      <c r="D130" s="103" t="b">
        <f aca="false">IF($B130="",FALSE(),$C130=0)</f>
        <v>0</v>
      </c>
      <c r="E130" s="104" t="str">
        <f aca="false">IF($B130="","",INDEX($A$4:$A$8,$B130))</f>
        <v/>
      </c>
      <c r="F130" s="104" t="str">
        <f aca="false">IF($B130="","",IF($D130,UPPER($E130),CHOOSE($B130,INDEX(Hip!$I$137:$I$160,$C130),INDEX(Hamstring!$I$137:$I$160,$C130),INDEX(Knee!$I$137:$I$160,$C130),INDEX('Ankle-Foot'!$I$137:$I$160,$C130),INDEX(Shoulder!$I$137:$I$160,$C130))))</f>
        <v/>
      </c>
      <c r="G130" s="104" t="str">
        <f aca="false">IF($B130="","",IF($D130,INDEX($G$4:$G$8,$B130)&amp;"  ·  "&amp;INDEX($H$4:$H$8,$B130),CHOOSE($B130,INDEX(Hip!$C$137:$C$160,$C130),INDEX(Hamstring!$C$137:$C$160,$C130),INDEX(Knee!$C$137:$C$160,$C130),INDEX('Ankle-Foot'!$C$137:$C$160,$C130),INDEX(Shoulder!$C$137:$C$160,$C130))))</f>
        <v/>
      </c>
      <c r="H130" s="102" t="str">
        <f aca="false">IF(OR($B130="",$D130),"",CHOOSE($B130,INDEX(Hip!$E$137:$E$160,$C130),INDEX(Hamstring!$E$137:$E$160,$C130),INDEX(Knee!$E$137:$E$160,$C130),INDEX('Ankle-Foot'!$E$137:$E$160,$C130),INDEX(Shoulder!$E$137:$E$160,$C130)))</f>
        <v/>
      </c>
      <c r="I130" s="102" t="str">
        <f aca="false">IF(OR($B130="",$D130),"",CHOOSE($B130,INDEX(Hip!$F$137:$F$160,$C130),INDEX(Hamstring!$F$137:$F$160,$C130),INDEX(Knee!$F$137:$F$160,$C130),INDEX('Ankle-Foot'!$F$137:$F$160,$C130),INDEX(Shoulder!$F$137:$F$160,$C130)))</f>
        <v/>
      </c>
      <c r="J130" s="105" t="str">
        <f aca="false">IF(OR($B130="",$D130),"",CHOOSE($B130,INDEX(Hip!$G$137:$G$160,$C130),INDEX(Hamstring!$G$137:$G$160,$C130),INDEX(Knee!$G$137:$G$160,$C130),INDEX('Ankle-Foot'!$G$137:$G$160,$C130),INDEX(Shoulder!$G$137:$G$160,$C130)))</f>
        <v/>
      </c>
      <c r="K130" s="102" t="str">
        <f aca="false">IF(OR($B130="",$D130),"",CHOOSE($B130,INDEX(Hip!$K$137:$K$160,$C130),INDEX(Hamstring!$K$137:$K$160,$C130),INDEX(Knee!$K$137:$K$160,$C130),INDEX('Ankle-Foot'!$K$137:$K$160,$C130),INDEX(Shoulder!$K$137:$K$160,$C130)))</f>
        <v/>
      </c>
      <c r="L130" s="52" t="str">
        <f aca="false">IF($B130="","",IF($D130,INDEX($K$4:$K$8,$B130),CHOOSE($B130,INDEX(Hip!$H$137:$H$160,$C130),INDEX(Hamstring!$H$137:$H$160,$C130),INDEX(Knee!$H$137:$H$160,$C130),INDEX('Ankle-Foot'!$H$137:$H$160,$C130),INDEX(Shoulder!$H$137:$H$160,$C130))))</f>
        <v/>
      </c>
    </row>
    <row r="131" customFormat="false" ht="15" hidden="false" customHeight="false" outlineLevel="0" collapsed="false">
      <c r="A131" s="102" t="n">
        <v>82</v>
      </c>
      <c r="B131" s="102" t="str">
        <f aca="false">IF($A131&gt;$B$11,"",COUNTIF($E$4:$E$8,"&lt;="&amp;$A131))</f>
        <v/>
      </c>
      <c r="C131" s="102" t="str">
        <f aca="false">IF($B131="","",$A131-INDEX($E$4:$E$8,$B131))</f>
        <v/>
      </c>
      <c r="D131" s="103" t="b">
        <f aca="false">IF($B131="",FALSE(),$C131=0)</f>
        <v>0</v>
      </c>
      <c r="E131" s="104" t="str">
        <f aca="false">IF($B131="","",INDEX($A$4:$A$8,$B131))</f>
        <v/>
      </c>
      <c r="F131" s="104" t="str">
        <f aca="false">IF($B131="","",IF($D131,UPPER($E131),CHOOSE($B131,INDEX(Hip!$I$137:$I$160,$C131),INDEX(Hamstring!$I$137:$I$160,$C131),INDEX(Knee!$I$137:$I$160,$C131),INDEX('Ankle-Foot'!$I$137:$I$160,$C131),INDEX(Shoulder!$I$137:$I$160,$C131))))</f>
        <v/>
      </c>
      <c r="G131" s="104" t="str">
        <f aca="false">IF($B131="","",IF($D131,INDEX($G$4:$G$8,$B131)&amp;"  ·  "&amp;INDEX($H$4:$H$8,$B131),CHOOSE($B131,INDEX(Hip!$C$137:$C$160,$C131),INDEX(Hamstring!$C$137:$C$160,$C131),INDEX(Knee!$C$137:$C$160,$C131),INDEX('Ankle-Foot'!$C$137:$C$160,$C131),INDEX(Shoulder!$C$137:$C$160,$C131))))</f>
        <v/>
      </c>
      <c r="H131" s="102" t="str">
        <f aca="false">IF(OR($B131="",$D131),"",CHOOSE($B131,INDEX(Hip!$E$137:$E$160,$C131),INDEX(Hamstring!$E$137:$E$160,$C131),INDEX(Knee!$E$137:$E$160,$C131),INDEX('Ankle-Foot'!$E$137:$E$160,$C131),INDEX(Shoulder!$E$137:$E$160,$C131)))</f>
        <v/>
      </c>
      <c r="I131" s="102" t="str">
        <f aca="false">IF(OR($B131="",$D131),"",CHOOSE($B131,INDEX(Hip!$F$137:$F$160,$C131),INDEX(Hamstring!$F$137:$F$160,$C131),INDEX(Knee!$F$137:$F$160,$C131),INDEX('Ankle-Foot'!$F$137:$F$160,$C131),INDEX(Shoulder!$F$137:$F$160,$C131)))</f>
        <v/>
      </c>
      <c r="J131" s="105" t="str">
        <f aca="false">IF(OR($B131="",$D131),"",CHOOSE($B131,INDEX(Hip!$G$137:$G$160,$C131),INDEX(Hamstring!$G$137:$G$160,$C131),INDEX(Knee!$G$137:$G$160,$C131),INDEX('Ankle-Foot'!$G$137:$G$160,$C131),INDEX(Shoulder!$G$137:$G$160,$C131)))</f>
        <v/>
      </c>
      <c r="K131" s="102" t="str">
        <f aca="false">IF(OR($B131="",$D131),"",CHOOSE($B131,INDEX(Hip!$K$137:$K$160,$C131),INDEX(Hamstring!$K$137:$K$160,$C131),INDEX(Knee!$K$137:$K$160,$C131),INDEX('Ankle-Foot'!$K$137:$K$160,$C131),INDEX(Shoulder!$K$137:$K$160,$C131)))</f>
        <v/>
      </c>
      <c r="L131" s="52" t="str">
        <f aca="false">IF($B131="","",IF($D131,INDEX($K$4:$K$8,$B131),CHOOSE($B131,INDEX(Hip!$H$137:$H$160,$C131),INDEX(Hamstring!$H$137:$H$160,$C131),INDEX(Knee!$H$137:$H$160,$C131),INDEX('Ankle-Foot'!$H$137:$H$160,$C131),INDEX(Shoulder!$H$137:$H$160,$C131))))</f>
        <v/>
      </c>
    </row>
    <row r="132" customFormat="false" ht="15" hidden="false" customHeight="false" outlineLevel="0" collapsed="false">
      <c r="A132" s="102" t="n">
        <v>83</v>
      </c>
      <c r="B132" s="102" t="str">
        <f aca="false">IF($A132&gt;$B$11,"",COUNTIF($E$4:$E$8,"&lt;="&amp;$A132))</f>
        <v/>
      </c>
      <c r="C132" s="102" t="str">
        <f aca="false">IF($B132="","",$A132-INDEX($E$4:$E$8,$B132))</f>
        <v/>
      </c>
      <c r="D132" s="103" t="b">
        <f aca="false">IF($B132="",FALSE(),$C132=0)</f>
        <v>0</v>
      </c>
      <c r="E132" s="104" t="str">
        <f aca="false">IF($B132="","",INDEX($A$4:$A$8,$B132))</f>
        <v/>
      </c>
      <c r="F132" s="104" t="str">
        <f aca="false">IF($B132="","",IF($D132,UPPER($E132),CHOOSE($B132,INDEX(Hip!$I$137:$I$160,$C132),INDEX(Hamstring!$I$137:$I$160,$C132),INDEX(Knee!$I$137:$I$160,$C132),INDEX('Ankle-Foot'!$I$137:$I$160,$C132),INDEX(Shoulder!$I$137:$I$160,$C132))))</f>
        <v/>
      </c>
      <c r="G132" s="104" t="str">
        <f aca="false">IF($B132="","",IF($D132,INDEX($G$4:$G$8,$B132)&amp;"  ·  "&amp;INDEX($H$4:$H$8,$B132),CHOOSE($B132,INDEX(Hip!$C$137:$C$160,$C132),INDEX(Hamstring!$C$137:$C$160,$C132),INDEX(Knee!$C$137:$C$160,$C132),INDEX('Ankle-Foot'!$C$137:$C$160,$C132),INDEX(Shoulder!$C$137:$C$160,$C132))))</f>
        <v/>
      </c>
      <c r="H132" s="102" t="str">
        <f aca="false">IF(OR($B132="",$D132),"",CHOOSE($B132,INDEX(Hip!$E$137:$E$160,$C132),INDEX(Hamstring!$E$137:$E$160,$C132),INDEX(Knee!$E$137:$E$160,$C132),INDEX('Ankle-Foot'!$E$137:$E$160,$C132),INDEX(Shoulder!$E$137:$E$160,$C132)))</f>
        <v/>
      </c>
      <c r="I132" s="102" t="str">
        <f aca="false">IF(OR($B132="",$D132),"",CHOOSE($B132,INDEX(Hip!$F$137:$F$160,$C132),INDEX(Hamstring!$F$137:$F$160,$C132),INDEX(Knee!$F$137:$F$160,$C132),INDEX('Ankle-Foot'!$F$137:$F$160,$C132),INDEX(Shoulder!$F$137:$F$160,$C132)))</f>
        <v/>
      </c>
      <c r="J132" s="105" t="str">
        <f aca="false">IF(OR($B132="",$D132),"",CHOOSE($B132,INDEX(Hip!$G$137:$G$160,$C132),INDEX(Hamstring!$G$137:$G$160,$C132),INDEX(Knee!$G$137:$G$160,$C132),INDEX('Ankle-Foot'!$G$137:$G$160,$C132),INDEX(Shoulder!$G$137:$G$160,$C132)))</f>
        <v/>
      </c>
      <c r="K132" s="102" t="str">
        <f aca="false">IF(OR($B132="",$D132),"",CHOOSE($B132,INDEX(Hip!$K$137:$K$160,$C132),INDEX(Hamstring!$K$137:$K$160,$C132),INDEX(Knee!$K$137:$K$160,$C132),INDEX('Ankle-Foot'!$K$137:$K$160,$C132),INDEX(Shoulder!$K$137:$K$160,$C132)))</f>
        <v/>
      </c>
      <c r="L132" s="52" t="str">
        <f aca="false">IF($B132="","",IF($D132,INDEX($K$4:$K$8,$B132),CHOOSE($B132,INDEX(Hip!$H$137:$H$160,$C132),INDEX(Hamstring!$H$137:$H$160,$C132),INDEX(Knee!$H$137:$H$160,$C132),INDEX('Ankle-Foot'!$H$137:$H$160,$C132),INDEX(Shoulder!$H$137:$H$160,$C132))))</f>
        <v/>
      </c>
    </row>
    <row r="133" customFormat="false" ht="15" hidden="false" customHeight="false" outlineLevel="0" collapsed="false">
      <c r="A133" s="102" t="n">
        <v>84</v>
      </c>
      <c r="B133" s="102" t="str">
        <f aca="false">IF($A133&gt;$B$11,"",COUNTIF($E$4:$E$8,"&lt;="&amp;$A133))</f>
        <v/>
      </c>
      <c r="C133" s="102" t="str">
        <f aca="false">IF($B133="","",$A133-INDEX($E$4:$E$8,$B133))</f>
        <v/>
      </c>
      <c r="D133" s="103" t="b">
        <f aca="false">IF($B133="",FALSE(),$C133=0)</f>
        <v>0</v>
      </c>
      <c r="E133" s="104" t="str">
        <f aca="false">IF($B133="","",INDEX($A$4:$A$8,$B133))</f>
        <v/>
      </c>
      <c r="F133" s="104" t="str">
        <f aca="false">IF($B133="","",IF($D133,UPPER($E133),CHOOSE($B133,INDEX(Hip!$I$137:$I$160,$C133),INDEX(Hamstring!$I$137:$I$160,$C133),INDEX(Knee!$I$137:$I$160,$C133),INDEX('Ankle-Foot'!$I$137:$I$160,$C133),INDEX(Shoulder!$I$137:$I$160,$C133))))</f>
        <v/>
      </c>
      <c r="G133" s="104" t="str">
        <f aca="false">IF($B133="","",IF($D133,INDEX($G$4:$G$8,$B133)&amp;"  ·  "&amp;INDEX($H$4:$H$8,$B133),CHOOSE($B133,INDEX(Hip!$C$137:$C$160,$C133),INDEX(Hamstring!$C$137:$C$160,$C133),INDEX(Knee!$C$137:$C$160,$C133),INDEX('Ankle-Foot'!$C$137:$C$160,$C133),INDEX(Shoulder!$C$137:$C$160,$C133))))</f>
        <v/>
      </c>
      <c r="H133" s="102" t="str">
        <f aca="false">IF(OR($B133="",$D133),"",CHOOSE($B133,INDEX(Hip!$E$137:$E$160,$C133),INDEX(Hamstring!$E$137:$E$160,$C133),INDEX(Knee!$E$137:$E$160,$C133),INDEX('Ankle-Foot'!$E$137:$E$160,$C133),INDEX(Shoulder!$E$137:$E$160,$C133)))</f>
        <v/>
      </c>
      <c r="I133" s="102" t="str">
        <f aca="false">IF(OR($B133="",$D133),"",CHOOSE($B133,INDEX(Hip!$F$137:$F$160,$C133),INDEX(Hamstring!$F$137:$F$160,$C133),INDEX(Knee!$F$137:$F$160,$C133),INDEX('Ankle-Foot'!$F$137:$F$160,$C133),INDEX(Shoulder!$F$137:$F$160,$C133)))</f>
        <v/>
      </c>
      <c r="J133" s="105" t="str">
        <f aca="false">IF(OR($B133="",$D133),"",CHOOSE($B133,INDEX(Hip!$G$137:$G$160,$C133),INDEX(Hamstring!$G$137:$G$160,$C133),INDEX(Knee!$G$137:$G$160,$C133),INDEX('Ankle-Foot'!$G$137:$G$160,$C133),INDEX(Shoulder!$G$137:$G$160,$C133)))</f>
        <v/>
      </c>
      <c r="K133" s="102" t="str">
        <f aca="false">IF(OR($B133="",$D133),"",CHOOSE($B133,INDEX(Hip!$K$137:$K$160,$C133),INDEX(Hamstring!$K$137:$K$160,$C133),INDEX(Knee!$K$137:$K$160,$C133),INDEX('Ankle-Foot'!$K$137:$K$160,$C133),INDEX(Shoulder!$K$137:$K$160,$C133)))</f>
        <v/>
      </c>
      <c r="L133" s="52" t="str">
        <f aca="false">IF($B133="","",IF($D133,INDEX($K$4:$K$8,$B133),CHOOSE($B133,INDEX(Hip!$H$137:$H$160,$C133),INDEX(Hamstring!$H$137:$H$160,$C133),INDEX(Knee!$H$137:$H$160,$C133),INDEX('Ankle-Foot'!$H$137:$H$160,$C133),INDEX(Shoulder!$H$137:$H$160,$C133))))</f>
        <v/>
      </c>
    </row>
    <row r="134" customFormat="false" ht="15" hidden="false" customHeight="false" outlineLevel="0" collapsed="false">
      <c r="A134" s="102" t="n">
        <v>85</v>
      </c>
      <c r="B134" s="102" t="str">
        <f aca="false">IF($A134&gt;$B$11,"",COUNTIF($E$4:$E$8,"&lt;="&amp;$A134))</f>
        <v/>
      </c>
      <c r="C134" s="102" t="str">
        <f aca="false">IF($B134="","",$A134-INDEX($E$4:$E$8,$B134))</f>
        <v/>
      </c>
      <c r="D134" s="103" t="b">
        <f aca="false">IF($B134="",FALSE(),$C134=0)</f>
        <v>0</v>
      </c>
      <c r="E134" s="104" t="str">
        <f aca="false">IF($B134="","",INDEX($A$4:$A$8,$B134))</f>
        <v/>
      </c>
      <c r="F134" s="104" t="str">
        <f aca="false">IF($B134="","",IF($D134,UPPER($E134),CHOOSE($B134,INDEX(Hip!$I$137:$I$160,$C134),INDEX(Hamstring!$I$137:$I$160,$C134),INDEX(Knee!$I$137:$I$160,$C134),INDEX('Ankle-Foot'!$I$137:$I$160,$C134),INDEX(Shoulder!$I$137:$I$160,$C134))))</f>
        <v/>
      </c>
      <c r="G134" s="104" t="str">
        <f aca="false">IF($B134="","",IF($D134,INDEX($G$4:$G$8,$B134)&amp;"  ·  "&amp;INDEX($H$4:$H$8,$B134),CHOOSE($B134,INDEX(Hip!$C$137:$C$160,$C134),INDEX(Hamstring!$C$137:$C$160,$C134),INDEX(Knee!$C$137:$C$160,$C134),INDEX('Ankle-Foot'!$C$137:$C$160,$C134),INDEX(Shoulder!$C$137:$C$160,$C134))))</f>
        <v/>
      </c>
      <c r="H134" s="102" t="str">
        <f aca="false">IF(OR($B134="",$D134),"",CHOOSE($B134,INDEX(Hip!$E$137:$E$160,$C134),INDEX(Hamstring!$E$137:$E$160,$C134),INDEX(Knee!$E$137:$E$160,$C134),INDEX('Ankle-Foot'!$E$137:$E$160,$C134),INDEX(Shoulder!$E$137:$E$160,$C134)))</f>
        <v/>
      </c>
      <c r="I134" s="102" t="str">
        <f aca="false">IF(OR($B134="",$D134),"",CHOOSE($B134,INDEX(Hip!$F$137:$F$160,$C134),INDEX(Hamstring!$F$137:$F$160,$C134),INDEX(Knee!$F$137:$F$160,$C134),INDEX('Ankle-Foot'!$F$137:$F$160,$C134),INDEX(Shoulder!$F$137:$F$160,$C134)))</f>
        <v/>
      </c>
      <c r="J134" s="105" t="str">
        <f aca="false">IF(OR($B134="",$D134),"",CHOOSE($B134,INDEX(Hip!$G$137:$G$160,$C134),INDEX(Hamstring!$G$137:$G$160,$C134),INDEX(Knee!$G$137:$G$160,$C134),INDEX('Ankle-Foot'!$G$137:$G$160,$C134),INDEX(Shoulder!$G$137:$G$160,$C134)))</f>
        <v/>
      </c>
      <c r="K134" s="102" t="str">
        <f aca="false">IF(OR($B134="",$D134),"",CHOOSE($B134,INDEX(Hip!$K$137:$K$160,$C134),INDEX(Hamstring!$K$137:$K$160,$C134),INDEX(Knee!$K$137:$K$160,$C134),INDEX('Ankle-Foot'!$K$137:$K$160,$C134),INDEX(Shoulder!$K$137:$K$160,$C134)))</f>
        <v/>
      </c>
      <c r="L134" s="52" t="str">
        <f aca="false">IF($B134="","",IF($D134,INDEX($K$4:$K$8,$B134),CHOOSE($B134,INDEX(Hip!$H$137:$H$160,$C134),INDEX(Hamstring!$H$137:$H$160,$C134),INDEX(Knee!$H$137:$H$160,$C134),INDEX('Ankle-Foot'!$H$137:$H$160,$C134),INDEX(Shoulder!$H$137:$H$160,$C134))))</f>
        <v/>
      </c>
    </row>
    <row r="135" customFormat="false" ht="15" hidden="false" customHeight="false" outlineLevel="0" collapsed="false">
      <c r="A135" s="102" t="n">
        <v>86</v>
      </c>
      <c r="B135" s="102" t="str">
        <f aca="false">IF($A135&gt;$B$11,"",COUNTIF($E$4:$E$8,"&lt;="&amp;$A135))</f>
        <v/>
      </c>
      <c r="C135" s="102" t="str">
        <f aca="false">IF($B135="","",$A135-INDEX($E$4:$E$8,$B135))</f>
        <v/>
      </c>
      <c r="D135" s="103" t="b">
        <f aca="false">IF($B135="",FALSE(),$C135=0)</f>
        <v>0</v>
      </c>
      <c r="E135" s="104" t="str">
        <f aca="false">IF($B135="","",INDEX($A$4:$A$8,$B135))</f>
        <v/>
      </c>
      <c r="F135" s="104" t="str">
        <f aca="false">IF($B135="","",IF($D135,UPPER($E135),CHOOSE($B135,INDEX(Hip!$I$137:$I$160,$C135),INDEX(Hamstring!$I$137:$I$160,$C135),INDEX(Knee!$I$137:$I$160,$C135),INDEX('Ankle-Foot'!$I$137:$I$160,$C135),INDEX(Shoulder!$I$137:$I$160,$C135))))</f>
        <v/>
      </c>
      <c r="G135" s="104" t="str">
        <f aca="false">IF($B135="","",IF($D135,INDEX($G$4:$G$8,$B135)&amp;"  ·  "&amp;INDEX($H$4:$H$8,$B135),CHOOSE($B135,INDEX(Hip!$C$137:$C$160,$C135),INDEX(Hamstring!$C$137:$C$160,$C135),INDEX(Knee!$C$137:$C$160,$C135),INDEX('Ankle-Foot'!$C$137:$C$160,$C135),INDEX(Shoulder!$C$137:$C$160,$C135))))</f>
        <v/>
      </c>
      <c r="H135" s="102" t="str">
        <f aca="false">IF(OR($B135="",$D135),"",CHOOSE($B135,INDEX(Hip!$E$137:$E$160,$C135),INDEX(Hamstring!$E$137:$E$160,$C135),INDEX(Knee!$E$137:$E$160,$C135),INDEX('Ankle-Foot'!$E$137:$E$160,$C135),INDEX(Shoulder!$E$137:$E$160,$C135)))</f>
        <v/>
      </c>
      <c r="I135" s="102" t="str">
        <f aca="false">IF(OR($B135="",$D135),"",CHOOSE($B135,INDEX(Hip!$F$137:$F$160,$C135),INDEX(Hamstring!$F$137:$F$160,$C135),INDEX(Knee!$F$137:$F$160,$C135),INDEX('Ankle-Foot'!$F$137:$F$160,$C135),INDEX(Shoulder!$F$137:$F$160,$C135)))</f>
        <v/>
      </c>
      <c r="J135" s="105" t="str">
        <f aca="false">IF(OR($B135="",$D135),"",CHOOSE($B135,INDEX(Hip!$G$137:$G$160,$C135),INDEX(Hamstring!$G$137:$G$160,$C135),INDEX(Knee!$G$137:$G$160,$C135),INDEX('Ankle-Foot'!$G$137:$G$160,$C135),INDEX(Shoulder!$G$137:$G$160,$C135)))</f>
        <v/>
      </c>
      <c r="K135" s="102" t="str">
        <f aca="false">IF(OR($B135="",$D135),"",CHOOSE($B135,INDEX(Hip!$K$137:$K$160,$C135),INDEX(Hamstring!$K$137:$K$160,$C135),INDEX(Knee!$K$137:$K$160,$C135),INDEX('Ankle-Foot'!$K$137:$K$160,$C135),INDEX(Shoulder!$K$137:$K$160,$C135)))</f>
        <v/>
      </c>
      <c r="L135" s="52" t="str">
        <f aca="false">IF($B135="","",IF($D135,INDEX($K$4:$K$8,$B135),CHOOSE($B135,INDEX(Hip!$H$137:$H$160,$C135),INDEX(Hamstring!$H$137:$H$160,$C135),INDEX(Knee!$H$137:$H$160,$C135),INDEX('Ankle-Foot'!$H$137:$H$160,$C135),INDEX(Shoulder!$H$137:$H$160,$C135))))</f>
        <v/>
      </c>
    </row>
    <row r="136" customFormat="false" ht="15" hidden="false" customHeight="false" outlineLevel="0" collapsed="false">
      <c r="A136" s="102" t="n">
        <v>87</v>
      </c>
      <c r="B136" s="102" t="str">
        <f aca="false">IF($A136&gt;$B$11,"",COUNTIF($E$4:$E$8,"&lt;="&amp;$A136))</f>
        <v/>
      </c>
      <c r="C136" s="102" t="str">
        <f aca="false">IF($B136="","",$A136-INDEX($E$4:$E$8,$B136))</f>
        <v/>
      </c>
      <c r="D136" s="103" t="b">
        <f aca="false">IF($B136="",FALSE(),$C136=0)</f>
        <v>0</v>
      </c>
      <c r="E136" s="104" t="str">
        <f aca="false">IF($B136="","",INDEX($A$4:$A$8,$B136))</f>
        <v/>
      </c>
      <c r="F136" s="104" t="str">
        <f aca="false">IF($B136="","",IF($D136,UPPER($E136),CHOOSE($B136,INDEX(Hip!$I$137:$I$160,$C136),INDEX(Hamstring!$I$137:$I$160,$C136),INDEX(Knee!$I$137:$I$160,$C136),INDEX('Ankle-Foot'!$I$137:$I$160,$C136),INDEX(Shoulder!$I$137:$I$160,$C136))))</f>
        <v/>
      </c>
      <c r="G136" s="104" t="str">
        <f aca="false">IF($B136="","",IF($D136,INDEX($G$4:$G$8,$B136)&amp;"  ·  "&amp;INDEX($H$4:$H$8,$B136),CHOOSE($B136,INDEX(Hip!$C$137:$C$160,$C136),INDEX(Hamstring!$C$137:$C$160,$C136),INDEX(Knee!$C$137:$C$160,$C136),INDEX('Ankle-Foot'!$C$137:$C$160,$C136),INDEX(Shoulder!$C$137:$C$160,$C136))))</f>
        <v/>
      </c>
      <c r="H136" s="102" t="str">
        <f aca="false">IF(OR($B136="",$D136),"",CHOOSE($B136,INDEX(Hip!$E$137:$E$160,$C136),INDEX(Hamstring!$E$137:$E$160,$C136),INDEX(Knee!$E$137:$E$160,$C136),INDEX('Ankle-Foot'!$E$137:$E$160,$C136),INDEX(Shoulder!$E$137:$E$160,$C136)))</f>
        <v/>
      </c>
      <c r="I136" s="102" t="str">
        <f aca="false">IF(OR($B136="",$D136),"",CHOOSE($B136,INDEX(Hip!$F$137:$F$160,$C136),INDEX(Hamstring!$F$137:$F$160,$C136),INDEX(Knee!$F$137:$F$160,$C136),INDEX('Ankle-Foot'!$F$137:$F$160,$C136),INDEX(Shoulder!$F$137:$F$160,$C136)))</f>
        <v/>
      </c>
      <c r="J136" s="105" t="str">
        <f aca="false">IF(OR($B136="",$D136),"",CHOOSE($B136,INDEX(Hip!$G$137:$G$160,$C136),INDEX(Hamstring!$G$137:$G$160,$C136),INDEX(Knee!$G$137:$G$160,$C136),INDEX('Ankle-Foot'!$G$137:$G$160,$C136),INDEX(Shoulder!$G$137:$G$160,$C136)))</f>
        <v/>
      </c>
      <c r="K136" s="102" t="str">
        <f aca="false">IF(OR($B136="",$D136),"",CHOOSE($B136,INDEX(Hip!$K$137:$K$160,$C136),INDEX(Hamstring!$K$137:$K$160,$C136),INDEX(Knee!$K$137:$K$160,$C136),INDEX('Ankle-Foot'!$K$137:$K$160,$C136),INDEX(Shoulder!$K$137:$K$160,$C136)))</f>
        <v/>
      </c>
      <c r="L136" s="52" t="str">
        <f aca="false">IF($B136="","",IF($D136,INDEX($K$4:$K$8,$B136),CHOOSE($B136,INDEX(Hip!$H$137:$H$160,$C136),INDEX(Hamstring!$H$137:$H$160,$C136),INDEX(Knee!$H$137:$H$160,$C136),INDEX('Ankle-Foot'!$H$137:$H$160,$C136),INDEX(Shoulder!$H$137:$H$160,$C136))))</f>
        <v/>
      </c>
    </row>
    <row r="137" customFormat="false" ht="15" hidden="false" customHeight="false" outlineLevel="0" collapsed="false">
      <c r="A137" s="102" t="n">
        <v>88</v>
      </c>
      <c r="B137" s="102" t="str">
        <f aca="false">IF($A137&gt;$B$11,"",COUNTIF($E$4:$E$8,"&lt;="&amp;$A137))</f>
        <v/>
      </c>
      <c r="C137" s="102" t="str">
        <f aca="false">IF($B137="","",$A137-INDEX($E$4:$E$8,$B137))</f>
        <v/>
      </c>
      <c r="D137" s="103" t="b">
        <f aca="false">IF($B137="",FALSE(),$C137=0)</f>
        <v>0</v>
      </c>
      <c r="E137" s="104" t="str">
        <f aca="false">IF($B137="","",INDEX($A$4:$A$8,$B137))</f>
        <v/>
      </c>
      <c r="F137" s="104" t="str">
        <f aca="false">IF($B137="","",IF($D137,UPPER($E137),CHOOSE($B137,INDEX(Hip!$I$137:$I$160,$C137),INDEX(Hamstring!$I$137:$I$160,$C137),INDEX(Knee!$I$137:$I$160,$C137),INDEX('Ankle-Foot'!$I$137:$I$160,$C137),INDEX(Shoulder!$I$137:$I$160,$C137))))</f>
        <v/>
      </c>
      <c r="G137" s="104" t="str">
        <f aca="false">IF($B137="","",IF($D137,INDEX($G$4:$G$8,$B137)&amp;"  ·  "&amp;INDEX($H$4:$H$8,$B137),CHOOSE($B137,INDEX(Hip!$C$137:$C$160,$C137),INDEX(Hamstring!$C$137:$C$160,$C137),INDEX(Knee!$C$137:$C$160,$C137),INDEX('Ankle-Foot'!$C$137:$C$160,$C137),INDEX(Shoulder!$C$137:$C$160,$C137))))</f>
        <v/>
      </c>
      <c r="H137" s="102" t="str">
        <f aca="false">IF(OR($B137="",$D137),"",CHOOSE($B137,INDEX(Hip!$E$137:$E$160,$C137),INDEX(Hamstring!$E$137:$E$160,$C137),INDEX(Knee!$E$137:$E$160,$C137),INDEX('Ankle-Foot'!$E$137:$E$160,$C137),INDEX(Shoulder!$E$137:$E$160,$C137)))</f>
        <v/>
      </c>
      <c r="I137" s="102" t="str">
        <f aca="false">IF(OR($B137="",$D137),"",CHOOSE($B137,INDEX(Hip!$F$137:$F$160,$C137),INDEX(Hamstring!$F$137:$F$160,$C137),INDEX(Knee!$F$137:$F$160,$C137),INDEX('Ankle-Foot'!$F$137:$F$160,$C137),INDEX(Shoulder!$F$137:$F$160,$C137)))</f>
        <v/>
      </c>
      <c r="J137" s="105" t="str">
        <f aca="false">IF(OR($B137="",$D137),"",CHOOSE($B137,INDEX(Hip!$G$137:$G$160,$C137),INDEX(Hamstring!$G$137:$G$160,$C137),INDEX(Knee!$G$137:$G$160,$C137),INDEX('Ankle-Foot'!$G$137:$G$160,$C137),INDEX(Shoulder!$G$137:$G$160,$C137)))</f>
        <v/>
      </c>
      <c r="K137" s="102" t="str">
        <f aca="false">IF(OR($B137="",$D137),"",CHOOSE($B137,INDEX(Hip!$K$137:$K$160,$C137),INDEX(Hamstring!$K$137:$K$160,$C137),INDEX(Knee!$K$137:$K$160,$C137),INDEX('Ankle-Foot'!$K$137:$K$160,$C137),INDEX(Shoulder!$K$137:$K$160,$C137)))</f>
        <v/>
      </c>
      <c r="L137" s="52" t="str">
        <f aca="false">IF($B137="","",IF($D137,INDEX($K$4:$K$8,$B137),CHOOSE($B137,INDEX(Hip!$H$137:$H$160,$C137),INDEX(Hamstring!$H$137:$H$160,$C137),INDEX(Knee!$H$137:$H$160,$C137),INDEX('Ankle-Foot'!$H$137:$H$160,$C137),INDEX(Shoulder!$H$137:$H$160,$C137))))</f>
        <v/>
      </c>
    </row>
    <row r="138" customFormat="false" ht="15" hidden="false" customHeight="false" outlineLevel="0" collapsed="false">
      <c r="A138" s="102" t="n">
        <v>89</v>
      </c>
      <c r="B138" s="102" t="str">
        <f aca="false">IF($A138&gt;$B$11,"",COUNTIF($E$4:$E$8,"&lt;="&amp;$A138))</f>
        <v/>
      </c>
      <c r="C138" s="102" t="str">
        <f aca="false">IF($B138="","",$A138-INDEX($E$4:$E$8,$B138))</f>
        <v/>
      </c>
      <c r="D138" s="103" t="b">
        <f aca="false">IF($B138="",FALSE(),$C138=0)</f>
        <v>0</v>
      </c>
      <c r="E138" s="104" t="str">
        <f aca="false">IF($B138="","",INDEX($A$4:$A$8,$B138))</f>
        <v/>
      </c>
      <c r="F138" s="104" t="str">
        <f aca="false">IF($B138="","",IF($D138,UPPER($E138),CHOOSE($B138,INDEX(Hip!$I$137:$I$160,$C138),INDEX(Hamstring!$I$137:$I$160,$C138),INDEX(Knee!$I$137:$I$160,$C138),INDEX('Ankle-Foot'!$I$137:$I$160,$C138),INDEX(Shoulder!$I$137:$I$160,$C138))))</f>
        <v/>
      </c>
      <c r="G138" s="104" t="str">
        <f aca="false">IF($B138="","",IF($D138,INDEX($G$4:$G$8,$B138)&amp;"  ·  "&amp;INDEX($H$4:$H$8,$B138),CHOOSE($B138,INDEX(Hip!$C$137:$C$160,$C138),INDEX(Hamstring!$C$137:$C$160,$C138),INDEX(Knee!$C$137:$C$160,$C138),INDEX('Ankle-Foot'!$C$137:$C$160,$C138),INDEX(Shoulder!$C$137:$C$160,$C138))))</f>
        <v/>
      </c>
      <c r="H138" s="102" t="str">
        <f aca="false">IF(OR($B138="",$D138),"",CHOOSE($B138,INDEX(Hip!$E$137:$E$160,$C138),INDEX(Hamstring!$E$137:$E$160,$C138),INDEX(Knee!$E$137:$E$160,$C138),INDEX('Ankle-Foot'!$E$137:$E$160,$C138),INDEX(Shoulder!$E$137:$E$160,$C138)))</f>
        <v/>
      </c>
      <c r="I138" s="102" t="str">
        <f aca="false">IF(OR($B138="",$D138),"",CHOOSE($B138,INDEX(Hip!$F$137:$F$160,$C138),INDEX(Hamstring!$F$137:$F$160,$C138),INDEX(Knee!$F$137:$F$160,$C138),INDEX('Ankle-Foot'!$F$137:$F$160,$C138),INDEX(Shoulder!$F$137:$F$160,$C138)))</f>
        <v/>
      </c>
      <c r="J138" s="105" t="str">
        <f aca="false">IF(OR($B138="",$D138),"",CHOOSE($B138,INDEX(Hip!$G$137:$G$160,$C138),INDEX(Hamstring!$G$137:$G$160,$C138),INDEX(Knee!$G$137:$G$160,$C138),INDEX('Ankle-Foot'!$G$137:$G$160,$C138),INDEX(Shoulder!$G$137:$G$160,$C138)))</f>
        <v/>
      </c>
      <c r="K138" s="102" t="str">
        <f aca="false">IF(OR($B138="",$D138),"",CHOOSE($B138,INDEX(Hip!$K$137:$K$160,$C138),INDEX(Hamstring!$K$137:$K$160,$C138),INDEX(Knee!$K$137:$K$160,$C138),INDEX('Ankle-Foot'!$K$137:$K$160,$C138),INDEX(Shoulder!$K$137:$K$160,$C138)))</f>
        <v/>
      </c>
      <c r="L138" s="52" t="str">
        <f aca="false">IF($B138="","",IF($D138,INDEX($K$4:$K$8,$B138),CHOOSE($B138,INDEX(Hip!$H$137:$H$160,$C138),INDEX(Hamstring!$H$137:$H$160,$C138),INDEX(Knee!$H$137:$H$160,$C138),INDEX('Ankle-Foot'!$H$137:$H$160,$C138),INDEX(Shoulder!$H$137:$H$160,$C138))))</f>
        <v/>
      </c>
    </row>
    <row r="139" customFormat="false" ht="15" hidden="false" customHeight="false" outlineLevel="0" collapsed="false">
      <c r="A139" s="102" t="n">
        <v>90</v>
      </c>
      <c r="B139" s="102" t="str">
        <f aca="false">IF($A139&gt;$B$11,"",COUNTIF($E$4:$E$8,"&lt;="&amp;$A139))</f>
        <v/>
      </c>
      <c r="C139" s="102" t="str">
        <f aca="false">IF($B139="","",$A139-INDEX($E$4:$E$8,$B139))</f>
        <v/>
      </c>
      <c r="D139" s="103" t="b">
        <f aca="false">IF($B139="",FALSE(),$C139=0)</f>
        <v>0</v>
      </c>
      <c r="E139" s="104" t="str">
        <f aca="false">IF($B139="","",INDEX($A$4:$A$8,$B139))</f>
        <v/>
      </c>
      <c r="F139" s="104" t="str">
        <f aca="false">IF($B139="","",IF($D139,UPPER($E139),CHOOSE($B139,INDEX(Hip!$I$137:$I$160,$C139),INDEX(Hamstring!$I$137:$I$160,$C139),INDEX(Knee!$I$137:$I$160,$C139),INDEX('Ankle-Foot'!$I$137:$I$160,$C139),INDEX(Shoulder!$I$137:$I$160,$C139))))</f>
        <v/>
      </c>
      <c r="G139" s="104" t="str">
        <f aca="false">IF($B139="","",IF($D139,INDEX($G$4:$G$8,$B139)&amp;"  ·  "&amp;INDEX($H$4:$H$8,$B139),CHOOSE($B139,INDEX(Hip!$C$137:$C$160,$C139),INDEX(Hamstring!$C$137:$C$160,$C139),INDEX(Knee!$C$137:$C$160,$C139),INDEX('Ankle-Foot'!$C$137:$C$160,$C139),INDEX(Shoulder!$C$137:$C$160,$C139))))</f>
        <v/>
      </c>
      <c r="H139" s="102" t="str">
        <f aca="false">IF(OR($B139="",$D139),"",CHOOSE($B139,INDEX(Hip!$E$137:$E$160,$C139),INDEX(Hamstring!$E$137:$E$160,$C139),INDEX(Knee!$E$137:$E$160,$C139),INDEX('Ankle-Foot'!$E$137:$E$160,$C139),INDEX(Shoulder!$E$137:$E$160,$C139)))</f>
        <v/>
      </c>
      <c r="I139" s="102" t="str">
        <f aca="false">IF(OR($B139="",$D139),"",CHOOSE($B139,INDEX(Hip!$F$137:$F$160,$C139),INDEX(Hamstring!$F$137:$F$160,$C139),INDEX(Knee!$F$137:$F$160,$C139),INDEX('Ankle-Foot'!$F$137:$F$160,$C139),INDEX(Shoulder!$F$137:$F$160,$C139)))</f>
        <v/>
      </c>
      <c r="J139" s="105" t="str">
        <f aca="false">IF(OR($B139="",$D139),"",CHOOSE($B139,INDEX(Hip!$G$137:$G$160,$C139),INDEX(Hamstring!$G$137:$G$160,$C139),INDEX(Knee!$G$137:$G$160,$C139),INDEX('Ankle-Foot'!$G$137:$G$160,$C139),INDEX(Shoulder!$G$137:$G$160,$C139)))</f>
        <v/>
      </c>
      <c r="K139" s="102" t="str">
        <f aca="false">IF(OR($B139="",$D139),"",CHOOSE($B139,INDEX(Hip!$K$137:$K$160,$C139),INDEX(Hamstring!$K$137:$K$160,$C139),INDEX(Knee!$K$137:$K$160,$C139),INDEX('Ankle-Foot'!$K$137:$K$160,$C139),INDEX(Shoulder!$K$137:$K$160,$C139)))</f>
        <v/>
      </c>
      <c r="L139" s="52" t="str">
        <f aca="false">IF($B139="","",IF($D139,INDEX($K$4:$K$8,$B139),CHOOSE($B139,INDEX(Hip!$H$137:$H$160,$C139),INDEX(Hamstring!$H$137:$H$160,$C139),INDEX(Knee!$H$137:$H$160,$C139),INDEX('Ankle-Foot'!$H$137:$H$160,$C139),INDEX(Shoulder!$H$137:$H$160,$C139))))</f>
        <v/>
      </c>
    </row>
    <row r="140" customFormat="false" ht="15" hidden="false" customHeight="false" outlineLevel="0" collapsed="false">
      <c r="A140" s="102" t="n">
        <v>91</v>
      </c>
      <c r="B140" s="102" t="str">
        <f aca="false">IF($A140&gt;$B$11,"",COUNTIF($E$4:$E$8,"&lt;="&amp;$A140))</f>
        <v/>
      </c>
      <c r="C140" s="102" t="str">
        <f aca="false">IF($B140="","",$A140-INDEX($E$4:$E$8,$B140))</f>
        <v/>
      </c>
      <c r="D140" s="103" t="b">
        <f aca="false">IF($B140="",FALSE(),$C140=0)</f>
        <v>0</v>
      </c>
      <c r="E140" s="104" t="str">
        <f aca="false">IF($B140="","",INDEX($A$4:$A$8,$B140))</f>
        <v/>
      </c>
      <c r="F140" s="104" t="str">
        <f aca="false">IF($B140="","",IF($D140,UPPER($E140),CHOOSE($B140,INDEX(Hip!$I$137:$I$160,$C140),INDEX(Hamstring!$I$137:$I$160,$C140),INDEX(Knee!$I$137:$I$160,$C140),INDEX('Ankle-Foot'!$I$137:$I$160,$C140),INDEX(Shoulder!$I$137:$I$160,$C140))))</f>
        <v/>
      </c>
      <c r="G140" s="104" t="str">
        <f aca="false">IF($B140="","",IF($D140,INDEX($G$4:$G$8,$B140)&amp;"  ·  "&amp;INDEX($H$4:$H$8,$B140),CHOOSE($B140,INDEX(Hip!$C$137:$C$160,$C140),INDEX(Hamstring!$C$137:$C$160,$C140),INDEX(Knee!$C$137:$C$160,$C140),INDEX('Ankle-Foot'!$C$137:$C$160,$C140),INDEX(Shoulder!$C$137:$C$160,$C140))))</f>
        <v/>
      </c>
      <c r="H140" s="102" t="str">
        <f aca="false">IF(OR($B140="",$D140),"",CHOOSE($B140,INDEX(Hip!$E$137:$E$160,$C140),INDEX(Hamstring!$E$137:$E$160,$C140),INDEX(Knee!$E$137:$E$160,$C140),INDEX('Ankle-Foot'!$E$137:$E$160,$C140),INDEX(Shoulder!$E$137:$E$160,$C140)))</f>
        <v/>
      </c>
      <c r="I140" s="102" t="str">
        <f aca="false">IF(OR($B140="",$D140),"",CHOOSE($B140,INDEX(Hip!$F$137:$F$160,$C140),INDEX(Hamstring!$F$137:$F$160,$C140),INDEX(Knee!$F$137:$F$160,$C140),INDEX('Ankle-Foot'!$F$137:$F$160,$C140),INDEX(Shoulder!$F$137:$F$160,$C140)))</f>
        <v/>
      </c>
      <c r="J140" s="105" t="str">
        <f aca="false">IF(OR($B140="",$D140),"",CHOOSE($B140,INDEX(Hip!$G$137:$G$160,$C140),INDEX(Hamstring!$G$137:$G$160,$C140),INDEX(Knee!$G$137:$G$160,$C140),INDEX('Ankle-Foot'!$G$137:$G$160,$C140),INDEX(Shoulder!$G$137:$G$160,$C140)))</f>
        <v/>
      </c>
      <c r="K140" s="102" t="str">
        <f aca="false">IF(OR($B140="",$D140),"",CHOOSE($B140,INDEX(Hip!$K$137:$K$160,$C140),INDEX(Hamstring!$K$137:$K$160,$C140),INDEX(Knee!$K$137:$K$160,$C140),INDEX('Ankle-Foot'!$K$137:$K$160,$C140),INDEX(Shoulder!$K$137:$K$160,$C140)))</f>
        <v/>
      </c>
      <c r="L140" s="52" t="str">
        <f aca="false">IF($B140="","",IF($D140,INDEX($K$4:$K$8,$B140),CHOOSE($B140,INDEX(Hip!$H$137:$H$160,$C140),INDEX(Hamstring!$H$137:$H$160,$C140),INDEX(Knee!$H$137:$H$160,$C140),INDEX('Ankle-Foot'!$H$137:$H$160,$C140),INDEX(Shoulder!$H$137:$H$160,$C140))))</f>
        <v/>
      </c>
    </row>
    <row r="141" customFormat="false" ht="15" hidden="false" customHeight="false" outlineLevel="0" collapsed="false">
      <c r="A141" s="102" t="n">
        <v>92</v>
      </c>
      <c r="B141" s="102" t="str">
        <f aca="false">IF($A141&gt;$B$11,"",COUNTIF($E$4:$E$8,"&lt;="&amp;$A141))</f>
        <v/>
      </c>
      <c r="C141" s="102" t="str">
        <f aca="false">IF($B141="","",$A141-INDEX($E$4:$E$8,$B141))</f>
        <v/>
      </c>
      <c r="D141" s="103" t="b">
        <f aca="false">IF($B141="",FALSE(),$C141=0)</f>
        <v>0</v>
      </c>
      <c r="E141" s="104" t="str">
        <f aca="false">IF($B141="","",INDEX($A$4:$A$8,$B141))</f>
        <v/>
      </c>
      <c r="F141" s="104" t="str">
        <f aca="false">IF($B141="","",IF($D141,UPPER($E141),CHOOSE($B141,INDEX(Hip!$I$137:$I$160,$C141),INDEX(Hamstring!$I$137:$I$160,$C141),INDEX(Knee!$I$137:$I$160,$C141),INDEX('Ankle-Foot'!$I$137:$I$160,$C141),INDEX(Shoulder!$I$137:$I$160,$C141))))</f>
        <v/>
      </c>
      <c r="G141" s="104" t="str">
        <f aca="false">IF($B141="","",IF($D141,INDEX($G$4:$G$8,$B141)&amp;"  ·  "&amp;INDEX($H$4:$H$8,$B141),CHOOSE($B141,INDEX(Hip!$C$137:$C$160,$C141),INDEX(Hamstring!$C$137:$C$160,$C141),INDEX(Knee!$C$137:$C$160,$C141),INDEX('Ankle-Foot'!$C$137:$C$160,$C141),INDEX(Shoulder!$C$137:$C$160,$C141))))</f>
        <v/>
      </c>
      <c r="H141" s="102" t="str">
        <f aca="false">IF(OR($B141="",$D141),"",CHOOSE($B141,INDEX(Hip!$E$137:$E$160,$C141),INDEX(Hamstring!$E$137:$E$160,$C141),INDEX(Knee!$E$137:$E$160,$C141),INDEX('Ankle-Foot'!$E$137:$E$160,$C141),INDEX(Shoulder!$E$137:$E$160,$C141)))</f>
        <v/>
      </c>
      <c r="I141" s="102" t="str">
        <f aca="false">IF(OR($B141="",$D141),"",CHOOSE($B141,INDEX(Hip!$F$137:$F$160,$C141),INDEX(Hamstring!$F$137:$F$160,$C141),INDEX(Knee!$F$137:$F$160,$C141),INDEX('Ankle-Foot'!$F$137:$F$160,$C141),INDEX(Shoulder!$F$137:$F$160,$C141)))</f>
        <v/>
      </c>
      <c r="J141" s="105" t="str">
        <f aca="false">IF(OR($B141="",$D141),"",CHOOSE($B141,INDEX(Hip!$G$137:$G$160,$C141),INDEX(Hamstring!$G$137:$G$160,$C141),INDEX(Knee!$G$137:$G$160,$C141),INDEX('Ankle-Foot'!$G$137:$G$160,$C141),INDEX(Shoulder!$G$137:$G$160,$C141)))</f>
        <v/>
      </c>
      <c r="K141" s="102" t="str">
        <f aca="false">IF(OR($B141="",$D141),"",CHOOSE($B141,INDEX(Hip!$K$137:$K$160,$C141),INDEX(Hamstring!$K$137:$K$160,$C141),INDEX(Knee!$K$137:$K$160,$C141),INDEX('Ankle-Foot'!$K$137:$K$160,$C141),INDEX(Shoulder!$K$137:$K$160,$C141)))</f>
        <v/>
      </c>
      <c r="L141" s="52" t="str">
        <f aca="false">IF($B141="","",IF($D141,INDEX($K$4:$K$8,$B141),CHOOSE($B141,INDEX(Hip!$H$137:$H$160,$C141),INDEX(Hamstring!$H$137:$H$160,$C141),INDEX(Knee!$H$137:$H$160,$C141),INDEX('Ankle-Foot'!$H$137:$H$160,$C141),INDEX(Shoulder!$H$137:$H$160,$C141))))</f>
        <v/>
      </c>
    </row>
    <row r="142" customFormat="false" ht="15" hidden="false" customHeight="false" outlineLevel="0" collapsed="false">
      <c r="A142" s="102" t="n">
        <v>93</v>
      </c>
      <c r="B142" s="102" t="str">
        <f aca="false">IF($A142&gt;$B$11,"",COUNTIF($E$4:$E$8,"&lt;="&amp;$A142))</f>
        <v/>
      </c>
      <c r="C142" s="102" t="str">
        <f aca="false">IF($B142="","",$A142-INDEX($E$4:$E$8,$B142))</f>
        <v/>
      </c>
      <c r="D142" s="103" t="b">
        <f aca="false">IF($B142="",FALSE(),$C142=0)</f>
        <v>0</v>
      </c>
      <c r="E142" s="104" t="str">
        <f aca="false">IF($B142="","",INDEX($A$4:$A$8,$B142))</f>
        <v/>
      </c>
      <c r="F142" s="104" t="str">
        <f aca="false">IF($B142="","",IF($D142,UPPER($E142),CHOOSE($B142,INDEX(Hip!$I$137:$I$160,$C142),INDEX(Hamstring!$I$137:$I$160,$C142),INDEX(Knee!$I$137:$I$160,$C142),INDEX('Ankle-Foot'!$I$137:$I$160,$C142),INDEX(Shoulder!$I$137:$I$160,$C142))))</f>
        <v/>
      </c>
      <c r="G142" s="104" t="str">
        <f aca="false">IF($B142="","",IF($D142,INDEX($G$4:$G$8,$B142)&amp;"  ·  "&amp;INDEX($H$4:$H$8,$B142),CHOOSE($B142,INDEX(Hip!$C$137:$C$160,$C142),INDEX(Hamstring!$C$137:$C$160,$C142),INDEX(Knee!$C$137:$C$160,$C142),INDEX('Ankle-Foot'!$C$137:$C$160,$C142),INDEX(Shoulder!$C$137:$C$160,$C142))))</f>
        <v/>
      </c>
      <c r="H142" s="102" t="str">
        <f aca="false">IF(OR($B142="",$D142),"",CHOOSE($B142,INDEX(Hip!$E$137:$E$160,$C142),INDEX(Hamstring!$E$137:$E$160,$C142),INDEX(Knee!$E$137:$E$160,$C142),INDEX('Ankle-Foot'!$E$137:$E$160,$C142),INDEX(Shoulder!$E$137:$E$160,$C142)))</f>
        <v/>
      </c>
      <c r="I142" s="102" t="str">
        <f aca="false">IF(OR($B142="",$D142),"",CHOOSE($B142,INDEX(Hip!$F$137:$F$160,$C142),INDEX(Hamstring!$F$137:$F$160,$C142),INDEX(Knee!$F$137:$F$160,$C142),INDEX('Ankle-Foot'!$F$137:$F$160,$C142),INDEX(Shoulder!$F$137:$F$160,$C142)))</f>
        <v/>
      </c>
      <c r="J142" s="105" t="str">
        <f aca="false">IF(OR($B142="",$D142),"",CHOOSE($B142,INDEX(Hip!$G$137:$G$160,$C142),INDEX(Hamstring!$G$137:$G$160,$C142),INDEX(Knee!$G$137:$G$160,$C142),INDEX('Ankle-Foot'!$G$137:$G$160,$C142),INDEX(Shoulder!$G$137:$G$160,$C142)))</f>
        <v/>
      </c>
      <c r="K142" s="102" t="str">
        <f aca="false">IF(OR($B142="",$D142),"",CHOOSE($B142,INDEX(Hip!$K$137:$K$160,$C142),INDEX(Hamstring!$K$137:$K$160,$C142),INDEX(Knee!$K$137:$K$160,$C142),INDEX('Ankle-Foot'!$K$137:$K$160,$C142),INDEX(Shoulder!$K$137:$K$160,$C142)))</f>
        <v/>
      </c>
      <c r="L142" s="52" t="str">
        <f aca="false">IF($B142="","",IF($D142,INDEX($K$4:$K$8,$B142),CHOOSE($B142,INDEX(Hip!$H$137:$H$160,$C142),INDEX(Hamstring!$H$137:$H$160,$C142),INDEX(Knee!$H$137:$H$160,$C142),INDEX('Ankle-Foot'!$H$137:$H$160,$C142),INDEX(Shoulder!$H$137:$H$160,$C142))))</f>
        <v/>
      </c>
    </row>
    <row r="143" customFormat="false" ht="15" hidden="false" customHeight="false" outlineLevel="0" collapsed="false">
      <c r="A143" s="102" t="n">
        <v>94</v>
      </c>
      <c r="B143" s="102" t="str">
        <f aca="false">IF($A143&gt;$B$11,"",COUNTIF($E$4:$E$8,"&lt;="&amp;$A143))</f>
        <v/>
      </c>
      <c r="C143" s="102" t="str">
        <f aca="false">IF($B143="","",$A143-INDEX($E$4:$E$8,$B143))</f>
        <v/>
      </c>
      <c r="D143" s="103" t="b">
        <f aca="false">IF($B143="",FALSE(),$C143=0)</f>
        <v>0</v>
      </c>
      <c r="E143" s="104" t="str">
        <f aca="false">IF($B143="","",INDEX($A$4:$A$8,$B143))</f>
        <v/>
      </c>
      <c r="F143" s="104" t="str">
        <f aca="false">IF($B143="","",IF($D143,UPPER($E143),CHOOSE($B143,INDEX(Hip!$I$137:$I$160,$C143),INDEX(Hamstring!$I$137:$I$160,$C143),INDEX(Knee!$I$137:$I$160,$C143),INDEX('Ankle-Foot'!$I$137:$I$160,$C143),INDEX(Shoulder!$I$137:$I$160,$C143))))</f>
        <v/>
      </c>
      <c r="G143" s="104" t="str">
        <f aca="false">IF($B143="","",IF($D143,INDEX($G$4:$G$8,$B143)&amp;"  ·  "&amp;INDEX($H$4:$H$8,$B143),CHOOSE($B143,INDEX(Hip!$C$137:$C$160,$C143),INDEX(Hamstring!$C$137:$C$160,$C143),INDEX(Knee!$C$137:$C$160,$C143),INDEX('Ankle-Foot'!$C$137:$C$160,$C143),INDEX(Shoulder!$C$137:$C$160,$C143))))</f>
        <v/>
      </c>
      <c r="H143" s="102" t="str">
        <f aca="false">IF(OR($B143="",$D143),"",CHOOSE($B143,INDEX(Hip!$E$137:$E$160,$C143),INDEX(Hamstring!$E$137:$E$160,$C143),INDEX(Knee!$E$137:$E$160,$C143),INDEX('Ankle-Foot'!$E$137:$E$160,$C143),INDEX(Shoulder!$E$137:$E$160,$C143)))</f>
        <v/>
      </c>
      <c r="I143" s="102" t="str">
        <f aca="false">IF(OR($B143="",$D143),"",CHOOSE($B143,INDEX(Hip!$F$137:$F$160,$C143),INDEX(Hamstring!$F$137:$F$160,$C143),INDEX(Knee!$F$137:$F$160,$C143),INDEX('Ankle-Foot'!$F$137:$F$160,$C143),INDEX(Shoulder!$F$137:$F$160,$C143)))</f>
        <v/>
      </c>
      <c r="J143" s="105" t="str">
        <f aca="false">IF(OR($B143="",$D143),"",CHOOSE($B143,INDEX(Hip!$G$137:$G$160,$C143),INDEX(Hamstring!$G$137:$G$160,$C143),INDEX(Knee!$G$137:$G$160,$C143),INDEX('Ankle-Foot'!$G$137:$G$160,$C143),INDEX(Shoulder!$G$137:$G$160,$C143)))</f>
        <v/>
      </c>
      <c r="K143" s="102" t="str">
        <f aca="false">IF(OR($B143="",$D143),"",CHOOSE($B143,INDEX(Hip!$K$137:$K$160,$C143),INDEX(Hamstring!$K$137:$K$160,$C143),INDEX(Knee!$K$137:$K$160,$C143),INDEX('Ankle-Foot'!$K$137:$K$160,$C143),INDEX(Shoulder!$K$137:$K$160,$C143)))</f>
        <v/>
      </c>
      <c r="L143" s="52" t="str">
        <f aca="false">IF($B143="","",IF($D143,INDEX($K$4:$K$8,$B143),CHOOSE($B143,INDEX(Hip!$H$137:$H$160,$C143),INDEX(Hamstring!$H$137:$H$160,$C143),INDEX(Knee!$H$137:$H$160,$C143),INDEX('Ankle-Foot'!$H$137:$H$160,$C143),INDEX(Shoulder!$H$137:$H$160,$C143))))</f>
        <v/>
      </c>
    </row>
    <row r="144" customFormat="false" ht="15" hidden="false" customHeight="false" outlineLevel="0" collapsed="false">
      <c r="A144" s="102" t="n">
        <v>95</v>
      </c>
      <c r="B144" s="102" t="str">
        <f aca="false">IF($A144&gt;$B$11,"",COUNTIF($E$4:$E$8,"&lt;="&amp;$A144))</f>
        <v/>
      </c>
      <c r="C144" s="102" t="str">
        <f aca="false">IF($B144="","",$A144-INDEX($E$4:$E$8,$B144))</f>
        <v/>
      </c>
      <c r="D144" s="103" t="b">
        <f aca="false">IF($B144="",FALSE(),$C144=0)</f>
        <v>0</v>
      </c>
      <c r="E144" s="104" t="str">
        <f aca="false">IF($B144="","",INDEX($A$4:$A$8,$B144))</f>
        <v/>
      </c>
      <c r="F144" s="104" t="str">
        <f aca="false">IF($B144="","",IF($D144,UPPER($E144),CHOOSE($B144,INDEX(Hip!$I$137:$I$160,$C144),INDEX(Hamstring!$I$137:$I$160,$C144),INDEX(Knee!$I$137:$I$160,$C144),INDEX('Ankle-Foot'!$I$137:$I$160,$C144),INDEX(Shoulder!$I$137:$I$160,$C144))))</f>
        <v/>
      </c>
      <c r="G144" s="104" t="str">
        <f aca="false">IF($B144="","",IF($D144,INDEX($G$4:$G$8,$B144)&amp;"  ·  "&amp;INDEX($H$4:$H$8,$B144),CHOOSE($B144,INDEX(Hip!$C$137:$C$160,$C144),INDEX(Hamstring!$C$137:$C$160,$C144),INDEX(Knee!$C$137:$C$160,$C144),INDEX('Ankle-Foot'!$C$137:$C$160,$C144),INDEX(Shoulder!$C$137:$C$160,$C144))))</f>
        <v/>
      </c>
      <c r="H144" s="102" t="str">
        <f aca="false">IF(OR($B144="",$D144),"",CHOOSE($B144,INDEX(Hip!$E$137:$E$160,$C144),INDEX(Hamstring!$E$137:$E$160,$C144),INDEX(Knee!$E$137:$E$160,$C144),INDEX('Ankle-Foot'!$E$137:$E$160,$C144),INDEX(Shoulder!$E$137:$E$160,$C144)))</f>
        <v/>
      </c>
      <c r="I144" s="102" t="str">
        <f aca="false">IF(OR($B144="",$D144),"",CHOOSE($B144,INDEX(Hip!$F$137:$F$160,$C144),INDEX(Hamstring!$F$137:$F$160,$C144),INDEX(Knee!$F$137:$F$160,$C144),INDEX('Ankle-Foot'!$F$137:$F$160,$C144),INDEX(Shoulder!$F$137:$F$160,$C144)))</f>
        <v/>
      </c>
      <c r="J144" s="105" t="str">
        <f aca="false">IF(OR($B144="",$D144),"",CHOOSE($B144,INDEX(Hip!$G$137:$G$160,$C144),INDEX(Hamstring!$G$137:$G$160,$C144),INDEX(Knee!$G$137:$G$160,$C144),INDEX('Ankle-Foot'!$G$137:$G$160,$C144),INDEX(Shoulder!$G$137:$G$160,$C144)))</f>
        <v/>
      </c>
      <c r="K144" s="102" t="str">
        <f aca="false">IF(OR($B144="",$D144),"",CHOOSE($B144,INDEX(Hip!$K$137:$K$160,$C144),INDEX(Hamstring!$K$137:$K$160,$C144),INDEX(Knee!$K$137:$K$160,$C144),INDEX('Ankle-Foot'!$K$137:$K$160,$C144),INDEX(Shoulder!$K$137:$K$160,$C144)))</f>
        <v/>
      </c>
      <c r="L144" s="52" t="str">
        <f aca="false">IF($B144="","",IF($D144,INDEX($K$4:$K$8,$B144),CHOOSE($B144,INDEX(Hip!$H$137:$H$160,$C144),INDEX(Hamstring!$H$137:$H$160,$C144),INDEX(Knee!$H$137:$H$160,$C144),INDEX('Ankle-Foot'!$H$137:$H$160,$C144),INDEX(Shoulder!$H$137:$H$160,$C144))))</f>
        <v/>
      </c>
    </row>
    <row r="145" customFormat="false" ht="15" hidden="false" customHeight="false" outlineLevel="0" collapsed="false">
      <c r="A145" s="102" t="n">
        <v>96</v>
      </c>
      <c r="B145" s="102" t="str">
        <f aca="false">IF($A145&gt;$B$11,"",COUNTIF($E$4:$E$8,"&lt;="&amp;$A145))</f>
        <v/>
      </c>
      <c r="C145" s="102" t="str">
        <f aca="false">IF($B145="","",$A145-INDEX($E$4:$E$8,$B145))</f>
        <v/>
      </c>
      <c r="D145" s="103" t="b">
        <f aca="false">IF($B145="",FALSE(),$C145=0)</f>
        <v>0</v>
      </c>
      <c r="E145" s="104" t="str">
        <f aca="false">IF($B145="","",INDEX($A$4:$A$8,$B145))</f>
        <v/>
      </c>
      <c r="F145" s="104" t="str">
        <f aca="false">IF($B145="","",IF($D145,UPPER($E145),CHOOSE($B145,INDEX(Hip!$I$137:$I$160,$C145),INDEX(Hamstring!$I$137:$I$160,$C145),INDEX(Knee!$I$137:$I$160,$C145),INDEX('Ankle-Foot'!$I$137:$I$160,$C145),INDEX(Shoulder!$I$137:$I$160,$C145))))</f>
        <v/>
      </c>
      <c r="G145" s="104" t="str">
        <f aca="false">IF($B145="","",IF($D145,INDEX($G$4:$G$8,$B145)&amp;"  ·  "&amp;INDEX($H$4:$H$8,$B145),CHOOSE($B145,INDEX(Hip!$C$137:$C$160,$C145),INDEX(Hamstring!$C$137:$C$160,$C145),INDEX(Knee!$C$137:$C$160,$C145),INDEX('Ankle-Foot'!$C$137:$C$160,$C145),INDEX(Shoulder!$C$137:$C$160,$C145))))</f>
        <v/>
      </c>
      <c r="H145" s="102" t="str">
        <f aca="false">IF(OR($B145="",$D145),"",CHOOSE($B145,INDEX(Hip!$E$137:$E$160,$C145),INDEX(Hamstring!$E$137:$E$160,$C145),INDEX(Knee!$E$137:$E$160,$C145),INDEX('Ankle-Foot'!$E$137:$E$160,$C145),INDEX(Shoulder!$E$137:$E$160,$C145)))</f>
        <v/>
      </c>
      <c r="I145" s="102" t="str">
        <f aca="false">IF(OR($B145="",$D145),"",CHOOSE($B145,INDEX(Hip!$F$137:$F$160,$C145),INDEX(Hamstring!$F$137:$F$160,$C145),INDEX(Knee!$F$137:$F$160,$C145),INDEX('Ankle-Foot'!$F$137:$F$160,$C145),INDEX(Shoulder!$F$137:$F$160,$C145)))</f>
        <v/>
      </c>
      <c r="J145" s="105" t="str">
        <f aca="false">IF(OR($B145="",$D145),"",CHOOSE($B145,INDEX(Hip!$G$137:$G$160,$C145),INDEX(Hamstring!$G$137:$G$160,$C145),INDEX(Knee!$G$137:$G$160,$C145),INDEX('Ankle-Foot'!$G$137:$G$160,$C145),INDEX(Shoulder!$G$137:$G$160,$C145)))</f>
        <v/>
      </c>
      <c r="K145" s="102" t="str">
        <f aca="false">IF(OR($B145="",$D145),"",CHOOSE($B145,INDEX(Hip!$K$137:$K$160,$C145),INDEX(Hamstring!$K$137:$K$160,$C145),INDEX(Knee!$K$137:$K$160,$C145),INDEX('Ankle-Foot'!$K$137:$K$160,$C145),INDEX(Shoulder!$K$137:$K$160,$C145)))</f>
        <v/>
      </c>
      <c r="L145" s="52" t="str">
        <f aca="false">IF($B145="","",IF($D145,INDEX($K$4:$K$8,$B145),CHOOSE($B145,INDEX(Hip!$H$137:$H$160,$C145),INDEX(Hamstring!$H$137:$H$160,$C145),INDEX(Knee!$H$137:$H$160,$C145),INDEX('Ankle-Foot'!$H$137:$H$160,$C145),INDEX(Shoulder!$H$137:$H$160,$C145))))</f>
        <v/>
      </c>
    </row>
    <row r="146" customFormat="false" ht="15" hidden="false" customHeight="false" outlineLevel="0" collapsed="false">
      <c r="A146" s="102" t="n">
        <v>97</v>
      </c>
      <c r="B146" s="102" t="str">
        <f aca="false">IF($A146&gt;$B$11,"",COUNTIF($E$4:$E$8,"&lt;="&amp;$A146))</f>
        <v/>
      </c>
      <c r="C146" s="102" t="str">
        <f aca="false">IF($B146="","",$A146-INDEX($E$4:$E$8,$B146))</f>
        <v/>
      </c>
      <c r="D146" s="103" t="b">
        <f aca="false">IF($B146="",FALSE(),$C146=0)</f>
        <v>0</v>
      </c>
      <c r="E146" s="104" t="str">
        <f aca="false">IF($B146="","",INDEX($A$4:$A$8,$B146))</f>
        <v/>
      </c>
      <c r="F146" s="104" t="str">
        <f aca="false">IF($B146="","",IF($D146,UPPER($E146),CHOOSE($B146,INDEX(Hip!$I$137:$I$160,$C146),INDEX(Hamstring!$I$137:$I$160,$C146),INDEX(Knee!$I$137:$I$160,$C146),INDEX('Ankle-Foot'!$I$137:$I$160,$C146),INDEX(Shoulder!$I$137:$I$160,$C146))))</f>
        <v/>
      </c>
      <c r="G146" s="104" t="str">
        <f aca="false">IF($B146="","",IF($D146,INDEX($G$4:$G$8,$B146)&amp;"  ·  "&amp;INDEX($H$4:$H$8,$B146),CHOOSE($B146,INDEX(Hip!$C$137:$C$160,$C146),INDEX(Hamstring!$C$137:$C$160,$C146),INDEX(Knee!$C$137:$C$160,$C146),INDEX('Ankle-Foot'!$C$137:$C$160,$C146),INDEX(Shoulder!$C$137:$C$160,$C146))))</f>
        <v/>
      </c>
      <c r="H146" s="102" t="str">
        <f aca="false">IF(OR($B146="",$D146),"",CHOOSE($B146,INDEX(Hip!$E$137:$E$160,$C146),INDEX(Hamstring!$E$137:$E$160,$C146),INDEX(Knee!$E$137:$E$160,$C146),INDEX('Ankle-Foot'!$E$137:$E$160,$C146),INDEX(Shoulder!$E$137:$E$160,$C146)))</f>
        <v/>
      </c>
      <c r="I146" s="102" t="str">
        <f aca="false">IF(OR($B146="",$D146),"",CHOOSE($B146,INDEX(Hip!$F$137:$F$160,$C146),INDEX(Hamstring!$F$137:$F$160,$C146),INDEX(Knee!$F$137:$F$160,$C146),INDEX('Ankle-Foot'!$F$137:$F$160,$C146),INDEX(Shoulder!$F$137:$F$160,$C146)))</f>
        <v/>
      </c>
      <c r="J146" s="105" t="str">
        <f aca="false">IF(OR($B146="",$D146),"",CHOOSE($B146,INDEX(Hip!$G$137:$G$160,$C146),INDEX(Hamstring!$G$137:$G$160,$C146),INDEX(Knee!$G$137:$G$160,$C146),INDEX('Ankle-Foot'!$G$137:$G$160,$C146),INDEX(Shoulder!$G$137:$G$160,$C146)))</f>
        <v/>
      </c>
      <c r="K146" s="102" t="str">
        <f aca="false">IF(OR($B146="",$D146),"",CHOOSE($B146,INDEX(Hip!$K$137:$K$160,$C146),INDEX(Hamstring!$K$137:$K$160,$C146),INDEX(Knee!$K$137:$K$160,$C146),INDEX('Ankle-Foot'!$K$137:$K$160,$C146),INDEX(Shoulder!$K$137:$K$160,$C146)))</f>
        <v/>
      </c>
      <c r="L146" s="52" t="str">
        <f aca="false">IF($B146="","",IF($D146,INDEX($K$4:$K$8,$B146),CHOOSE($B146,INDEX(Hip!$H$137:$H$160,$C146),INDEX(Hamstring!$H$137:$H$160,$C146),INDEX(Knee!$H$137:$H$160,$C146),INDEX('Ankle-Foot'!$H$137:$H$160,$C146),INDEX(Shoulder!$H$137:$H$160,$C146))))</f>
        <v/>
      </c>
    </row>
    <row r="147" customFormat="false" ht="15" hidden="false" customHeight="false" outlineLevel="0" collapsed="false">
      <c r="A147" s="102" t="n">
        <v>98</v>
      </c>
      <c r="B147" s="102" t="str">
        <f aca="false">IF($A147&gt;$B$11,"",COUNTIF($E$4:$E$8,"&lt;="&amp;$A147))</f>
        <v/>
      </c>
      <c r="C147" s="102" t="str">
        <f aca="false">IF($B147="","",$A147-INDEX($E$4:$E$8,$B147))</f>
        <v/>
      </c>
      <c r="D147" s="103" t="b">
        <f aca="false">IF($B147="",FALSE(),$C147=0)</f>
        <v>0</v>
      </c>
      <c r="E147" s="104" t="str">
        <f aca="false">IF($B147="","",INDEX($A$4:$A$8,$B147))</f>
        <v/>
      </c>
      <c r="F147" s="104" t="str">
        <f aca="false">IF($B147="","",IF($D147,UPPER($E147),CHOOSE($B147,INDEX(Hip!$I$137:$I$160,$C147),INDEX(Hamstring!$I$137:$I$160,$C147),INDEX(Knee!$I$137:$I$160,$C147),INDEX('Ankle-Foot'!$I$137:$I$160,$C147),INDEX(Shoulder!$I$137:$I$160,$C147))))</f>
        <v/>
      </c>
      <c r="G147" s="104" t="str">
        <f aca="false">IF($B147="","",IF($D147,INDEX($G$4:$G$8,$B147)&amp;"  ·  "&amp;INDEX($H$4:$H$8,$B147),CHOOSE($B147,INDEX(Hip!$C$137:$C$160,$C147),INDEX(Hamstring!$C$137:$C$160,$C147),INDEX(Knee!$C$137:$C$160,$C147),INDEX('Ankle-Foot'!$C$137:$C$160,$C147),INDEX(Shoulder!$C$137:$C$160,$C147))))</f>
        <v/>
      </c>
      <c r="H147" s="102" t="str">
        <f aca="false">IF(OR($B147="",$D147),"",CHOOSE($B147,INDEX(Hip!$E$137:$E$160,$C147),INDEX(Hamstring!$E$137:$E$160,$C147),INDEX(Knee!$E$137:$E$160,$C147),INDEX('Ankle-Foot'!$E$137:$E$160,$C147),INDEX(Shoulder!$E$137:$E$160,$C147)))</f>
        <v/>
      </c>
      <c r="I147" s="102" t="str">
        <f aca="false">IF(OR($B147="",$D147),"",CHOOSE($B147,INDEX(Hip!$F$137:$F$160,$C147),INDEX(Hamstring!$F$137:$F$160,$C147),INDEX(Knee!$F$137:$F$160,$C147),INDEX('Ankle-Foot'!$F$137:$F$160,$C147),INDEX(Shoulder!$F$137:$F$160,$C147)))</f>
        <v/>
      </c>
      <c r="J147" s="105" t="str">
        <f aca="false">IF(OR($B147="",$D147),"",CHOOSE($B147,INDEX(Hip!$G$137:$G$160,$C147),INDEX(Hamstring!$G$137:$G$160,$C147),INDEX(Knee!$G$137:$G$160,$C147),INDEX('Ankle-Foot'!$G$137:$G$160,$C147),INDEX(Shoulder!$G$137:$G$160,$C147)))</f>
        <v/>
      </c>
      <c r="K147" s="102" t="str">
        <f aca="false">IF(OR($B147="",$D147),"",CHOOSE($B147,INDEX(Hip!$K$137:$K$160,$C147),INDEX(Hamstring!$K$137:$K$160,$C147),INDEX(Knee!$K$137:$K$160,$C147),INDEX('Ankle-Foot'!$K$137:$K$160,$C147),INDEX(Shoulder!$K$137:$K$160,$C147)))</f>
        <v/>
      </c>
      <c r="L147" s="52" t="str">
        <f aca="false">IF($B147="","",IF($D147,INDEX($K$4:$K$8,$B147),CHOOSE($B147,INDEX(Hip!$H$137:$H$160,$C147),INDEX(Hamstring!$H$137:$H$160,$C147),INDEX(Knee!$H$137:$H$160,$C147),INDEX('Ankle-Foot'!$H$137:$H$160,$C147),INDEX(Shoulder!$H$137:$H$160,$C147))))</f>
        <v/>
      </c>
    </row>
    <row r="148" customFormat="false" ht="15" hidden="false" customHeight="false" outlineLevel="0" collapsed="false">
      <c r="A148" s="102" t="n">
        <v>99</v>
      </c>
      <c r="B148" s="102" t="str">
        <f aca="false">IF($A148&gt;$B$11,"",COUNTIF($E$4:$E$8,"&lt;="&amp;$A148))</f>
        <v/>
      </c>
      <c r="C148" s="102" t="str">
        <f aca="false">IF($B148="","",$A148-INDEX($E$4:$E$8,$B148))</f>
        <v/>
      </c>
      <c r="D148" s="103" t="b">
        <f aca="false">IF($B148="",FALSE(),$C148=0)</f>
        <v>0</v>
      </c>
      <c r="E148" s="104" t="str">
        <f aca="false">IF($B148="","",INDEX($A$4:$A$8,$B148))</f>
        <v/>
      </c>
      <c r="F148" s="104" t="str">
        <f aca="false">IF($B148="","",IF($D148,UPPER($E148),CHOOSE($B148,INDEX(Hip!$I$137:$I$160,$C148),INDEX(Hamstring!$I$137:$I$160,$C148),INDEX(Knee!$I$137:$I$160,$C148),INDEX('Ankle-Foot'!$I$137:$I$160,$C148),INDEX(Shoulder!$I$137:$I$160,$C148))))</f>
        <v/>
      </c>
      <c r="G148" s="104" t="str">
        <f aca="false">IF($B148="","",IF($D148,INDEX($G$4:$G$8,$B148)&amp;"  ·  "&amp;INDEX($H$4:$H$8,$B148),CHOOSE($B148,INDEX(Hip!$C$137:$C$160,$C148),INDEX(Hamstring!$C$137:$C$160,$C148),INDEX(Knee!$C$137:$C$160,$C148),INDEX('Ankle-Foot'!$C$137:$C$160,$C148),INDEX(Shoulder!$C$137:$C$160,$C148))))</f>
        <v/>
      </c>
      <c r="H148" s="102" t="str">
        <f aca="false">IF(OR($B148="",$D148),"",CHOOSE($B148,INDEX(Hip!$E$137:$E$160,$C148),INDEX(Hamstring!$E$137:$E$160,$C148),INDEX(Knee!$E$137:$E$160,$C148),INDEX('Ankle-Foot'!$E$137:$E$160,$C148),INDEX(Shoulder!$E$137:$E$160,$C148)))</f>
        <v/>
      </c>
      <c r="I148" s="102" t="str">
        <f aca="false">IF(OR($B148="",$D148),"",CHOOSE($B148,INDEX(Hip!$F$137:$F$160,$C148),INDEX(Hamstring!$F$137:$F$160,$C148),INDEX(Knee!$F$137:$F$160,$C148),INDEX('Ankle-Foot'!$F$137:$F$160,$C148),INDEX(Shoulder!$F$137:$F$160,$C148)))</f>
        <v/>
      </c>
      <c r="J148" s="105" t="str">
        <f aca="false">IF(OR($B148="",$D148),"",CHOOSE($B148,INDEX(Hip!$G$137:$G$160,$C148),INDEX(Hamstring!$G$137:$G$160,$C148),INDEX(Knee!$G$137:$G$160,$C148),INDEX('Ankle-Foot'!$G$137:$G$160,$C148),INDEX(Shoulder!$G$137:$G$160,$C148)))</f>
        <v/>
      </c>
      <c r="K148" s="102" t="str">
        <f aca="false">IF(OR($B148="",$D148),"",CHOOSE($B148,INDEX(Hip!$K$137:$K$160,$C148),INDEX(Hamstring!$K$137:$K$160,$C148),INDEX(Knee!$K$137:$K$160,$C148),INDEX('Ankle-Foot'!$K$137:$K$160,$C148),INDEX(Shoulder!$K$137:$K$160,$C148)))</f>
        <v/>
      </c>
      <c r="L148" s="52" t="str">
        <f aca="false">IF($B148="","",IF($D148,INDEX($K$4:$K$8,$B148),CHOOSE($B148,INDEX(Hip!$H$137:$H$160,$C148),INDEX(Hamstring!$H$137:$H$160,$C148),INDEX(Knee!$H$137:$H$160,$C148),INDEX('Ankle-Foot'!$H$137:$H$160,$C148),INDEX(Shoulder!$H$137:$H$160,$C148))))</f>
        <v/>
      </c>
    </row>
    <row r="149" customFormat="false" ht="15" hidden="false" customHeight="false" outlineLevel="0" collapsed="false">
      <c r="A149" s="102" t="n">
        <v>100</v>
      </c>
      <c r="B149" s="102" t="str">
        <f aca="false">IF($A149&gt;$B$11,"",COUNTIF($E$4:$E$8,"&lt;="&amp;$A149))</f>
        <v/>
      </c>
      <c r="C149" s="102" t="str">
        <f aca="false">IF($B149="","",$A149-INDEX($E$4:$E$8,$B149))</f>
        <v/>
      </c>
      <c r="D149" s="103" t="b">
        <f aca="false">IF($B149="",FALSE(),$C149=0)</f>
        <v>0</v>
      </c>
      <c r="E149" s="104" t="str">
        <f aca="false">IF($B149="","",INDEX($A$4:$A$8,$B149))</f>
        <v/>
      </c>
      <c r="F149" s="104" t="str">
        <f aca="false">IF($B149="","",IF($D149,UPPER($E149),CHOOSE($B149,INDEX(Hip!$I$137:$I$160,$C149),INDEX(Hamstring!$I$137:$I$160,$C149),INDEX(Knee!$I$137:$I$160,$C149),INDEX('Ankle-Foot'!$I$137:$I$160,$C149),INDEX(Shoulder!$I$137:$I$160,$C149))))</f>
        <v/>
      </c>
      <c r="G149" s="104" t="str">
        <f aca="false">IF($B149="","",IF($D149,INDEX($G$4:$G$8,$B149)&amp;"  ·  "&amp;INDEX($H$4:$H$8,$B149),CHOOSE($B149,INDEX(Hip!$C$137:$C$160,$C149),INDEX(Hamstring!$C$137:$C$160,$C149),INDEX(Knee!$C$137:$C$160,$C149),INDEX('Ankle-Foot'!$C$137:$C$160,$C149),INDEX(Shoulder!$C$137:$C$160,$C149))))</f>
        <v/>
      </c>
      <c r="H149" s="102" t="str">
        <f aca="false">IF(OR($B149="",$D149),"",CHOOSE($B149,INDEX(Hip!$E$137:$E$160,$C149),INDEX(Hamstring!$E$137:$E$160,$C149),INDEX(Knee!$E$137:$E$160,$C149),INDEX('Ankle-Foot'!$E$137:$E$160,$C149),INDEX(Shoulder!$E$137:$E$160,$C149)))</f>
        <v/>
      </c>
      <c r="I149" s="102" t="str">
        <f aca="false">IF(OR($B149="",$D149),"",CHOOSE($B149,INDEX(Hip!$F$137:$F$160,$C149),INDEX(Hamstring!$F$137:$F$160,$C149),INDEX(Knee!$F$137:$F$160,$C149),INDEX('Ankle-Foot'!$F$137:$F$160,$C149),INDEX(Shoulder!$F$137:$F$160,$C149)))</f>
        <v/>
      </c>
      <c r="J149" s="105" t="str">
        <f aca="false">IF(OR($B149="",$D149),"",CHOOSE($B149,INDEX(Hip!$G$137:$G$160,$C149),INDEX(Hamstring!$G$137:$G$160,$C149),INDEX(Knee!$G$137:$G$160,$C149),INDEX('Ankle-Foot'!$G$137:$G$160,$C149),INDEX(Shoulder!$G$137:$G$160,$C149)))</f>
        <v/>
      </c>
      <c r="K149" s="102" t="str">
        <f aca="false">IF(OR($B149="",$D149),"",CHOOSE($B149,INDEX(Hip!$K$137:$K$160,$C149),INDEX(Hamstring!$K$137:$K$160,$C149),INDEX(Knee!$K$137:$K$160,$C149),INDEX('Ankle-Foot'!$K$137:$K$160,$C149),INDEX(Shoulder!$K$137:$K$160,$C149)))</f>
        <v/>
      </c>
      <c r="L149" s="52" t="str">
        <f aca="false">IF($B149="","",IF($D149,INDEX($K$4:$K$8,$B149),CHOOSE($B149,INDEX(Hip!$H$137:$H$160,$C149),INDEX(Hamstring!$H$137:$H$160,$C149),INDEX(Knee!$H$137:$H$160,$C149),INDEX('Ankle-Foot'!$H$137:$H$160,$C149),INDEX(Shoulder!$H$137:$H$160,$C149))))</f>
        <v/>
      </c>
    </row>
    <row r="150" customFormat="false" ht="15" hidden="false" customHeight="false" outlineLevel="0" collapsed="false">
      <c r="A150" s="102" t="n">
        <v>101</v>
      </c>
      <c r="B150" s="102" t="str">
        <f aca="false">IF($A150&gt;$B$11,"",COUNTIF($E$4:$E$8,"&lt;="&amp;$A150))</f>
        <v/>
      </c>
      <c r="C150" s="102" t="str">
        <f aca="false">IF($B150="","",$A150-INDEX($E$4:$E$8,$B150))</f>
        <v/>
      </c>
      <c r="D150" s="103" t="b">
        <f aca="false">IF($B150="",FALSE(),$C150=0)</f>
        <v>0</v>
      </c>
      <c r="E150" s="104" t="str">
        <f aca="false">IF($B150="","",INDEX($A$4:$A$8,$B150))</f>
        <v/>
      </c>
      <c r="F150" s="104" t="str">
        <f aca="false">IF($B150="","",IF($D150,UPPER($E150),CHOOSE($B150,INDEX(Hip!$I$137:$I$160,$C150),INDEX(Hamstring!$I$137:$I$160,$C150),INDEX(Knee!$I$137:$I$160,$C150),INDEX('Ankle-Foot'!$I$137:$I$160,$C150),INDEX(Shoulder!$I$137:$I$160,$C150))))</f>
        <v/>
      </c>
      <c r="G150" s="104" t="str">
        <f aca="false">IF($B150="","",IF($D150,INDEX($G$4:$G$8,$B150)&amp;"  ·  "&amp;INDEX($H$4:$H$8,$B150),CHOOSE($B150,INDEX(Hip!$C$137:$C$160,$C150),INDEX(Hamstring!$C$137:$C$160,$C150),INDEX(Knee!$C$137:$C$160,$C150),INDEX('Ankle-Foot'!$C$137:$C$160,$C150),INDEX(Shoulder!$C$137:$C$160,$C150))))</f>
        <v/>
      </c>
      <c r="H150" s="102" t="str">
        <f aca="false">IF(OR($B150="",$D150),"",CHOOSE($B150,INDEX(Hip!$E$137:$E$160,$C150),INDEX(Hamstring!$E$137:$E$160,$C150),INDEX(Knee!$E$137:$E$160,$C150),INDEX('Ankle-Foot'!$E$137:$E$160,$C150),INDEX(Shoulder!$E$137:$E$160,$C150)))</f>
        <v/>
      </c>
      <c r="I150" s="102" t="str">
        <f aca="false">IF(OR($B150="",$D150),"",CHOOSE($B150,INDEX(Hip!$F$137:$F$160,$C150),INDEX(Hamstring!$F$137:$F$160,$C150),INDEX(Knee!$F$137:$F$160,$C150),INDEX('Ankle-Foot'!$F$137:$F$160,$C150),INDEX(Shoulder!$F$137:$F$160,$C150)))</f>
        <v/>
      </c>
      <c r="J150" s="105" t="str">
        <f aca="false">IF(OR($B150="",$D150),"",CHOOSE($B150,INDEX(Hip!$G$137:$G$160,$C150),INDEX(Hamstring!$G$137:$G$160,$C150),INDEX(Knee!$G$137:$G$160,$C150),INDEX('Ankle-Foot'!$G$137:$G$160,$C150),INDEX(Shoulder!$G$137:$G$160,$C150)))</f>
        <v/>
      </c>
      <c r="K150" s="102" t="str">
        <f aca="false">IF(OR($B150="",$D150),"",CHOOSE($B150,INDEX(Hip!$K$137:$K$160,$C150),INDEX(Hamstring!$K$137:$K$160,$C150),INDEX(Knee!$K$137:$K$160,$C150),INDEX('Ankle-Foot'!$K$137:$K$160,$C150),INDEX(Shoulder!$K$137:$K$160,$C150)))</f>
        <v/>
      </c>
      <c r="L150" s="52" t="str">
        <f aca="false">IF($B150="","",IF($D150,INDEX($K$4:$K$8,$B150),CHOOSE($B150,INDEX(Hip!$H$137:$H$160,$C150),INDEX(Hamstring!$H$137:$H$160,$C150),INDEX(Knee!$H$137:$H$160,$C150),INDEX('Ankle-Foot'!$H$137:$H$160,$C150),INDEX(Shoulder!$H$137:$H$160,$C150))))</f>
        <v/>
      </c>
    </row>
    <row r="151" customFormat="false" ht="15" hidden="false" customHeight="false" outlineLevel="0" collapsed="false">
      <c r="A151" s="102" t="n">
        <v>102</v>
      </c>
      <c r="B151" s="102" t="str">
        <f aca="false">IF($A151&gt;$B$11,"",COUNTIF($E$4:$E$8,"&lt;="&amp;$A151))</f>
        <v/>
      </c>
      <c r="C151" s="102" t="str">
        <f aca="false">IF($B151="","",$A151-INDEX($E$4:$E$8,$B151))</f>
        <v/>
      </c>
      <c r="D151" s="103" t="b">
        <f aca="false">IF($B151="",FALSE(),$C151=0)</f>
        <v>0</v>
      </c>
      <c r="E151" s="104" t="str">
        <f aca="false">IF($B151="","",INDEX($A$4:$A$8,$B151))</f>
        <v/>
      </c>
      <c r="F151" s="104" t="str">
        <f aca="false">IF($B151="","",IF($D151,UPPER($E151),CHOOSE($B151,INDEX(Hip!$I$137:$I$160,$C151),INDEX(Hamstring!$I$137:$I$160,$C151),INDEX(Knee!$I$137:$I$160,$C151),INDEX('Ankle-Foot'!$I$137:$I$160,$C151),INDEX(Shoulder!$I$137:$I$160,$C151))))</f>
        <v/>
      </c>
      <c r="G151" s="104" t="str">
        <f aca="false">IF($B151="","",IF($D151,INDEX($G$4:$G$8,$B151)&amp;"  ·  "&amp;INDEX($H$4:$H$8,$B151),CHOOSE($B151,INDEX(Hip!$C$137:$C$160,$C151),INDEX(Hamstring!$C$137:$C$160,$C151),INDEX(Knee!$C$137:$C$160,$C151),INDEX('Ankle-Foot'!$C$137:$C$160,$C151),INDEX(Shoulder!$C$137:$C$160,$C151))))</f>
        <v/>
      </c>
      <c r="H151" s="102" t="str">
        <f aca="false">IF(OR($B151="",$D151),"",CHOOSE($B151,INDEX(Hip!$E$137:$E$160,$C151),INDEX(Hamstring!$E$137:$E$160,$C151),INDEX(Knee!$E$137:$E$160,$C151),INDEX('Ankle-Foot'!$E$137:$E$160,$C151),INDEX(Shoulder!$E$137:$E$160,$C151)))</f>
        <v/>
      </c>
      <c r="I151" s="102" t="str">
        <f aca="false">IF(OR($B151="",$D151),"",CHOOSE($B151,INDEX(Hip!$F$137:$F$160,$C151),INDEX(Hamstring!$F$137:$F$160,$C151),INDEX(Knee!$F$137:$F$160,$C151),INDEX('Ankle-Foot'!$F$137:$F$160,$C151),INDEX(Shoulder!$F$137:$F$160,$C151)))</f>
        <v/>
      </c>
      <c r="J151" s="105" t="str">
        <f aca="false">IF(OR($B151="",$D151),"",CHOOSE($B151,INDEX(Hip!$G$137:$G$160,$C151),INDEX(Hamstring!$G$137:$G$160,$C151),INDEX(Knee!$G$137:$G$160,$C151),INDEX('Ankle-Foot'!$G$137:$G$160,$C151),INDEX(Shoulder!$G$137:$G$160,$C151)))</f>
        <v/>
      </c>
      <c r="K151" s="102" t="str">
        <f aca="false">IF(OR($B151="",$D151),"",CHOOSE($B151,INDEX(Hip!$K$137:$K$160,$C151),INDEX(Hamstring!$K$137:$K$160,$C151),INDEX(Knee!$K$137:$K$160,$C151),INDEX('Ankle-Foot'!$K$137:$K$160,$C151),INDEX(Shoulder!$K$137:$K$160,$C151)))</f>
        <v/>
      </c>
      <c r="L151" s="52" t="str">
        <f aca="false">IF($B151="","",IF($D151,INDEX($K$4:$K$8,$B151),CHOOSE($B151,INDEX(Hip!$H$137:$H$160,$C151),INDEX(Hamstring!$H$137:$H$160,$C151),INDEX(Knee!$H$137:$H$160,$C151),INDEX('Ankle-Foot'!$H$137:$H$160,$C151),INDEX(Shoulder!$H$137:$H$160,$C151))))</f>
        <v/>
      </c>
    </row>
    <row r="152" customFormat="false" ht="15" hidden="false" customHeight="false" outlineLevel="0" collapsed="false">
      <c r="A152" s="102" t="n">
        <v>103</v>
      </c>
      <c r="B152" s="102" t="str">
        <f aca="false">IF($A152&gt;$B$11,"",COUNTIF($E$4:$E$8,"&lt;="&amp;$A152))</f>
        <v/>
      </c>
      <c r="C152" s="102" t="str">
        <f aca="false">IF($B152="","",$A152-INDEX($E$4:$E$8,$B152))</f>
        <v/>
      </c>
      <c r="D152" s="103" t="b">
        <f aca="false">IF($B152="",FALSE(),$C152=0)</f>
        <v>0</v>
      </c>
      <c r="E152" s="104" t="str">
        <f aca="false">IF($B152="","",INDEX($A$4:$A$8,$B152))</f>
        <v/>
      </c>
      <c r="F152" s="104" t="str">
        <f aca="false">IF($B152="","",IF($D152,UPPER($E152),CHOOSE($B152,INDEX(Hip!$I$137:$I$160,$C152),INDEX(Hamstring!$I$137:$I$160,$C152),INDEX(Knee!$I$137:$I$160,$C152),INDEX('Ankle-Foot'!$I$137:$I$160,$C152),INDEX(Shoulder!$I$137:$I$160,$C152))))</f>
        <v/>
      </c>
      <c r="G152" s="104" t="str">
        <f aca="false">IF($B152="","",IF($D152,INDEX($G$4:$G$8,$B152)&amp;"  ·  "&amp;INDEX($H$4:$H$8,$B152),CHOOSE($B152,INDEX(Hip!$C$137:$C$160,$C152),INDEX(Hamstring!$C$137:$C$160,$C152),INDEX(Knee!$C$137:$C$160,$C152),INDEX('Ankle-Foot'!$C$137:$C$160,$C152),INDEX(Shoulder!$C$137:$C$160,$C152))))</f>
        <v/>
      </c>
      <c r="H152" s="102" t="str">
        <f aca="false">IF(OR($B152="",$D152),"",CHOOSE($B152,INDEX(Hip!$E$137:$E$160,$C152),INDEX(Hamstring!$E$137:$E$160,$C152),INDEX(Knee!$E$137:$E$160,$C152),INDEX('Ankle-Foot'!$E$137:$E$160,$C152),INDEX(Shoulder!$E$137:$E$160,$C152)))</f>
        <v/>
      </c>
      <c r="I152" s="102" t="str">
        <f aca="false">IF(OR($B152="",$D152),"",CHOOSE($B152,INDEX(Hip!$F$137:$F$160,$C152),INDEX(Hamstring!$F$137:$F$160,$C152),INDEX(Knee!$F$137:$F$160,$C152),INDEX('Ankle-Foot'!$F$137:$F$160,$C152),INDEX(Shoulder!$F$137:$F$160,$C152)))</f>
        <v/>
      </c>
      <c r="J152" s="105" t="str">
        <f aca="false">IF(OR($B152="",$D152),"",CHOOSE($B152,INDEX(Hip!$G$137:$G$160,$C152),INDEX(Hamstring!$G$137:$G$160,$C152),INDEX(Knee!$G$137:$G$160,$C152),INDEX('Ankle-Foot'!$G$137:$G$160,$C152),INDEX(Shoulder!$G$137:$G$160,$C152)))</f>
        <v/>
      </c>
      <c r="K152" s="102" t="str">
        <f aca="false">IF(OR($B152="",$D152),"",CHOOSE($B152,INDEX(Hip!$K$137:$K$160,$C152),INDEX(Hamstring!$K$137:$K$160,$C152),INDEX(Knee!$K$137:$K$160,$C152),INDEX('Ankle-Foot'!$K$137:$K$160,$C152),INDEX(Shoulder!$K$137:$K$160,$C152)))</f>
        <v/>
      </c>
      <c r="L152" s="52" t="str">
        <f aca="false">IF($B152="","",IF($D152,INDEX($K$4:$K$8,$B152),CHOOSE($B152,INDEX(Hip!$H$137:$H$160,$C152),INDEX(Hamstring!$H$137:$H$160,$C152),INDEX(Knee!$H$137:$H$160,$C152),INDEX('Ankle-Foot'!$H$137:$H$160,$C152),INDEX(Shoulder!$H$137:$H$160,$C152))))</f>
        <v/>
      </c>
    </row>
    <row r="153" customFormat="false" ht="15" hidden="false" customHeight="false" outlineLevel="0" collapsed="false">
      <c r="A153" s="102" t="n">
        <v>104</v>
      </c>
      <c r="B153" s="102" t="str">
        <f aca="false">IF($A153&gt;$B$11,"",COUNTIF($E$4:$E$8,"&lt;="&amp;$A153))</f>
        <v/>
      </c>
      <c r="C153" s="102" t="str">
        <f aca="false">IF($B153="","",$A153-INDEX($E$4:$E$8,$B153))</f>
        <v/>
      </c>
      <c r="D153" s="103" t="b">
        <f aca="false">IF($B153="",FALSE(),$C153=0)</f>
        <v>0</v>
      </c>
      <c r="E153" s="104" t="str">
        <f aca="false">IF($B153="","",INDEX($A$4:$A$8,$B153))</f>
        <v/>
      </c>
      <c r="F153" s="104" t="str">
        <f aca="false">IF($B153="","",IF($D153,UPPER($E153),CHOOSE($B153,INDEX(Hip!$I$137:$I$160,$C153),INDEX(Hamstring!$I$137:$I$160,$C153),INDEX(Knee!$I$137:$I$160,$C153),INDEX('Ankle-Foot'!$I$137:$I$160,$C153),INDEX(Shoulder!$I$137:$I$160,$C153))))</f>
        <v/>
      </c>
      <c r="G153" s="104" t="str">
        <f aca="false">IF($B153="","",IF($D153,INDEX($G$4:$G$8,$B153)&amp;"  ·  "&amp;INDEX($H$4:$H$8,$B153),CHOOSE($B153,INDEX(Hip!$C$137:$C$160,$C153),INDEX(Hamstring!$C$137:$C$160,$C153),INDEX(Knee!$C$137:$C$160,$C153),INDEX('Ankle-Foot'!$C$137:$C$160,$C153),INDEX(Shoulder!$C$137:$C$160,$C153))))</f>
        <v/>
      </c>
      <c r="H153" s="102" t="str">
        <f aca="false">IF(OR($B153="",$D153),"",CHOOSE($B153,INDEX(Hip!$E$137:$E$160,$C153),INDEX(Hamstring!$E$137:$E$160,$C153),INDEX(Knee!$E$137:$E$160,$C153),INDEX('Ankle-Foot'!$E$137:$E$160,$C153),INDEX(Shoulder!$E$137:$E$160,$C153)))</f>
        <v/>
      </c>
      <c r="I153" s="102" t="str">
        <f aca="false">IF(OR($B153="",$D153),"",CHOOSE($B153,INDEX(Hip!$F$137:$F$160,$C153),INDEX(Hamstring!$F$137:$F$160,$C153),INDEX(Knee!$F$137:$F$160,$C153),INDEX('Ankle-Foot'!$F$137:$F$160,$C153),INDEX(Shoulder!$F$137:$F$160,$C153)))</f>
        <v/>
      </c>
      <c r="J153" s="105" t="str">
        <f aca="false">IF(OR($B153="",$D153),"",CHOOSE($B153,INDEX(Hip!$G$137:$G$160,$C153),INDEX(Hamstring!$G$137:$G$160,$C153),INDEX(Knee!$G$137:$G$160,$C153),INDEX('Ankle-Foot'!$G$137:$G$160,$C153),INDEX(Shoulder!$G$137:$G$160,$C153)))</f>
        <v/>
      </c>
      <c r="K153" s="102" t="str">
        <f aca="false">IF(OR($B153="",$D153),"",CHOOSE($B153,INDEX(Hip!$K$137:$K$160,$C153),INDEX(Hamstring!$K$137:$K$160,$C153),INDEX(Knee!$K$137:$K$160,$C153),INDEX('Ankle-Foot'!$K$137:$K$160,$C153),INDEX(Shoulder!$K$137:$K$160,$C153)))</f>
        <v/>
      </c>
      <c r="L153" s="52" t="str">
        <f aca="false">IF($B153="","",IF($D153,INDEX($K$4:$K$8,$B153),CHOOSE($B153,INDEX(Hip!$H$137:$H$160,$C153),INDEX(Hamstring!$H$137:$H$160,$C153),INDEX(Knee!$H$137:$H$160,$C153),INDEX('Ankle-Foot'!$H$137:$H$160,$C153),INDEX(Shoulder!$H$137:$H$160,$C153))))</f>
        <v/>
      </c>
    </row>
    <row r="154" customFormat="false" ht="15" hidden="false" customHeight="false" outlineLevel="0" collapsed="false">
      <c r="A154" s="102" t="n">
        <v>105</v>
      </c>
      <c r="B154" s="102" t="str">
        <f aca="false">IF($A154&gt;$B$11,"",COUNTIF($E$4:$E$8,"&lt;="&amp;$A154))</f>
        <v/>
      </c>
      <c r="C154" s="102" t="str">
        <f aca="false">IF($B154="","",$A154-INDEX($E$4:$E$8,$B154))</f>
        <v/>
      </c>
      <c r="D154" s="103" t="b">
        <f aca="false">IF($B154="",FALSE(),$C154=0)</f>
        <v>0</v>
      </c>
      <c r="E154" s="104" t="str">
        <f aca="false">IF($B154="","",INDEX($A$4:$A$8,$B154))</f>
        <v/>
      </c>
      <c r="F154" s="104" t="str">
        <f aca="false">IF($B154="","",IF($D154,UPPER($E154),CHOOSE($B154,INDEX(Hip!$I$137:$I$160,$C154),INDEX(Hamstring!$I$137:$I$160,$C154),INDEX(Knee!$I$137:$I$160,$C154),INDEX('Ankle-Foot'!$I$137:$I$160,$C154),INDEX(Shoulder!$I$137:$I$160,$C154))))</f>
        <v/>
      </c>
      <c r="G154" s="104" t="str">
        <f aca="false">IF($B154="","",IF($D154,INDEX($G$4:$G$8,$B154)&amp;"  ·  "&amp;INDEX($H$4:$H$8,$B154),CHOOSE($B154,INDEX(Hip!$C$137:$C$160,$C154),INDEX(Hamstring!$C$137:$C$160,$C154),INDEX(Knee!$C$137:$C$160,$C154),INDEX('Ankle-Foot'!$C$137:$C$160,$C154),INDEX(Shoulder!$C$137:$C$160,$C154))))</f>
        <v/>
      </c>
      <c r="H154" s="102" t="str">
        <f aca="false">IF(OR($B154="",$D154),"",CHOOSE($B154,INDEX(Hip!$E$137:$E$160,$C154),INDEX(Hamstring!$E$137:$E$160,$C154),INDEX(Knee!$E$137:$E$160,$C154),INDEX('Ankle-Foot'!$E$137:$E$160,$C154),INDEX(Shoulder!$E$137:$E$160,$C154)))</f>
        <v/>
      </c>
      <c r="I154" s="102" t="str">
        <f aca="false">IF(OR($B154="",$D154),"",CHOOSE($B154,INDEX(Hip!$F$137:$F$160,$C154),INDEX(Hamstring!$F$137:$F$160,$C154),INDEX(Knee!$F$137:$F$160,$C154),INDEX('Ankle-Foot'!$F$137:$F$160,$C154),INDEX(Shoulder!$F$137:$F$160,$C154)))</f>
        <v/>
      </c>
      <c r="J154" s="105" t="str">
        <f aca="false">IF(OR($B154="",$D154),"",CHOOSE($B154,INDEX(Hip!$G$137:$G$160,$C154),INDEX(Hamstring!$G$137:$G$160,$C154),INDEX(Knee!$G$137:$G$160,$C154),INDEX('Ankle-Foot'!$G$137:$G$160,$C154),INDEX(Shoulder!$G$137:$G$160,$C154)))</f>
        <v/>
      </c>
      <c r="K154" s="102" t="str">
        <f aca="false">IF(OR($B154="",$D154),"",CHOOSE($B154,INDEX(Hip!$K$137:$K$160,$C154),INDEX(Hamstring!$K$137:$K$160,$C154),INDEX(Knee!$K$137:$K$160,$C154),INDEX('Ankle-Foot'!$K$137:$K$160,$C154),INDEX(Shoulder!$K$137:$K$160,$C154)))</f>
        <v/>
      </c>
      <c r="L154" s="52" t="str">
        <f aca="false">IF($B154="","",IF($D154,INDEX($K$4:$K$8,$B154),CHOOSE($B154,INDEX(Hip!$H$137:$H$160,$C154),INDEX(Hamstring!$H$137:$H$160,$C154),INDEX(Knee!$H$137:$H$160,$C154),INDEX('Ankle-Foot'!$H$137:$H$160,$C154),INDEX(Shoulder!$H$137:$H$160,$C154))))</f>
        <v/>
      </c>
    </row>
    <row r="155" customFormat="false" ht="15" hidden="false" customHeight="false" outlineLevel="0" collapsed="false">
      <c r="A155" s="102" t="n">
        <v>106</v>
      </c>
      <c r="B155" s="102" t="str">
        <f aca="false">IF($A155&gt;$B$11,"",COUNTIF($E$4:$E$8,"&lt;="&amp;$A155))</f>
        <v/>
      </c>
      <c r="C155" s="102" t="str">
        <f aca="false">IF($B155="","",$A155-INDEX($E$4:$E$8,$B155))</f>
        <v/>
      </c>
      <c r="D155" s="103" t="b">
        <f aca="false">IF($B155="",FALSE(),$C155=0)</f>
        <v>0</v>
      </c>
      <c r="E155" s="104" t="str">
        <f aca="false">IF($B155="","",INDEX($A$4:$A$8,$B155))</f>
        <v/>
      </c>
      <c r="F155" s="104" t="str">
        <f aca="false">IF($B155="","",IF($D155,UPPER($E155),CHOOSE($B155,INDEX(Hip!$I$137:$I$160,$C155),INDEX(Hamstring!$I$137:$I$160,$C155),INDEX(Knee!$I$137:$I$160,$C155),INDEX('Ankle-Foot'!$I$137:$I$160,$C155),INDEX(Shoulder!$I$137:$I$160,$C155))))</f>
        <v/>
      </c>
      <c r="G155" s="104" t="str">
        <f aca="false">IF($B155="","",IF($D155,INDEX($G$4:$G$8,$B155)&amp;"  ·  "&amp;INDEX($H$4:$H$8,$B155),CHOOSE($B155,INDEX(Hip!$C$137:$C$160,$C155),INDEX(Hamstring!$C$137:$C$160,$C155),INDEX(Knee!$C$137:$C$160,$C155),INDEX('Ankle-Foot'!$C$137:$C$160,$C155),INDEX(Shoulder!$C$137:$C$160,$C155))))</f>
        <v/>
      </c>
      <c r="H155" s="102" t="str">
        <f aca="false">IF(OR($B155="",$D155),"",CHOOSE($B155,INDEX(Hip!$E$137:$E$160,$C155),INDEX(Hamstring!$E$137:$E$160,$C155),INDEX(Knee!$E$137:$E$160,$C155),INDEX('Ankle-Foot'!$E$137:$E$160,$C155),INDEX(Shoulder!$E$137:$E$160,$C155)))</f>
        <v/>
      </c>
      <c r="I155" s="102" t="str">
        <f aca="false">IF(OR($B155="",$D155),"",CHOOSE($B155,INDEX(Hip!$F$137:$F$160,$C155),INDEX(Hamstring!$F$137:$F$160,$C155),INDEX(Knee!$F$137:$F$160,$C155),INDEX('Ankle-Foot'!$F$137:$F$160,$C155),INDEX(Shoulder!$F$137:$F$160,$C155)))</f>
        <v/>
      </c>
      <c r="J155" s="105" t="str">
        <f aca="false">IF(OR($B155="",$D155),"",CHOOSE($B155,INDEX(Hip!$G$137:$G$160,$C155),INDEX(Hamstring!$G$137:$G$160,$C155),INDEX(Knee!$G$137:$G$160,$C155),INDEX('Ankle-Foot'!$G$137:$G$160,$C155),INDEX(Shoulder!$G$137:$G$160,$C155)))</f>
        <v/>
      </c>
      <c r="K155" s="102" t="str">
        <f aca="false">IF(OR($B155="",$D155),"",CHOOSE($B155,INDEX(Hip!$K$137:$K$160,$C155),INDEX(Hamstring!$K$137:$K$160,$C155),INDEX(Knee!$K$137:$K$160,$C155),INDEX('Ankle-Foot'!$K$137:$K$160,$C155),INDEX(Shoulder!$K$137:$K$160,$C155)))</f>
        <v/>
      </c>
      <c r="L155" s="52" t="str">
        <f aca="false">IF($B155="","",IF($D155,INDEX($K$4:$K$8,$B155),CHOOSE($B155,INDEX(Hip!$H$137:$H$160,$C155),INDEX(Hamstring!$H$137:$H$160,$C155),INDEX(Knee!$H$137:$H$160,$C155),INDEX('Ankle-Foot'!$H$137:$H$160,$C155),INDEX(Shoulder!$H$137:$H$160,$C155))))</f>
        <v/>
      </c>
    </row>
    <row r="156" customFormat="false" ht="15" hidden="false" customHeight="false" outlineLevel="0" collapsed="false">
      <c r="A156" s="102" t="n">
        <v>107</v>
      </c>
      <c r="B156" s="102" t="str">
        <f aca="false">IF($A156&gt;$B$11,"",COUNTIF($E$4:$E$8,"&lt;="&amp;$A156))</f>
        <v/>
      </c>
      <c r="C156" s="102" t="str">
        <f aca="false">IF($B156="","",$A156-INDEX($E$4:$E$8,$B156))</f>
        <v/>
      </c>
      <c r="D156" s="103" t="b">
        <f aca="false">IF($B156="",FALSE(),$C156=0)</f>
        <v>0</v>
      </c>
      <c r="E156" s="104" t="str">
        <f aca="false">IF($B156="","",INDEX($A$4:$A$8,$B156))</f>
        <v/>
      </c>
      <c r="F156" s="104" t="str">
        <f aca="false">IF($B156="","",IF($D156,UPPER($E156),CHOOSE($B156,INDEX(Hip!$I$137:$I$160,$C156),INDEX(Hamstring!$I$137:$I$160,$C156),INDEX(Knee!$I$137:$I$160,$C156),INDEX('Ankle-Foot'!$I$137:$I$160,$C156),INDEX(Shoulder!$I$137:$I$160,$C156))))</f>
        <v/>
      </c>
      <c r="G156" s="104" t="str">
        <f aca="false">IF($B156="","",IF($D156,INDEX($G$4:$G$8,$B156)&amp;"  ·  "&amp;INDEX($H$4:$H$8,$B156),CHOOSE($B156,INDEX(Hip!$C$137:$C$160,$C156),INDEX(Hamstring!$C$137:$C$160,$C156),INDEX(Knee!$C$137:$C$160,$C156),INDEX('Ankle-Foot'!$C$137:$C$160,$C156),INDEX(Shoulder!$C$137:$C$160,$C156))))</f>
        <v/>
      </c>
      <c r="H156" s="102" t="str">
        <f aca="false">IF(OR($B156="",$D156),"",CHOOSE($B156,INDEX(Hip!$E$137:$E$160,$C156),INDEX(Hamstring!$E$137:$E$160,$C156),INDEX(Knee!$E$137:$E$160,$C156),INDEX('Ankle-Foot'!$E$137:$E$160,$C156),INDEX(Shoulder!$E$137:$E$160,$C156)))</f>
        <v/>
      </c>
      <c r="I156" s="102" t="str">
        <f aca="false">IF(OR($B156="",$D156),"",CHOOSE($B156,INDEX(Hip!$F$137:$F$160,$C156),INDEX(Hamstring!$F$137:$F$160,$C156),INDEX(Knee!$F$137:$F$160,$C156),INDEX('Ankle-Foot'!$F$137:$F$160,$C156),INDEX(Shoulder!$F$137:$F$160,$C156)))</f>
        <v/>
      </c>
      <c r="J156" s="105" t="str">
        <f aca="false">IF(OR($B156="",$D156),"",CHOOSE($B156,INDEX(Hip!$G$137:$G$160,$C156),INDEX(Hamstring!$G$137:$G$160,$C156),INDEX(Knee!$G$137:$G$160,$C156),INDEX('Ankle-Foot'!$G$137:$G$160,$C156),INDEX(Shoulder!$G$137:$G$160,$C156)))</f>
        <v/>
      </c>
      <c r="K156" s="102" t="str">
        <f aca="false">IF(OR($B156="",$D156),"",CHOOSE($B156,INDEX(Hip!$K$137:$K$160,$C156),INDEX(Hamstring!$K$137:$K$160,$C156),INDEX(Knee!$K$137:$K$160,$C156),INDEX('Ankle-Foot'!$K$137:$K$160,$C156),INDEX(Shoulder!$K$137:$K$160,$C156)))</f>
        <v/>
      </c>
      <c r="L156" s="52" t="str">
        <f aca="false">IF($B156="","",IF($D156,INDEX($K$4:$K$8,$B156),CHOOSE($B156,INDEX(Hip!$H$137:$H$160,$C156),INDEX(Hamstring!$H$137:$H$160,$C156),INDEX(Knee!$H$137:$H$160,$C156),INDEX('Ankle-Foot'!$H$137:$H$160,$C156),INDEX(Shoulder!$H$137:$H$160,$C156))))</f>
        <v/>
      </c>
    </row>
    <row r="157" customFormat="false" ht="15" hidden="false" customHeight="false" outlineLevel="0" collapsed="false">
      <c r="A157" s="102" t="n">
        <v>108</v>
      </c>
      <c r="B157" s="102" t="str">
        <f aca="false">IF($A157&gt;$B$11,"",COUNTIF($E$4:$E$8,"&lt;="&amp;$A157))</f>
        <v/>
      </c>
      <c r="C157" s="102" t="str">
        <f aca="false">IF($B157="","",$A157-INDEX($E$4:$E$8,$B157))</f>
        <v/>
      </c>
      <c r="D157" s="103" t="b">
        <f aca="false">IF($B157="",FALSE(),$C157=0)</f>
        <v>0</v>
      </c>
      <c r="E157" s="104" t="str">
        <f aca="false">IF($B157="","",INDEX($A$4:$A$8,$B157))</f>
        <v/>
      </c>
      <c r="F157" s="104" t="str">
        <f aca="false">IF($B157="","",IF($D157,UPPER($E157),CHOOSE($B157,INDEX(Hip!$I$137:$I$160,$C157),INDEX(Hamstring!$I$137:$I$160,$C157),INDEX(Knee!$I$137:$I$160,$C157),INDEX('Ankle-Foot'!$I$137:$I$160,$C157),INDEX(Shoulder!$I$137:$I$160,$C157))))</f>
        <v/>
      </c>
      <c r="G157" s="104" t="str">
        <f aca="false">IF($B157="","",IF($D157,INDEX($G$4:$G$8,$B157)&amp;"  ·  "&amp;INDEX($H$4:$H$8,$B157),CHOOSE($B157,INDEX(Hip!$C$137:$C$160,$C157),INDEX(Hamstring!$C$137:$C$160,$C157),INDEX(Knee!$C$137:$C$160,$C157),INDEX('Ankle-Foot'!$C$137:$C$160,$C157),INDEX(Shoulder!$C$137:$C$160,$C157))))</f>
        <v/>
      </c>
      <c r="H157" s="102" t="str">
        <f aca="false">IF(OR($B157="",$D157),"",CHOOSE($B157,INDEX(Hip!$E$137:$E$160,$C157),INDEX(Hamstring!$E$137:$E$160,$C157),INDEX(Knee!$E$137:$E$160,$C157),INDEX('Ankle-Foot'!$E$137:$E$160,$C157),INDEX(Shoulder!$E$137:$E$160,$C157)))</f>
        <v/>
      </c>
      <c r="I157" s="102" t="str">
        <f aca="false">IF(OR($B157="",$D157),"",CHOOSE($B157,INDEX(Hip!$F$137:$F$160,$C157),INDEX(Hamstring!$F$137:$F$160,$C157),INDEX(Knee!$F$137:$F$160,$C157),INDEX('Ankle-Foot'!$F$137:$F$160,$C157),INDEX(Shoulder!$F$137:$F$160,$C157)))</f>
        <v/>
      </c>
      <c r="J157" s="105" t="str">
        <f aca="false">IF(OR($B157="",$D157),"",CHOOSE($B157,INDEX(Hip!$G$137:$G$160,$C157),INDEX(Hamstring!$G$137:$G$160,$C157),INDEX(Knee!$G$137:$G$160,$C157),INDEX('Ankle-Foot'!$G$137:$G$160,$C157),INDEX(Shoulder!$G$137:$G$160,$C157)))</f>
        <v/>
      </c>
      <c r="K157" s="102" t="str">
        <f aca="false">IF(OR($B157="",$D157),"",CHOOSE($B157,INDEX(Hip!$K$137:$K$160,$C157),INDEX(Hamstring!$K$137:$K$160,$C157),INDEX(Knee!$K$137:$K$160,$C157),INDEX('Ankle-Foot'!$K$137:$K$160,$C157),INDEX(Shoulder!$K$137:$K$160,$C157)))</f>
        <v/>
      </c>
      <c r="L157" s="52" t="str">
        <f aca="false">IF($B157="","",IF($D157,INDEX($K$4:$K$8,$B157),CHOOSE($B157,INDEX(Hip!$H$137:$H$160,$C157),INDEX(Hamstring!$H$137:$H$160,$C157),INDEX(Knee!$H$137:$H$160,$C157),INDEX('Ankle-Foot'!$H$137:$H$160,$C157),INDEX(Shoulder!$H$137:$H$160,$C157))))</f>
        <v/>
      </c>
    </row>
    <row r="158" customFormat="false" ht="15" hidden="false" customHeight="false" outlineLevel="0" collapsed="false">
      <c r="A158" s="102" t="n">
        <v>109</v>
      </c>
      <c r="B158" s="102" t="str">
        <f aca="false">IF($A158&gt;$B$11,"",COUNTIF($E$4:$E$8,"&lt;="&amp;$A158))</f>
        <v/>
      </c>
      <c r="C158" s="102" t="str">
        <f aca="false">IF($B158="","",$A158-INDEX($E$4:$E$8,$B158))</f>
        <v/>
      </c>
      <c r="D158" s="103" t="b">
        <f aca="false">IF($B158="",FALSE(),$C158=0)</f>
        <v>0</v>
      </c>
      <c r="E158" s="104" t="str">
        <f aca="false">IF($B158="","",INDEX($A$4:$A$8,$B158))</f>
        <v/>
      </c>
      <c r="F158" s="104" t="str">
        <f aca="false">IF($B158="","",IF($D158,UPPER($E158),CHOOSE($B158,INDEX(Hip!$I$137:$I$160,$C158),INDEX(Hamstring!$I$137:$I$160,$C158),INDEX(Knee!$I$137:$I$160,$C158),INDEX('Ankle-Foot'!$I$137:$I$160,$C158),INDEX(Shoulder!$I$137:$I$160,$C158))))</f>
        <v/>
      </c>
      <c r="G158" s="104" t="str">
        <f aca="false">IF($B158="","",IF($D158,INDEX($G$4:$G$8,$B158)&amp;"  ·  "&amp;INDEX($H$4:$H$8,$B158),CHOOSE($B158,INDEX(Hip!$C$137:$C$160,$C158),INDEX(Hamstring!$C$137:$C$160,$C158),INDEX(Knee!$C$137:$C$160,$C158),INDEX('Ankle-Foot'!$C$137:$C$160,$C158),INDEX(Shoulder!$C$137:$C$160,$C158))))</f>
        <v/>
      </c>
      <c r="H158" s="102" t="str">
        <f aca="false">IF(OR($B158="",$D158),"",CHOOSE($B158,INDEX(Hip!$E$137:$E$160,$C158),INDEX(Hamstring!$E$137:$E$160,$C158),INDEX(Knee!$E$137:$E$160,$C158),INDEX('Ankle-Foot'!$E$137:$E$160,$C158),INDEX(Shoulder!$E$137:$E$160,$C158)))</f>
        <v/>
      </c>
      <c r="I158" s="102" t="str">
        <f aca="false">IF(OR($B158="",$D158),"",CHOOSE($B158,INDEX(Hip!$F$137:$F$160,$C158),INDEX(Hamstring!$F$137:$F$160,$C158),INDEX(Knee!$F$137:$F$160,$C158),INDEX('Ankle-Foot'!$F$137:$F$160,$C158),INDEX(Shoulder!$F$137:$F$160,$C158)))</f>
        <v/>
      </c>
      <c r="J158" s="105" t="str">
        <f aca="false">IF(OR($B158="",$D158),"",CHOOSE($B158,INDEX(Hip!$G$137:$G$160,$C158),INDEX(Hamstring!$G$137:$G$160,$C158),INDEX(Knee!$G$137:$G$160,$C158),INDEX('Ankle-Foot'!$G$137:$G$160,$C158),INDEX(Shoulder!$G$137:$G$160,$C158)))</f>
        <v/>
      </c>
      <c r="K158" s="102" t="str">
        <f aca="false">IF(OR($B158="",$D158),"",CHOOSE($B158,INDEX(Hip!$K$137:$K$160,$C158),INDEX(Hamstring!$K$137:$K$160,$C158),INDEX(Knee!$K$137:$K$160,$C158),INDEX('Ankle-Foot'!$K$137:$K$160,$C158),INDEX(Shoulder!$K$137:$K$160,$C158)))</f>
        <v/>
      </c>
      <c r="L158" s="52" t="str">
        <f aca="false">IF($B158="","",IF($D158,INDEX($K$4:$K$8,$B158),CHOOSE($B158,INDEX(Hip!$H$137:$H$160,$C158),INDEX(Hamstring!$H$137:$H$160,$C158),INDEX(Knee!$H$137:$H$160,$C158),INDEX('Ankle-Foot'!$H$137:$H$160,$C158),INDEX(Shoulder!$H$137:$H$160,$C158))))</f>
        <v/>
      </c>
    </row>
    <row r="159" customFormat="false" ht="15" hidden="false" customHeight="false" outlineLevel="0" collapsed="false">
      <c r="A159" s="102" t="n">
        <v>110</v>
      </c>
      <c r="B159" s="102" t="str">
        <f aca="false">IF($A159&gt;$B$11,"",COUNTIF($E$4:$E$8,"&lt;="&amp;$A159))</f>
        <v/>
      </c>
      <c r="C159" s="102" t="str">
        <f aca="false">IF($B159="","",$A159-INDEX($E$4:$E$8,$B159))</f>
        <v/>
      </c>
      <c r="D159" s="103" t="b">
        <f aca="false">IF($B159="",FALSE(),$C159=0)</f>
        <v>0</v>
      </c>
      <c r="E159" s="104" t="str">
        <f aca="false">IF($B159="","",INDEX($A$4:$A$8,$B159))</f>
        <v/>
      </c>
      <c r="F159" s="104" t="str">
        <f aca="false">IF($B159="","",IF($D159,UPPER($E159),CHOOSE($B159,INDEX(Hip!$I$137:$I$160,$C159),INDEX(Hamstring!$I$137:$I$160,$C159),INDEX(Knee!$I$137:$I$160,$C159),INDEX('Ankle-Foot'!$I$137:$I$160,$C159),INDEX(Shoulder!$I$137:$I$160,$C159))))</f>
        <v/>
      </c>
      <c r="G159" s="104" t="str">
        <f aca="false">IF($B159="","",IF($D159,INDEX($G$4:$G$8,$B159)&amp;"  ·  "&amp;INDEX($H$4:$H$8,$B159),CHOOSE($B159,INDEX(Hip!$C$137:$C$160,$C159),INDEX(Hamstring!$C$137:$C$160,$C159),INDEX(Knee!$C$137:$C$160,$C159),INDEX('Ankle-Foot'!$C$137:$C$160,$C159),INDEX(Shoulder!$C$137:$C$160,$C159))))</f>
        <v/>
      </c>
      <c r="H159" s="102" t="str">
        <f aca="false">IF(OR($B159="",$D159),"",CHOOSE($B159,INDEX(Hip!$E$137:$E$160,$C159),INDEX(Hamstring!$E$137:$E$160,$C159),INDEX(Knee!$E$137:$E$160,$C159),INDEX('Ankle-Foot'!$E$137:$E$160,$C159),INDEX(Shoulder!$E$137:$E$160,$C159)))</f>
        <v/>
      </c>
      <c r="I159" s="102" t="str">
        <f aca="false">IF(OR($B159="",$D159),"",CHOOSE($B159,INDEX(Hip!$F$137:$F$160,$C159),INDEX(Hamstring!$F$137:$F$160,$C159),INDEX(Knee!$F$137:$F$160,$C159),INDEX('Ankle-Foot'!$F$137:$F$160,$C159),INDEX(Shoulder!$F$137:$F$160,$C159)))</f>
        <v/>
      </c>
      <c r="J159" s="105" t="str">
        <f aca="false">IF(OR($B159="",$D159),"",CHOOSE($B159,INDEX(Hip!$G$137:$G$160,$C159),INDEX(Hamstring!$G$137:$G$160,$C159),INDEX(Knee!$G$137:$G$160,$C159),INDEX('Ankle-Foot'!$G$137:$G$160,$C159),INDEX(Shoulder!$G$137:$G$160,$C159)))</f>
        <v/>
      </c>
      <c r="K159" s="102" t="str">
        <f aca="false">IF(OR($B159="",$D159),"",CHOOSE($B159,INDEX(Hip!$K$137:$K$160,$C159),INDEX(Hamstring!$K$137:$K$160,$C159),INDEX(Knee!$K$137:$K$160,$C159),INDEX('Ankle-Foot'!$K$137:$K$160,$C159),INDEX(Shoulder!$K$137:$K$160,$C159)))</f>
        <v/>
      </c>
      <c r="L159" s="52" t="str">
        <f aca="false">IF($B159="","",IF($D159,INDEX($K$4:$K$8,$B159),CHOOSE($B159,INDEX(Hip!$H$137:$H$160,$C159),INDEX(Hamstring!$H$137:$H$160,$C159),INDEX(Knee!$H$137:$H$160,$C159),INDEX('Ankle-Foot'!$H$137:$H$160,$C159),INDEX(Shoulder!$H$137:$H$160,$C159))))</f>
        <v/>
      </c>
    </row>
    <row r="160" customFormat="false" ht="15" hidden="false" customHeight="false" outlineLevel="0" collapsed="false">
      <c r="A160" s="102" t="n">
        <v>111</v>
      </c>
      <c r="B160" s="102" t="str">
        <f aca="false">IF($A160&gt;$B$11,"",COUNTIF($E$4:$E$8,"&lt;="&amp;$A160))</f>
        <v/>
      </c>
      <c r="C160" s="102" t="str">
        <f aca="false">IF($B160="","",$A160-INDEX($E$4:$E$8,$B160))</f>
        <v/>
      </c>
      <c r="D160" s="103" t="b">
        <f aca="false">IF($B160="",FALSE(),$C160=0)</f>
        <v>0</v>
      </c>
      <c r="E160" s="104" t="str">
        <f aca="false">IF($B160="","",INDEX($A$4:$A$8,$B160))</f>
        <v/>
      </c>
      <c r="F160" s="104" t="str">
        <f aca="false">IF($B160="","",IF($D160,UPPER($E160),CHOOSE($B160,INDEX(Hip!$I$137:$I$160,$C160),INDEX(Hamstring!$I$137:$I$160,$C160),INDEX(Knee!$I$137:$I$160,$C160),INDEX('Ankle-Foot'!$I$137:$I$160,$C160),INDEX(Shoulder!$I$137:$I$160,$C160))))</f>
        <v/>
      </c>
      <c r="G160" s="104" t="str">
        <f aca="false">IF($B160="","",IF($D160,INDEX($G$4:$G$8,$B160)&amp;"  ·  "&amp;INDEX($H$4:$H$8,$B160),CHOOSE($B160,INDEX(Hip!$C$137:$C$160,$C160),INDEX(Hamstring!$C$137:$C$160,$C160),INDEX(Knee!$C$137:$C$160,$C160),INDEX('Ankle-Foot'!$C$137:$C$160,$C160),INDEX(Shoulder!$C$137:$C$160,$C160))))</f>
        <v/>
      </c>
      <c r="H160" s="102" t="str">
        <f aca="false">IF(OR($B160="",$D160),"",CHOOSE($B160,INDEX(Hip!$E$137:$E$160,$C160),INDEX(Hamstring!$E$137:$E$160,$C160),INDEX(Knee!$E$137:$E$160,$C160),INDEX('Ankle-Foot'!$E$137:$E$160,$C160),INDEX(Shoulder!$E$137:$E$160,$C160)))</f>
        <v/>
      </c>
      <c r="I160" s="102" t="str">
        <f aca="false">IF(OR($B160="",$D160),"",CHOOSE($B160,INDEX(Hip!$F$137:$F$160,$C160),INDEX(Hamstring!$F$137:$F$160,$C160),INDEX(Knee!$F$137:$F$160,$C160),INDEX('Ankle-Foot'!$F$137:$F$160,$C160),INDEX(Shoulder!$F$137:$F$160,$C160)))</f>
        <v/>
      </c>
      <c r="J160" s="105" t="str">
        <f aca="false">IF(OR($B160="",$D160),"",CHOOSE($B160,INDEX(Hip!$G$137:$G$160,$C160),INDEX(Hamstring!$G$137:$G$160,$C160),INDEX(Knee!$G$137:$G$160,$C160),INDEX('Ankle-Foot'!$G$137:$G$160,$C160),INDEX(Shoulder!$G$137:$G$160,$C160)))</f>
        <v/>
      </c>
      <c r="K160" s="102" t="str">
        <f aca="false">IF(OR($B160="",$D160),"",CHOOSE($B160,INDEX(Hip!$K$137:$K$160,$C160),INDEX(Hamstring!$K$137:$K$160,$C160),INDEX(Knee!$K$137:$K$160,$C160),INDEX('Ankle-Foot'!$K$137:$K$160,$C160),INDEX(Shoulder!$K$137:$K$160,$C160)))</f>
        <v/>
      </c>
      <c r="L160" s="52" t="str">
        <f aca="false">IF($B160="","",IF($D160,INDEX($K$4:$K$8,$B160),CHOOSE($B160,INDEX(Hip!$H$137:$H$160,$C160),INDEX(Hamstring!$H$137:$H$160,$C160),INDEX(Knee!$H$137:$H$160,$C160),INDEX('Ankle-Foot'!$H$137:$H$160,$C160),INDEX(Shoulder!$H$137:$H$160,$C160))))</f>
        <v/>
      </c>
    </row>
    <row r="161" customFormat="false" ht="15" hidden="false" customHeight="false" outlineLevel="0" collapsed="false">
      <c r="A161" s="102" t="n">
        <v>112</v>
      </c>
      <c r="B161" s="102" t="str">
        <f aca="false">IF($A161&gt;$B$11,"",COUNTIF($E$4:$E$8,"&lt;="&amp;$A161))</f>
        <v/>
      </c>
      <c r="C161" s="102" t="str">
        <f aca="false">IF($B161="","",$A161-INDEX($E$4:$E$8,$B161))</f>
        <v/>
      </c>
      <c r="D161" s="103" t="b">
        <f aca="false">IF($B161="",FALSE(),$C161=0)</f>
        <v>0</v>
      </c>
      <c r="E161" s="104" t="str">
        <f aca="false">IF($B161="","",INDEX($A$4:$A$8,$B161))</f>
        <v/>
      </c>
      <c r="F161" s="104" t="str">
        <f aca="false">IF($B161="","",IF($D161,UPPER($E161),CHOOSE($B161,INDEX(Hip!$I$137:$I$160,$C161),INDEX(Hamstring!$I$137:$I$160,$C161),INDEX(Knee!$I$137:$I$160,$C161),INDEX('Ankle-Foot'!$I$137:$I$160,$C161),INDEX(Shoulder!$I$137:$I$160,$C161))))</f>
        <v/>
      </c>
      <c r="G161" s="104" t="str">
        <f aca="false">IF($B161="","",IF($D161,INDEX($G$4:$G$8,$B161)&amp;"  ·  "&amp;INDEX($H$4:$H$8,$B161),CHOOSE($B161,INDEX(Hip!$C$137:$C$160,$C161),INDEX(Hamstring!$C$137:$C$160,$C161),INDEX(Knee!$C$137:$C$160,$C161),INDEX('Ankle-Foot'!$C$137:$C$160,$C161),INDEX(Shoulder!$C$137:$C$160,$C161))))</f>
        <v/>
      </c>
      <c r="H161" s="102" t="str">
        <f aca="false">IF(OR($B161="",$D161),"",CHOOSE($B161,INDEX(Hip!$E$137:$E$160,$C161),INDEX(Hamstring!$E$137:$E$160,$C161),INDEX(Knee!$E$137:$E$160,$C161),INDEX('Ankle-Foot'!$E$137:$E$160,$C161),INDEX(Shoulder!$E$137:$E$160,$C161)))</f>
        <v/>
      </c>
      <c r="I161" s="102" t="str">
        <f aca="false">IF(OR($B161="",$D161),"",CHOOSE($B161,INDEX(Hip!$F$137:$F$160,$C161),INDEX(Hamstring!$F$137:$F$160,$C161),INDEX(Knee!$F$137:$F$160,$C161),INDEX('Ankle-Foot'!$F$137:$F$160,$C161),INDEX(Shoulder!$F$137:$F$160,$C161)))</f>
        <v/>
      </c>
      <c r="J161" s="105" t="str">
        <f aca="false">IF(OR($B161="",$D161),"",CHOOSE($B161,INDEX(Hip!$G$137:$G$160,$C161),INDEX(Hamstring!$G$137:$G$160,$C161),INDEX(Knee!$G$137:$G$160,$C161),INDEX('Ankle-Foot'!$G$137:$G$160,$C161),INDEX(Shoulder!$G$137:$G$160,$C161)))</f>
        <v/>
      </c>
      <c r="K161" s="102" t="str">
        <f aca="false">IF(OR($B161="",$D161),"",CHOOSE($B161,INDEX(Hip!$K$137:$K$160,$C161),INDEX(Hamstring!$K$137:$K$160,$C161),INDEX(Knee!$K$137:$K$160,$C161),INDEX('Ankle-Foot'!$K$137:$K$160,$C161),INDEX(Shoulder!$K$137:$K$160,$C161)))</f>
        <v/>
      </c>
      <c r="L161" s="52" t="str">
        <f aca="false">IF($B161="","",IF($D161,INDEX($K$4:$K$8,$B161),CHOOSE($B161,INDEX(Hip!$H$137:$H$160,$C161),INDEX(Hamstring!$H$137:$H$160,$C161),INDEX(Knee!$H$137:$H$160,$C161),INDEX('Ankle-Foot'!$H$137:$H$160,$C161),INDEX(Shoulder!$H$137:$H$160,$C161))))</f>
        <v/>
      </c>
    </row>
    <row r="162" customFormat="false" ht="15" hidden="false" customHeight="false" outlineLevel="0" collapsed="false">
      <c r="A162" s="102" t="n">
        <v>113</v>
      </c>
      <c r="B162" s="102" t="str">
        <f aca="false">IF($A162&gt;$B$11,"",COUNTIF($E$4:$E$8,"&lt;="&amp;$A162))</f>
        <v/>
      </c>
      <c r="C162" s="102" t="str">
        <f aca="false">IF($B162="","",$A162-INDEX($E$4:$E$8,$B162))</f>
        <v/>
      </c>
      <c r="D162" s="103" t="b">
        <f aca="false">IF($B162="",FALSE(),$C162=0)</f>
        <v>0</v>
      </c>
      <c r="E162" s="104" t="str">
        <f aca="false">IF($B162="","",INDEX($A$4:$A$8,$B162))</f>
        <v/>
      </c>
      <c r="F162" s="104" t="str">
        <f aca="false">IF($B162="","",IF($D162,UPPER($E162),CHOOSE($B162,INDEX(Hip!$I$137:$I$160,$C162),INDEX(Hamstring!$I$137:$I$160,$C162),INDEX(Knee!$I$137:$I$160,$C162),INDEX('Ankle-Foot'!$I$137:$I$160,$C162),INDEX(Shoulder!$I$137:$I$160,$C162))))</f>
        <v/>
      </c>
      <c r="G162" s="104" t="str">
        <f aca="false">IF($B162="","",IF($D162,INDEX($G$4:$G$8,$B162)&amp;"  ·  "&amp;INDEX($H$4:$H$8,$B162),CHOOSE($B162,INDEX(Hip!$C$137:$C$160,$C162),INDEX(Hamstring!$C$137:$C$160,$C162),INDEX(Knee!$C$137:$C$160,$C162),INDEX('Ankle-Foot'!$C$137:$C$160,$C162),INDEX(Shoulder!$C$137:$C$160,$C162))))</f>
        <v/>
      </c>
      <c r="H162" s="102" t="str">
        <f aca="false">IF(OR($B162="",$D162),"",CHOOSE($B162,INDEX(Hip!$E$137:$E$160,$C162),INDEX(Hamstring!$E$137:$E$160,$C162),INDEX(Knee!$E$137:$E$160,$C162),INDEX('Ankle-Foot'!$E$137:$E$160,$C162),INDEX(Shoulder!$E$137:$E$160,$C162)))</f>
        <v/>
      </c>
      <c r="I162" s="102" t="str">
        <f aca="false">IF(OR($B162="",$D162),"",CHOOSE($B162,INDEX(Hip!$F$137:$F$160,$C162),INDEX(Hamstring!$F$137:$F$160,$C162),INDEX(Knee!$F$137:$F$160,$C162),INDEX('Ankle-Foot'!$F$137:$F$160,$C162),INDEX(Shoulder!$F$137:$F$160,$C162)))</f>
        <v/>
      </c>
      <c r="J162" s="105" t="str">
        <f aca="false">IF(OR($B162="",$D162),"",CHOOSE($B162,INDEX(Hip!$G$137:$G$160,$C162),INDEX(Hamstring!$G$137:$G$160,$C162),INDEX(Knee!$G$137:$G$160,$C162),INDEX('Ankle-Foot'!$G$137:$G$160,$C162),INDEX(Shoulder!$G$137:$G$160,$C162)))</f>
        <v/>
      </c>
      <c r="K162" s="102" t="str">
        <f aca="false">IF(OR($B162="",$D162),"",CHOOSE($B162,INDEX(Hip!$K$137:$K$160,$C162),INDEX(Hamstring!$K$137:$K$160,$C162),INDEX(Knee!$K$137:$K$160,$C162),INDEX('Ankle-Foot'!$K$137:$K$160,$C162),INDEX(Shoulder!$K$137:$K$160,$C162)))</f>
        <v/>
      </c>
      <c r="L162" s="52" t="str">
        <f aca="false">IF($B162="","",IF($D162,INDEX($K$4:$K$8,$B162),CHOOSE($B162,INDEX(Hip!$H$137:$H$160,$C162),INDEX(Hamstring!$H$137:$H$160,$C162),INDEX(Knee!$H$137:$H$160,$C162),INDEX('Ankle-Foot'!$H$137:$H$160,$C162),INDEX(Shoulder!$H$137:$H$160,$C162))))</f>
        <v/>
      </c>
    </row>
    <row r="163" customFormat="false" ht="15" hidden="false" customHeight="false" outlineLevel="0" collapsed="false">
      <c r="A163" s="102" t="n">
        <v>114</v>
      </c>
      <c r="B163" s="102" t="str">
        <f aca="false">IF($A163&gt;$B$11,"",COUNTIF($E$4:$E$8,"&lt;="&amp;$A163))</f>
        <v/>
      </c>
      <c r="C163" s="102" t="str">
        <f aca="false">IF($B163="","",$A163-INDEX($E$4:$E$8,$B163))</f>
        <v/>
      </c>
      <c r="D163" s="103" t="b">
        <f aca="false">IF($B163="",FALSE(),$C163=0)</f>
        <v>0</v>
      </c>
      <c r="E163" s="104" t="str">
        <f aca="false">IF($B163="","",INDEX($A$4:$A$8,$B163))</f>
        <v/>
      </c>
      <c r="F163" s="104" t="str">
        <f aca="false">IF($B163="","",IF($D163,UPPER($E163),CHOOSE($B163,INDEX(Hip!$I$137:$I$160,$C163),INDEX(Hamstring!$I$137:$I$160,$C163),INDEX(Knee!$I$137:$I$160,$C163),INDEX('Ankle-Foot'!$I$137:$I$160,$C163),INDEX(Shoulder!$I$137:$I$160,$C163))))</f>
        <v/>
      </c>
      <c r="G163" s="104" t="str">
        <f aca="false">IF($B163="","",IF($D163,INDEX($G$4:$G$8,$B163)&amp;"  ·  "&amp;INDEX($H$4:$H$8,$B163),CHOOSE($B163,INDEX(Hip!$C$137:$C$160,$C163),INDEX(Hamstring!$C$137:$C$160,$C163),INDEX(Knee!$C$137:$C$160,$C163),INDEX('Ankle-Foot'!$C$137:$C$160,$C163),INDEX(Shoulder!$C$137:$C$160,$C163))))</f>
        <v/>
      </c>
      <c r="H163" s="102" t="str">
        <f aca="false">IF(OR($B163="",$D163),"",CHOOSE($B163,INDEX(Hip!$E$137:$E$160,$C163),INDEX(Hamstring!$E$137:$E$160,$C163),INDEX(Knee!$E$137:$E$160,$C163),INDEX('Ankle-Foot'!$E$137:$E$160,$C163),INDEX(Shoulder!$E$137:$E$160,$C163)))</f>
        <v/>
      </c>
      <c r="I163" s="102" t="str">
        <f aca="false">IF(OR($B163="",$D163),"",CHOOSE($B163,INDEX(Hip!$F$137:$F$160,$C163),INDEX(Hamstring!$F$137:$F$160,$C163),INDEX(Knee!$F$137:$F$160,$C163),INDEX('Ankle-Foot'!$F$137:$F$160,$C163),INDEX(Shoulder!$F$137:$F$160,$C163)))</f>
        <v/>
      </c>
      <c r="J163" s="105" t="str">
        <f aca="false">IF(OR($B163="",$D163),"",CHOOSE($B163,INDEX(Hip!$G$137:$G$160,$C163),INDEX(Hamstring!$G$137:$G$160,$C163),INDEX(Knee!$G$137:$G$160,$C163),INDEX('Ankle-Foot'!$G$137:$G$160,$C163),INDEX(Shoulder!$G$137:$G$160,$C163)))</f>
        <v/>
      </c>
      <c r="K163" s="102" t="str">
        <f aca="false">IF(OR($B163="",$D163),"",CHOOSE($B163,INDEX(Hip!$K$137:$K$160,$C163),INDEX(Hamstring!$K$137:$K$160,$C163),INDEX(Knee!$K$137:$K$160,$C163),INDEX('Ankle-Foot'!$K$137:$K$160,$C163),INDEX(Shoulder!$K$137:$K$160,$C163)))</f>
        <v/>
      </c>
      <c r="L163" s="52" t="str">
        <f aca="false">IF($B163="","",IF($D163,INDEX($K$4:$K$8,$B163),CHOOSE($B163,INDEX(Hip!$H$137:$H$160,$C163),INDEX(Hamstring!$H$137:$H$160,$C163),INDEX(Knee!$H$137:$H$160,$C163),INDEX('Ankle-Foot'!$H$137:$H$160,$C163),INDEX(Shoulder!$H$137:$H$160,$C163))))</f>
        <v/>
      </c>
    </row>
    <row r="164" customFormat="false" ht="15" hidden="false" customHeight="false" outlineLevel="0" collapsed="false">
      <c r="A164" s="102" t="n">
        <v>115</v>
      </c>
      <c r="B164" s="102" t="str">
        <f aca="false">IF($A164&gt;$B$11,"",COUNTIF($E$4:$E$8,"&lt;="&amp;$A164))</f>
        <v/>
      </c>
      <c r="C164" s="102" t="str">
        <f aca="false">IF($B164="","",$A164-INDEX($E$4:$E$8,$B164))</f>
        <v/>
      </c>
      <c r="D164" s="103" t="b">
        <f aca="false">IF($B164="",FALSE(),$C164=0)</f>
        <v>0</v>
      </c>
      <c r="E164" s="104" t="str">
        <f aca="false">IF($B164="","",INDEX($A$4:$A$8,$B164))</f>
        <v/>
      </c>
      <c r="F164" s="104" t="str">
        <f aca="false">IF($B164="","",IF($D164,UPPER($E164),CHOOSE($B164,INDEX(Hip!$I$137:$I$160,$C164),INDEX(Hamstring!$I$137:$I$160,$C164),INDEX(Knee!$I$137:$I$160,$C164),INDEX('Ankle-Foot'!$I$137:$I$160,$C164),INDEX(Shoulder!$I$137:$I$160,$C164))))</f>
        <v/>
      </c>
      <c r="G164" s="104" t="str">
        <f aca="false">IF($B164="","",IF($D164,INDEX($G$4:$G$8,$B164)&amp;"  ·  "&amp;INDEX($H$4:$H$8,$B164),CHOOSE($B164,INDEX(Hip!$C$137:$C$160,$C164),INDEX(Hamstring!$C$137:$C$160,$C164),INDEX(Knee!$C$137:$C$160,$C164),INDEX('Ankle-Foot'!$C$137:$C$160,$C164),INDEX(Shoulder!$C$137:$C$160,$C164))))</f>
        <v/>
      </c>
      <c r="H164" s="102" t="str">
        <f aca="false">IF(OR($B164="",$D164),"",CHOOSE($B164,INDEX(Hip!$E$137:$E$160,$C164),INDEX(Hamstring!$E$137:$E$160,$C164),INDEX(Knee!$E$137:$E$160,$C164),INDEX('Ankle-Foot'!$E$137:$E$160,$C164),INDEX(Shoulder!$E$137:$E$160,$C164)))</f>
        <v/>
      </c>
      <c r="I164" s="102" t="str">
        <f aca="false">IF(OR($B164="",$D164),"",CHOOSE($B164,INDEX(Hip!$F$137:$F$160,$C164),INDEX(Hamstring!$F$137:$F$160,$C164),INDEX(Knee!$F$137:$F$160,$C164),INDEX('Ankle-Foot'!$F$137:$F$160,$C164),INDEX(Shoulder!$F$137:$F$160,$C164)))</f>
        <v/>
      </c>
      <c r="J164" s="105" t="str">
        <f aca="false">IF(OR($B164="",$D164),"",CHOOSE($B164,INDEX(Hip!$G$137:$G$160,$C164),INDEX(Hamstring!$G$137:$G$160,$C164),INDEX(Knee!$G$137:$G$160,$C164),INDEX('Ankle-Foot'!$G$137:$G$160,$C164),INDEX(Shoulder!$G$137:$G$160,$C164)))</f>
        <v/>
      </c>
      <c r="K164" s="102" t="str">
        <f aca="false">IF(OR($B164="",$D164),"",CHOOSE($B164,INDEX(Hip!$K$137:$K$160,$C164),INDEX(Hamstring!$K$137:$K$160,$C164),INDEX(Knee!$K$137:$K$160,$C164),INDEX('Ankle-Foot'!$K$137:$K$160,$C164),INDEX(Shoulder!$K$137:$K$160,$C164)))</f>
        <v/>
      </c>
      <c r="L164" s="52" t="str">
        <f aca="false">IF($B164="","",IF($D164,INDEX($K$4:$K$8,$B164),CHOOSE($B164,INDEX(Hip!$H$137:$H$160,$C164),INDEX(Hamstring!$H$137:$H$160,$C164),INDEX(Knee!$H$137:$H$160,$C164),INDEX('Ankle-Foot'!$H$137:$H$160,$C164),INDEX(Shoulder!$H$137:$H$160,$C164))))</f>
        <v/>
      </c>
    </row>
    <row r="165" customFormat="false" ht="15" hidden="false" customHeight="false" outlineLevel="0" collapsed="false">
      <c r="A165" s="102" t="n">
        <v>116</v>
      </c>
      <c r="B165" s="102" t="str">
        <f aca="false">IF($A165&gt;$B$11,"",COUNTIF($E$4:$E$8,"&lt;="&amp;$A165))</f>
        <v/>
      </c>
      <c r="C165" s="102" t="str">
        <f aca="false">IF($B165="","",$A165-INDEX($E$4:$E$8,$B165))</f>
        <v/>
      </c>
      <c r="D165" s="103" t="b">
        <f aca="false">IF($B165="",FALSE(),$C165=0)</f>
        <v>0</v>
      </c>
      <c r="E165" s="104" t="str">
        <f aca="false">IF($B165="","",INDEX($A$4:$A$8,$B165))</f>
        <v/>
      </c>
      <c r="F165" s="104" t="str">
        <f aca="false">IF($B165="","",IF($D165,UPPER($E165),CHOOSE($B165,INDEX(Hip!$I$137:$I$160,$C165),INDEX(Hamstring!$I$137:$I$160,$C165),INDEX(Knee!$I$137:$I$160,$C165),INDEX('Ankle-Foot'!$I$137:$I$160,$C165),INDEX(Shoulder!$I$137:$I$160,$C165))))</f>
        <v/>
      </c>
      <c r="G165" s="104" t="str">
        <f aca="false">IF($B165="","",IF($D165,INDEX($G$4:$G$8,$B165)&amp;"  ·  "&amp;INDEX($H$4:$H$8,$B165),CHOOSE($B165,INDEX(Hip!$C$137:$C$160,$C165),INDEX(Hamstring!$C$137:$C$160,$C165),INDEX(Knee!$C$137:$C$160,$C165),INDEX('Ankle-Foot'!$C$137:$C$160,$C165),INDEX(Shoulder!$C$137:$C$160,$C165))))</f>
        <v/>
      </c>
      <c r="H165" s="102" t="str">
        <f aca="false">IF(OR($B165="",$D165),"",CHOOSE($B165,INDEX(Hip!$E$137:$E$160,$C165),INDEX(Hamstring!$E$137:$E$160,$C165),INDEX(Knee!$E$137:$E$160,$C165),INDEX('Ankle-Foot'!$E$137:$E$160,$C165),INDEX(Shoulder!$E$137:$E$160,$C165)))</f>
        <v/>
      </c>
      <c r="I165" s="102" t="str">
        <f aca="false">IF(OR($B165="",$D165),"",CHOOSE($B165,INDEX(Hip!$F$137:$F$160,$C165),INDEX(Hamstring!$F$137:$F$160,$C165),INDEX(Knee!$F$137:$F$160,$C165),INDEX('Ankle-Foot'!$F$137:$F$160,$C165),INDEX(Shoulder!$F$137:$F$160,$C165)))</f>
        <v/>
      </c>
      <c r="J165" s="105" t="str">
        <f aca="false">IF(OR($B165="",$D165),"",CHOOSE($B165,INDEX(Hip!$G$137:$G$160,$C165),INDEX(Hamstring!$G$137:$G$160,$C165),INDEX(Knee!$G$137:$G$160,$C165),INDEX('Ankle-Foot'!$G$137:$G$160,$C165),INDEX(Shoulder!$G$137:$G$160,$C165)))</f>
        <v/>
      </c>
      <c r="K165" s="102" t="str">
        <f aca="false">IF(OR($B165="",$D165),"",CHOOSE($B165,INDEX(Hip!$K$137:$K$160,$C165),INDEX(Hamstring!$K$137:$K$160,$C165),INDEX(Knee!$K$137:$K$160,$C165),INDEX('Ankle-Foot'!$K$137:$K$160,$C165),INDEX(Shoulder!$K$137:$K$160,$C165)))</f>
        <v/>
      </c>
      <c r="L165" s="52" t="str">
        <f aca="false">IF($B165="","",IF($D165,INDEX($K$4:$K$8,$B165),CHOOSE($B165,INDEX(Hip!$H$137:$H$160,$C165),INDEX(Hamstring!$H$137:$H$160,$C165),INDEX(Knee!$H$137:$H$160,$C165),INDEX('Ankle-Foot'!$H$137:$H$160,$C165),INDEX(Shoulder!$H$137:$H$160,$C165))))</f>
        <v/>
      </c>
    </row>
    <row r="166" customFormat="false" ht="15" hidden="false" customHeight="false" outlineLevel="0" collapsed="false">
      <c r="A166" s="102" t="n">
        <v>117</v>
      </c>
      <c r="B166" s="102" t="str">
        <f aca="false">IF($A166&gt;$B$11,"",COUNTIF($E$4:$E$8,"&lt;="&amp;$A166))</f>
        <v/>
      </c>
      <c r="C166" s="102" t="str">
        <f aca="false">IF($B166="","",$A166-INDEX($E$4:$E$8,$B166))</f>
        <v/>
      </c>
      <c r="D166" s="103" t="b">
        <f aca="false">IF($B166="",FALSE(),$C166=0)</f>
        <v>0</v>
      </c>
      <c r="E166" s="104" t="str">
        <f aca="false">IF($B166="","",INDEX($A$4:$A$8,$B166))</f>
        <v/>
      </c>
      <c r="F166" s="104" t="str">
        <f aca="false">IF($B166="","",IF($D166,UPPER($E166),CHOOSE($B166,INDEX(Hip!$I$137:$I$160,$C166),INDEX(Hamstring!$I$137:$I$160,$C166),INDEX(Knee!$I$137:$I$160,$C166),INDEX('Ankle-Foot'!$I$137:$I$160,$C166),INDEX(Shoulder!$I$137:$I$160,$C166))))</f>
        <v/>
      </c>
      <c r="G166" s="104" t="str">
        <f aca="false">IF($B166="","",IF($D166,INDEX($G$4:$G$8,$B166)&amp;"  ·  "&amp;INDEX($H$4:$H$8,$B166),CHOOSE($B166,INDEX(Hip!$C$137:$C$160,$C166),INDEX(Hamstring!$C$137:$C$160,$C166),INDEX(Knee!$C$137:$C$160,$C166),INDEX('Ankle-Foot'!$C$137:$C$160,$C166),INDEX(Shoulder!$C$137:$C$160,$C166))))</f>
        <v/>
      </c>
      <c r="H166" s="102" t="str">
        <f aca="false">IF(OR($B166="",$D166),"",CHOOSE($B166,INDEX(Hip!$E$137:$E$160,$C166),INDEX(Hamstring!$E$137:$E$160,$C166),INDEX(Knee!$E$137:$E$160,$C166),INDEX('Ankle-Foot'!$E$137:$E$160,$C166),INDEX(Shoulder!$E$137:$E$160,$C166)))</f>
        <v/>
      </c>
      <c r="I166" s="102" t="str">
        <f aca="false">IF(OR($B166="",$D166),"",CHOOSE($B166,INDEX(Hip!$F$137:$F$160,$C166),INDEX(Hamstring!$F$137:$F$160,$C166),INDEX(Knee!$F$137:$F$160,$C166),INDEX('Ankle-Foot'!$F$137:$F$160,$C166),INDEX(Shoulder!$F$137:$F$160,$C166)))</f>
        <v/>
      </c>
      <c r="J166" s="105" t="str">
        <f aca="false">IF(OR($B166="",$D166),"",CHOOSE($B166,INDEX(Hip!$G$137:$G$160,$C166),INDEX(Hamstring!$G$137:$G$160,$C166),INDEX(Knee!$G$137:$G$160,$C166),INDEX('Ankle-Foot'!$G$137:$G$160,$C166),INDEX(Shoulder!$G$137:$G$160,$C166)))</f>
        <v/>
      </c>
      <c r="K166" s="102" t="str">
        <f aca="false">IF(OR($B166="",$D166),"",CHOOSE($B166,INDEX(Hip!$K$137:$K$160,$C166),INDEX(Hamstring!$K$137:$K$160,$C166),INDEX(Knee!$K$137:$K$160,$C166),INDEX('Ankle-Foot'!$K$137:$K$160,$C166),INDEX(Shoulder!$K$137:$K$160,$C166)))</f>
        <v/>
      </c>
      <c r="L166" s="52" t="str">
        <f aca="false">IF($B166="","",IF($D166,INDEX($K$4:$K$8,$B166),CHOOSE($B166,INDEX(Hip!$H$137:$H$160,$C166),INDEX(Hamstring!$H$137:$H$160,$C166),INDEX(Knee!$H$137:$H$160,$C166),INDEX('Ankle-Foot'!$H$137:$H$160,$C166),INDEX(Shoulder!$H$137:$H$160,$C166))))</f>
        <v/>
      </c>
    </row>
    <row r="167" customFormat="false" ht="15" hidden="false" customHeight="false" outlineLevel="0" collapsed="false">
      <c r="A167" s="102" t="n">
        <v>118</v>
      </c>
      <c r="B167" s="102" t="str">
        <f aca="false">IF($A167&gt;$B$11,"",COUNTIF($E$4:$E$8,"&lt;="&amp;$A167))</f>
        <v/>
      </c>
      <c r="C167" s="102" t="str">
        <f aca="false">IF($B167="","",$A167-INDEX($E$4:$E$8,$B167))</f>
        <v/>
      </c>
      <c r="D167" s="103" t="b">
        <f aca="false">IF($B167="",FALSE(),$C167=0)</f>
        <v>0</v>
      </c>
      <c r="E167" s="104" t="str">
        <f aca="false">IF($B167="","",INDEX($A$4:$A$8,$B167))</f>
        <v/>
      </c>
      <c r="F167" s="104" t="str">
        <f aca="false">IF($B167="","",IF($D167,UPPER($E167),CHOOSE($B167,INDEX(Hip!$I$137:$I$160,$C167),INDEX(Hamstring!$I$137:$I$160,$C167),INDEX(Knee!$I$137:$I$160,$C167),INDEX('Ankle-Foot'!$I$137:$I$160,$C167),INDEX(Shoulder!$I$137:$I$160,$C167))))</f>
        <v/>
      </c>
      <c r="G167" s="104" t="str">
        <f aca="false">IF($B167="","",IF($D167,INDEX($G$4:$G$8,$B167)&amp;"  ·  "&amp;INDEX($H$4:$H$8,$B167),CHOOSE($B167,INDEX(Hip!$C$137:$C$160,$C167),INDEX(Hamstring!$C$137:$C$160,$C167),INDEX(Knee!$C$137:$C$160,$C167),INDEX('Ankle-Foot'!$C$137:$C$160,$C167),INDEX(Shoulder!$C$137:$C$160,$C167))))</f>
        <v/>
      </c>
      <c r="H167" s="102" t="str">
        <f aca="false">IF(OR($B167="",$D167),"",CHOOSE($B167,INDEX(Hip!$E$137:$E$160,$C167),INDEX(Hamstring!$E$137:$E$160,$C167),INDEX(Knee!$E$137:$E$160,$C167),INDEX('Ankle-Foot'!$E$137:$E$160,$C167),INDEX(Shoulder!$E$137:$E$160,$C167)))</f>
        <v/>
      </c>
      <c r="I167" s="102" t="str">
        <f aca="false">IF(OR($B167="",$D167),"",CHOOSE($B167,INDEX(Hip!$F$137:$F$160,$C167),INDEX(Hamstring!$F$137:$F$160,$C167),INDEX(Knee!$F$137:$F$160,$C167),INDEX('Ankle-Foot'!$F$137:$F$160,$C167),INDEX(Shoulder!$F$137:$F$160,$C167)))</f>
        <v/>
      </c>
      <c r="J167" s="105" t="str">
        <f aca="false">IF(OR($B167="",$D167),"",CHOOSE($B167,INDEX(Hip!$G$137:$G$160,$C167),INDEX(Hamstring!$G$137:$G$160,$C167),INDEX(Knee!$G$137:$G$160,$C167),INDEX('Ankle-Foot'!$G$137:$G$160,$C167),INDEX(Shoulder!$G$137:$G$160,$C167)))</f>
        <v/>
      </c>
      <c r="K167" s="102" t="str">
        <f aca="false">IF(OR($B167="",$D167),"",CHOOSE($B167,INDEX(Hip!$K$137:$K$160,$C167),INDEX(Hamstring!$K$137:$K$160,$C167),INDEX(Knee!$K$137:$K$160,$C167),INDEX('Ankle-Foot'!$K$137:$K$160,$C167),INDEX(Shoulder!$K$137:$K$160,$C167)))</f>
        <v/>
      </c>
      <c r="L167" s="52" t="str">
        <f aca="false">IF($B167="","",IF($D167,INDEX($K$4:$K$8,$B167),CHOOSE($B167,INDEX(Hip!$H$137:$H$160,$C167),INDEX(Hamstring!$H$137:$H$160,$C167),INDEX(Knee!$H$137:$H$160,$C167),INDEX('Ankle-Foot'!$H$137:$H$160,$C167),INDEX(Shoulder!$H$137:$H$160,$C167))))</f>
        <v/>
      </c>
    </row>
    <row r="168" customFormat="false" ht="15" hidden="false" customHeight="false" outlineLevel="0" collapsed="false">
      <c r="A168" s="102" t="n">
        <v>119</v>
      </c>
      <c r="B168" s="102" t="str">
        <f aca="false">IF($A168&gt;$B$11,"",COUNTIF($E$4:$E$8,"&lt;="&amp;$A168))</f>
        <v/>
      </c>
      <c r="C168" s="102" t="str">
        <f aca="false">IF($B168="","",$A168-INDEX($E$4:$E$8,$B168))</f>
        <v/>
      </c>
      <c r="D168" s="103" t="b">
        <f aca="false">IF($B168="",FALSE(),$C168=0)</f>
        <v>0</v>
      </c>
      <c r="E168" s="104" t="str">
        <f aca="false">IF($B168="","",INDEX($A$4:$A$8,$B168))</f>
        <v/>
      </c>
      <c r="F168" s="104" t="str">
        <f aca="false">IF($B168="","",IF($D168,UPPER($E168),CHOOSE($B168,INDEX(Hip!$I$137:$I$160,$C168),INDEX(Hamstring!$I$137:$I$160,$C168),INDEX(Knee!$I$137:$I$160,$C168),INDEX('Ankle-Foot'!$I$137:$I$160,$C168),INDEX(Shoulder!$I$137:$I$160,$C168))))</f>
        <v/>
      </c>
      <c r="G168" s="104" t="str">
        <f aca="false">IF($B168="","",IF($D168,INDEX($G$4:$G$8,$B168)&amp;"  ·  "&amp;INDEX($H$4:$H$8,$B168),CHOOSE($B168,INDEX(Hip!$C$137:$C$160,$C168),INDEX(Hamstring!$C$137:$C$160,$C168),INDEX(Knee!$C$137:$C$160,$C168),INDEX('Ankle-Foot'!$C$137:$C$160,$C168),INDEX(Shoulder!$C$137:$C$160,$C168))))</f>
        <v/>
      </c>
      <c r="H168" s="102" t="str">
        <f aca="false">IF(OR($B168="",$D168),"",CHOOSE($B168,INDEX(Hip!$E$137:$E$160,$C168),INDEX(Hamstring!$E$137:$E$160,$C168),INDEX(Knee!$E$137:$E$160,$C168),INDEX('Ankle-Foot'!$E$137:$E$160,$C168),INDEX(Shoulder!$E$137:$E$160,$C168)))</f>
        <v/>
      </c>
      <c r="I168" s="102" t="str">
        <f aca="false">IF(OR($B168="",$D168),"",CHOOSE($B168,INDEX(Hip!$F$137:$F$160,$C168),INDEX(Hamstring!$F$137:$F$160,$C168),INDEX(Knee!$F$137:$F$160,$C168),INDEX('Ankle-Foot'!$F$137:$F$160,$C168),INDEX(Shoulder!$F$137:$F$160,$C168)))</f>
        <v/>
      </c>
      <c r="J168" s="105" t="str">
        <f aca="false">IF(OR($B168="",$D168),"",CHOOSE($B168,INDEX(Hip!$G$137:$G$160,$C168),INDEX(Hamstring!$G$137:$G$160,$C168),INDEX(Knee!$G$137:$G$160,$C168),INDEX('Ankle-Foot'!$G$137:$G$160,$C168),INDEX(Shoulder!$G$137:$G$160,$C168)))</f>
        <v/>
      </c>
      <c r="K168" s="102" t="str">
        <f aca="false">IF(OR($B168="",$D168),"",CHOOSE($B168,INDEX(Hip!$K$137:$K$160,$C168),INDEX(Hamstring!$K$137:$K$160,$C168),INDEX(Knee!$K$137:$K$160,$C168),INDEX('Ankle-Foot'!$K$137:$K$160,$C168),INDEX(Shoulder!$K$137:$K$160,$C168)))</f>
        <v/>
      </c>
      <c r="L168" s="52" t="str">
        <f aca="false">IF($B168="","",IF($D168,INDEX($K$4:$K$8,$B168),CHOOSE($B168,INDEX(Hip!$H$137:$H$160,$C168),INDEX(Hamstring!$H$137:$H$160,$C168),INDEX(Knee!$H$137:$H$160,$C168),INDEX('Ankle-Foot'!$H$137:$H$160,$C168),INDEX(Shoulder!$H$137:$H$160,$C168))))</f>
        <v/>
      </c>
    </row>
    <row r="169" customFormat="false" ht="15" hidden="false" customHeight="false" outlineLevel="0" collapsed="false">
      <c r="A169" s="102" t="n">
        <v>120</v>
      </c>
      <c r="B169" s="102" t="str">
        <f aca="false">IF($A169&gt;$B$11,"",COUNTIF($E$4:$E$8,"&lt;="&amp;$A169))</f>
        <v/>
      </c>
      <c r="C169" s="102" t="str">
        <f aca="false">IF($B169="","",$A169-INDEX($E$4:$E$8,$B169))</f>
        <v/>
      </c>
      <c r="D169" s="103" t="b">
        <f aca="false">IF($B169="",FALSE(),$C169=0)</f>
        <v>0</v>
      </c>
      <c r="E169" s="104" t="str">
        <f aca="false">IF($B169="","",INDEX($A$4:$A$8,$B169))</f>
        <v/>
      </c>
      <c r="F169" s="104" t="str">
        <f aca="false">IF($B169="","",IF($D169,UPPER($E169),CHOOSE($B169,INDEX(Hip!$I$137:$I$160,$C169),INDEX(Hamstring!$I$137:$I$160,$C169),INDEX(Knee!$I$137:$I$160,$C169),INDEX('Ankle-Foot'!$I$137:$I$160,$C169),INDEX(Shoulder!$I$137:$I$160,$C169))))</f>
        <v/>
      </c>
      <c r="G169" s="104" t="str">
        <f aca="false">IF($B169="","",IF($D169,INDEX($G$4:$G$8,$B169)&amp;"  ·  "&amp;INDEX($H$4:$H$8,$B169),CHOOSE($B169,INDEX(Hip!$C$137:$C$160,$C169),INDEX(Hamstring!$C$137:$C$160,$C169),INDEX(Knee!$C$137:$C$160,$C169),INDEX('Ankle-Foot'!$C$137:$C$160,$C169),INDEX(Shoulder!$C$137:$C$160,$C169))))</f>
        <v/>
      </c>
      <c r="H169" s="102" t="str">
        <f aca="false">IF(OR($B169="",$D169),"",CHOOSE($B169,INDEX(Hip!$E$137:$E$160,$C169),INDEX(Hamstring!$E$137:$E$160,$C169),INDEX(Knee!$E$137:$E$160,$C169),INDEX('Ankle-Foot'!$E$137:$E$160,$C169),INDEX(Shoulder!$E$137:$E$160,$C169)))</f>
        <v/>
      </c>
      <c r="I169" s="102" t="str">
        <f aca="false">IF(OR($B169="",$D169),"",CHOOSE($B169,INDEX(Hip!$F$137:$F$160,$C169),INDEX(Hamstring!$F$137:$F$160,$C169),INDEX(Knee!$F$137:$F$160,$C169),INDEX('Ankle-Foot'!$F$137:$F$160,$C169),INDEX(Shoulder!$F$137:$F$160,$C169)))</f>
        <v/>
      </c>
      <c r="J169" s="105" t="str">
        <f aca="false">IF(OR($B169="",$D169),"",CHOOSE($B169,INDEX(Hip!$G$137:$G$160,$C169),INDEX(Hamstring!$G$137:$G$160,$C169),INDEX(Knee!$G$137:$G$160,$C169),INDEX('Ankle-Foot'!$G$137:$G$160,$C169),INDEX(Shoulder!$G$137:$G$160,$C169)))</f>
        <v/>
      </c>
      <c r="K169" s="102" t="str">
        <f aca="false">IF(OR($B169="",$D169),"",CHOOSE($B169,INDEX(Hip!$K$137:$K$160,$C169),INDEX(Hamstring!$K$137:$K$160,$C169),INDEX(Knee!$K$137:$K$160,$C169),INDEX('Ankle-Foot'!$K$137:$K$160,$C169),INDEX(Shoulder!$K$137:$K$160,$C169)))</f>
        <v/>
      </c>
      <c r="L169" s="52" t="str">
        <f aca="false">IF($B169="","",IF($D169,INDEX($K$4:$K$8,$B169),CHOOSE($B169,INDEX(Hip!$H$137:$H$160,$C169),INDEX(Hamstring!$H$137:$H$160,$C169),INDEX(Knee!$H$137:$H$160,$C169),INDEX('Ankle-Foot'!$H$137:$H$160,$C169),INDEX(Shoulder!$H$137:$H$160,$C169))))</f>
        <v/>
      </c>
    </row>
    <row r="170" customFormat="false" ht="15" hidden="false" customHeight="false" outlineLevel="0" collapsed="false">
      <c r="A170" s="102" t="n">
        <v>121</v>
      </c>
      <c r="B170" s="102" t="str">
        <f aca="false">IF($A170&gt;$B$11,"",COUNTIF($E$4:$E$8,"&lt;="&amp;$A170))</f>
        <v/>
      </c>
      <c r="C170" s="102" t="str">
        <f aca="false">IF($B170="","",$A170-INDEX($E$4:$E$8,$B170))</f>
        <v/>
      </c>
      <c r="D170" s="103" t="b">
        <f aca="false">IF($B170="",FALSE(),$C170=0)</f>
        <v>0</v>
      </c>
      <c r="E170" s="104" t="str">
        <f aca="false">IF($B170="","",INDEX($A$4:$A$8,$B170))</f>
        <v/>
      </c>
      <c r="F170" s="104" t="str">
        <f aca="false">IF($B170="","",IF($D170,UPPER($E170),CHOOSE($B170,INDEX(Hip!$I$137:$I$160,$C170),INDEX(Hamstring!$I$137:$I$160,$C170),INDEX(Knee!$I$137:$I$160,$C170),INDEX('Ankle-Foot'!$I$137:$I$160,$C170),INDEX(Shoulder!$I$137:$I$160,$C170))))</f>
        <v/>
      </c>
      <c r="G170" s="104" t="str">
        <f aca="false">IF($B170="","",IF($D170,INDEX($G$4:$G$8,$B170)&amp;"  ·  "&amp;INDEX($H$4:$H$8,$B170),CHOOSE($B170,INDEX(Hip!$C$137:$C$160,$C170),INDEX(Hamstring!$C$137:$C$160,$C170),INDEX(Knee!$C$137:$C$160,$C170),INDEX('Ankle-Foot'!$C$137:$C$160,$C170),INDEX(Shoulder!$C$137:$C$160,$C170))))</f>
        <v/>
      </c>
      <c r="H170" s="102" t="str">
        <f aca="false">IF(OR($B170="",$D170),"",CHOOSE($B170,INDEX(Hip!$E$137:$E$160,$C170),INDEX(Hamstring!$E$137:$E$160,$C170),INDEX(Knee!$E$137:$E$160,$C170),INDEX('Ankle-Foot'!$E$137:$E$160,$C170),INDEX(Shoulder!$E$137:$E$160,$C170)))</f>
        <v/>
      </c>
      <c r="I170" s="102" t="str">
        <f aca="false">IF(OR($B170="",$D170),"",CHOOSE($B170,INDEX(Hip!$F$137:$F$160,$C170),INDEX(Hamstring!$F$137:$F$160,$C170),INDEX(Knee!$F$137:$F$160,$C170),INDEX('Ankle-Foot'!$F$137:$F$160,$C170),INDEX(Shoulder!$F$137:$F$160,$C170)))</f>
        <v/>
      </c>
      <c r="J170" s="105" t="str">
        <f aca="false">IF(OR($B170="",$D170),"",CHOOSE($B170,INDEX(Hip!$G$137:$G$160,$C170),INDEX(Hamstring!$G$137:$G$160,$C170),INDEX(Knee!$G$137:$G$160,$C170),INDEX('Ankle-Foot'!$G$137:$G$160,$C170),INDEX(Shoulder!$G$137:$G$160,$C170)))</f>
        <v/>
      </c>
      <c r="K170" s="102" t="str">
        <f aca="false">IF(OR($B170="",$D170),"",CHOOSE($B170,INDEX(Hip!$K$137:$K$160,$C170),INDEX(Hamstring!$K$137:$K$160,$C170),INDEX(Knee!$K$137:$K$160,$C170),INDEX('Ankle-Foot'!$K$137:$K$160,$C170),INDEX(Shoulder!$K$137:$K$160,$C170)))</f>
        <v/>
      </c>
      <c r="L170" s="52" t="str">
        <f aca="false">IF($B170="","",IF($D170,INDEX($K$4:$K$8,$B170),CHOOSE($B170,INDEX(Hip!$H$137:$H$160,$C170),INDEX(Hamstring!$H$137:$H$160,$C170),INDEX(Knee!$H$137:$H$160,$C170),INDEX('Ankle-Foot'!$H$137:$H$160,$C170),INDEX(Shoulder!$H$137:$H$160,$C170))))</f>
        <v/>
      </c>
    </row>
    <row r="171" customFormat="false" ht="15" hidden="false" customHeight="false" outlineLevel="0" collapsed="false">
      <c r="A171" s="102" t="n">
        <v>122</v>
      </c>
      <c r="B171" s="102" t="str">
        <f aca="false">IF($A171&gt;$B$11,"",COUNTIF($E$4:$E$8,"&lt;="&amp;$A171))</f>
        <v/>
      </c>
      <c r="C171" s="102" t="str">
        <f aca="false">IF($B171="","",$A171-INDEX($E$4:$E$8,$B171))</f>
        <v/>
      </c>
      <c r="D171" s="103" t="b">
        <f aca="false">IF($B171="",FALSE(),$C171=0)</f>
        <v>0</v>
      </c>
      <c r="E171" s="104" t="str">
        <f aca="false">IF($B171="","",INDEX($A$4:$A$8,$B171))</f>
        <v/>
      </c>
      <c r="F171" s="104" t="str">
        <f aca="false">IF($B171="","",IF($D171,UPPER($E171),CHOOSE($B171,INDEX(Hip!$I$137:$I$160,$C171),INDEX(Hamstring!$I$137:$I$160,$C171),INDEX(Knee!$I$137:$I$160,$C171),INDEX('Ankle-Foot'!$I$137:$I$160,$C171),INDEX(Shoulder!$I$137:$I$160,$C171))))</f>
        <v/>
      </c>
      <c r="G171" s="104" t="str">
        <f aca="false">IF($B171="","",IF($D171,INDEX($G$4:$G$8,$B171)&amp;"  ·  "&amp;INDEX($H$4:$H$8,$B171),CHOOSE($B171,INDEX(Hip!$C$137:$C$160,$C171),INDEX(Hamstring!$C$137:$C$160,$C171),INDEX(Knee!$C$137:$C$160,$C171),INDEX('Ankle-Foot'!$C$137:$C$160,$C171),INDEX(Shoulder!$C$137:$C$160,$C171))))</f>
        <v/>
      </c>
      <c r="H171" s="102" t="str">
        <f aca="false">IF(OR($B171="",$D171),"",CHOOSE($B171,INDEX(Hip!$E$137:$E$160,$C171),INDEX(Hamstring!$E$137:$E$160,$C171),INDEX(Knee!$E$137:$E$160,$C171),INDEX('Ankle-Foot'!$E$137:$E$160,$C171),INDEX(Shoulder!$E$137:$E$160,$C171)))</f>
        <v/>
      </c>
      <c r="I171" s="102" t="str">
        <f aca="false">IF(OR($B171="",$D171),"",CHOOSE($B171,INDEX(Hip!$F$137:$F$160,$C171),INDEX(Hamstring!$F$137:$F$160,$C171),INDEX(Knee!$F$137:$F$160,$C171),INDEX('Ankle-Foot'!$F$137:$F$160,$C171),INDEX(Shoulder!$F$137:$F$160,$C171)))</f>
        <v/>
      </c>
      <c r="J171" s="105" t="str">
        <f aca="false">IF(OR($B171="",$D171),"",CHOOSE($B171,INDEX(Hip!$G$137:$G$160,$C171),INDEX(Hamstring!$G$137:$G$160,$C171),INDEX(Knee!$G$137:$G$160,$C171),INDEX('Ankle-Foot'!$G$137:$G$160,$C171),INDEX(Shoulder!$G$137:$G$160,$C171)))</f>
        <v/>
      </c>
      <c r="K171" s="102" t="str">
        <f aca="false">IF(OR($B171="",$D171),"",CHOOSE($B171,INDEX(Hip!$K$137:$K$160,$C171),INDEX(Hamstring!$K$137:$K$160,$C171),INDEX(Knee!$K$137:$K$160,$C171),INDEX('Ankle-Foot'!$K$137:$K$160,$C171),INDEX(Shoulder!$K$137:$K$160,$C171)))</f>
        <v/>
      </c>
      <c r="L171" s="52" t="str">
        <f aca="false">IF($B171="","",IF($D171,INDEX($K$4:$K$8,$B171),CHOOSE($B171,INDEX(Hip!$H$137:$H$160,$C171),INDEX(Hamstring!$H$137:$H$160,$C171),INDEX(Knee!$H$137:$H$160,$C171),INDEX('Ankle-Foot'!$H$137:$H$160,$C171),INDEX(Shoulder!$H$137:$H$160,$C171))))</f>
        <v/>
      </c>
    </row>
    <row r="172" customFormat="false" ht="15" hidden="false" customHeight="false" outlineLevel="0" collapsed="false">
      <c r="A172" s="102" t="n">
        <v>123</v>
      </c>
      <c r="B172" s="102" t="str">
        <f aca="false">IF($A172&gt;$B$11,"",COUNTIF($E$4:$E$8,"&lt;="&amp;$A172))</f>
        <v/>
      </c>
      <c r="C172" s="102" t="str">
        <f aca="false">IF($B172="","",$A172-INDEX($E$4:$E$8,$B172))</f>
        <v/>
      </c>
      <c r="D172" s="103" t="b">
        <f aca="false">IF($B172="",FALSE(),$C172=0)</f>
        <v>0</v>
      </c>
      <c r="E172" s="104" t="str">
        <f aca="false">IF($B172="","",INDEX($A$4:$A$8,$B172))</f>
        <v/>
      </c>
      <c r="F172" s="104" t="str">
        <f aca="false">IF($B172="","",IF($D172,UPPER($E172),CHOOSE($B172,INDEX(Hip!$I$137:$I$160,$C172),INDEX(Hamstring!$I$137:$I$160,$C172),INDEX(Knee!$I$137:$I$160,$C172),INDEX('Ankle-Foot'!$I$137:$I$160,$C172),INDEX(Shoulder!$I$137:$I$160,$C172))))</f>
        <v/>
      </c>
      <c r="G172" s="104" t="str">
        <f aca="false">IF($B172="","",IF($D172,INDEX($G$4:$G$8,$B172)&amp;"  ·  "&amp;INDEX($H$4:$H$8,$B172),CHOOSE($B172,INDEX(Hip!$C$137:$C$160,$C172),INDEX(Hamstring!$C$137:$C$160,$C172),INDEX(Knee!$C$137:$C$160,$C172),INDEX('Ankle-Foot'!$C$137:$C$160,$C172),INDEX(Shoulder!$C$137:$C$160,$C172))))</f>
        <v/>
      </c>
      <c r="H172" s="102" t="str">
        <f aca="false">IF(OR($B172="",$D172),"",CHOOSE($B172,INDEX(Hip!$E$137:$E$160,$C172),INDEX(Hamstring!$E$137:$E$160,$C172),INDEX(Knee!$E$137:$E$160,$C172),INDEX('Ankle-Foot'!$E$137:$E$160,$C172),INDEX(Shoulder!$E$137:$E$160,$C172)))</f>
        <v/>
      </c>
      <c r="I172" s="102" t="str">
        <f aca="false">IF(OR($B172="",$D172),"",CHOOSE($B172,INDEX(Hip!$F$137:$F$160,$C172),INDEX(Hamstring!$F$137:$F$160,$C172),INDEX(Knee!$F$137:$F$160,$C172),INDEX('Ankle-Foot'!$F$137:$F$160,$C172),INDEX(Shoulder!$F$137:$F$160,$C172)))</f>
        <v/>
      </c>
      <c r="J172" s="105" t="str">
        <f aca="false">IF(OR($B172="",$D172),"",CHOOSE($B172,INDEX(Hip!$G$137:$G$160,$C172),INDEX(Hamstring!$G$137:$G$160,$C172),INDEX(Knee!$G$137:$G$160,$C172),INDEX('Ankle-Foot'!$G$137:$G$160,$C172),INDEX(Shoulder!$G$137:$G$160,$C172)))</f>
        <v/>
      </c>
      <c r="K172" s="102" t="str">
        <f aca="false">IF(OR($B172="",$D172),"",CHOOSE($B172,INDEX(Hip!$K$137:$K$160,$C172),INDEX(Hamstring!$K$137:$K$160,$C172),INDEX(Knee!$K$137:$K$160,$C172),INDEX('Ankle-Foot'!$K$137:$K$160,$C172),INDEX(Shoulder!$K$137:$K$160,$C172)))</f>
        <v/>
      </c>
      <c r="L172" s="52" t="str">
        <f aca="false">IF($B172="","",IF($D172,INDEX($K$4:$K$8,$B172),CHOOSE($B172,INDEX(Hip!$H$137:$H$160,$C172),INDEX(Hamstring!$H$137:$H$160,$C172),INDEX(Knee!$H$137:$H$160,$C172),INDEX('Ankle-Foot'!$H$137:$H$160,$C172),INDEX(Shoulder!$H$137:$H$160,$C172))))</f>
        <v/>
      </c>
    </row>
    <row r="173" customFormat="false" ht="15" hidden="false" customHeight="false" outlineLevel="0" collapsed="false">
      <c r="A173" s="102" t="n">
        <v>124</v>
      </c>
      <c r="B173" s="102" t="str">
        <f aca="false">IF($A173&gt;$B$11,"",COUNTIF($E$4:$E$8,"&lt;="&amp;$A173))</f>
        <v/>
      </c>
      <c r="C173" s="102" t="str">
        <f aca="false">IF($B173="","",$A173-INDEX($E$4:$E$8,$B173))</f>
        <v/>
      </c>
      <c r="D173" s="103" t="b">
        <f aca="false">IF($B173="",FALSE(),$C173=0)</f>
        <v>0</v>
      </c>
      <c r="E173" s="104" t="str">
        <f aca="false">IF($B173="","",INDEX($A$4:$A$8,$B173))</f>
        <v/>
      </c>
      <c r="F173" s="104" t="str">
        <f aca="false">IF($B173="","",IF($D173,UPPER($E173),CHOOSE($B173,INDEX(Hip!$I$137:$I$160,$C173),INDEX(Hamstring!$I$137:$I$160,$C173),INDEX(Knee!$I$137:$I$160,$C173),INDEX('Ankle-Foot'!$I$137:$I$160,$C173),INDEX(Shoulder!$I$137:$I$160,$C173))))</f>
        <v/>
      </c>
      <c r="G173" s="104" t="str">
        <f aca="false">IF($B173="","",IF($D173,INDEX($G$4:$G$8,$B173)&amp;"  ·  "&amp;INDEX($H$4:$H$8,$B173),CHOOSE($B173,INDEX(Hip!$C$137:$C$160,$C173),INDEX(Hamstring!$C$137:$C$160,$C173),INDEX(Knee!$C$137:$C$160,$C173),INDEX('Ankle-Foot'!$C$137:$C$160,$C173),INDEX(Shoulder!$C$137:$C$160,$C173))))</f>
        <v/>
      </c>
      <c r="H173" s="102" t="str">
        <f aca="false">IF(OR($B173="",$D173),"",CHOOSE($B173,INDEX(Hip!$E$137:$E$160,$C173),INDEX(Hamstring!$E$137:$E$160,$C173),INDEX(Knee!$E$137:$E$160,$C173),INDEX('Ankle-Foot'!$E$137:$E$160,$C173),INDEX(Shoulder!$E$137:$E$160,$C173)))</f>
        <v/>
      </c>
      <c r="I173" s="102" t="str">
        <f aca="false">IF(OR($B173="",$D173),"",CHOOSE($B173,INDEX(Hip!$F$137:$F$160,$C173),INDEX(Hamstring!$F$137:$F$160,$C173),INDEX(Knee!$F$137:$F$160,$C173),INDEX('Ankle-Foot'!$F$137:$F$160,$C173),INDEX(Shoulder!$F$137:$F$160,$C173)))</f>
        <v/>
      </c>
      <c r="J173" s="105" t="str">
        <f aca="false">IF(OR($B173="",$D173),"",CHOOSE($B173,INDEX(Hip!$G$137:$G$160,$C173),INDEX(Hamstring!$G$137:$G$160,$C173),INDEX(Knee!$G$137:$G$160,$C173),INDEX('Ankle-Foot'!$G$137:$G$160,$C173),INDEX(Shoulder!$G$137:$G$160,$C173)))</f>
        <v/>
      </c>
      <c r="K173" s="102" t="str">
        <f aca="false">IF(OR($B173="",$D173),"",CHOOSE($B173,INDEX(Hip!$K$137:$K$160,$C173),INDEX(Hamstring!$K$137:$K$160,$C173),INDEX(Knee!$K$137:$K$160,$C173),INDEX('Ankle-Foot'!$K$137:$K$160,$C173),INDEX(Shoulder!$K$137:$K$160,$C173)))</f>
        <v/>
      </c>
      <c r="L173" s="52" t="str">
        <f aca="false">IF($B173="","",IF($D173,INDEX($K$4:$K$8,$B173),CHOOSE($B173,INDEX(Hip!$H$137:$H$160,$C173),INDEX(Hamstring!$H$137:$H$160,$C173),INDEX(Knee!$H$137:$H$160,$C173),INDEX('Ankle-Foot'!$H$137:$H$160,$C173),INDEX(Shoulder!$H$137:$H$160,$C173))))</f>
        <v/>
      </c>
    </row>
    <row r="174" customFormat="false" ht="15" hidden="false" customHeight="false" outlineLevel="0" collapsed="false">
      <c r="A174" s="102" t="n">
        <v>125</v>
      </c>
      <c r="B174" s="102" t="str">
        <f aca="false">IF($A174&gt;$B$11,"",COUNTIF($E$4:$E$8,"&lt;="&amp;$A174))</f>
        <v/>
      </c>
      <c r="C174" s="102" t="str">
        <f aca="false">IF($B174="","",$A174-INDEX($E$4:$E$8,$B174))</f>
        <v/>
      </c>
      <c r="D174" s="103" t="b">
        <f aca="false">IF($B174="",FALSE(),$C174=0)</f>
        <v>0</v>
      </c>
      <c r="E174" s="104" t="str">
        <f aca="false">IF($B174="","",INDEX($A$4:$A$8,$B174))</f>
        <v/>
      </c>
      <c r="F174" s="104" t="str">
        <f aca="false">IF($B174="","",IF($D174,UPPER($E174),CHOOSE($B174,INDEX(Hip!$I$137:$I$160,$C174),INDEX(Hamstring!$I$137:$I$160,$C174),INDEX(Knee!$I$137:$I$160,$C174),INDEX('Ankle-Foot'!$I$137:$I$160,$C174),INDEX(Shoulder!$I$137:$I$160,$C174))))</f>
        <v/>
      </c>
      <c r="G174" s="104" t="str">
        <f aca="false">IF($B174="","",IF($D174,INDEX($G$4:$G$8,$B174)&amp;"  ·  "&amp;INDEX($H$4:$H$8,$B174),CHOOSE($B174,INDEX(Hip!$C$137:$C$160,$C174),INDEX(Hamstring!$C$137:$C$160,$C174),INDEX(Knee!$C$137:$C$160,$C174),INDEX('Ankle-Foot'!$C$137:$C$160,$C174),INDEX(Shoulder!$C$137:$C$160,$C174))))</f>
        <v/>
      </c>
      <c r="H174" s="102" t="str">
        <f aca="false">IF(OR($B174="",$D174),"",CHOOSE($B174,INDEX(Hip!$E$137:$E$160,$C174),INDEX(Hamstring!$E$137:$E$160,$C174),INDEX(Knee!$E$137:$E$160,$C174),INDEX('Ankle-Foot'!$E$137:$E$160,$C174),INDEX(Shoulder!$E$137:$E$160,$C174)))</f>
        <v/>
      </c>
      <c r="I174" s="102" t="str">
        <f aca="false">IF(OR($B174="",$D174),"",CHOOSE($B174,INDEX(Hip!$F$137:$F$160,$C174),INDEX(Hamstring!$F$137:$F$160,$C174),INDEX(Knee!$F$137:$F$160,$C174),INDEX('Ankle-Foot'!$F$137:$F$160,$C174),INDEX(Shoulder!$F$137:$F$160,$C174)))</f>
        <v/>
      </c>
      <c r="J174" s="105" t="str">
        <f aca="false">IF(OR($B174="",$D174),"",CHOOSE($B174,INDEX(Hip!$G$137:$G$160,$C174),INDEX(Hamstring!$G$137:$G$160,$C174),INDEX(Knee!$G$137:$G$160,$C174),INDEX('Ankle-Foot'!$G$137:$G$160,$C174),INDEX(Shoulder!$G$137:$G$160,$C174)))</f>
        <v/>
      </c>
      <c r="K174" s="102" t="str">
        <f aca="false">IF(OR($B174="",$D174),"",CHOOSE($B174,INDEX(Hip!$K$137:$K$160,$C174),INDEX(Hamstring!$K$137:$K$160,$C174),INDEX(Knee!$K$137:$K$160,$C174),INDEX('Ankle-Foot'!$K$137:$K$160,$C174),INDEX(Shoulder!$K$137:$K$160,$C174)))</f>
        <v/>
      </c>
      <c r="L174" s="52" t="str">
        <f aca="false">IF($B174="","",IF($D174,INDEX($K$4:$K$8,$B174),CHOOSE($B174,INDEX(Hip!$H$137:$H$160,$C174),INDEX(Hamstring!$H$137:$H$160,$C174),INDEX(Knee!$H$137:$H$160,$C174),INDEX('Ankle-Foot'!$H$137:$H$160,$C174),INDEX(Shoulder!$H$137:$H$160,$C174))))</f>
        <v/>
      </c>
    </row>
  </sheetData>
  <mergeCells count="56">
    <mergeCell ref="A1:L1"/>
    <mergeCell ref="B14:G14"/>
    <mergeCell ref="B15:G15"/>
    <mergeCell ref="B16:G16"/>
    <mergeCell ref="B17:G17"/>
    <mergeCell ref="B18:G18"/>
    <mergeCell ref="B19:G19"/>
    <mergeCell ref="B20:G20"/>
    <mergeCell ref="H20:L20"/>
    <mergeCell ref="C23:E23"/>
    <mergeCell ref="F23:I23"/>
    <mergeCell ref="C24:E24"/>
    <mergeCell ref="F24:I24"/>
    <mergeCell ref="C25:E25"/>
    <mergeCell ref="F25:I25"/>
    <mergeCell ref="C26:E26"/>
    <mergeCell ref="F26:I26"/>
    <mergeCell ref="C27:E27"/>
    <mergeCell ref="F27:I27"/>
    <mergeCell ref="C28:E28"/>
    <mergeCell ref="F28:I28"/>
    <mergeCell ref="C29:E29"/>
    <mergeCell ref="F29:I29"/>
    <mergeCell ref="E32:F32"/>
    <mergeCell ref="G32:J32"/>
    <mergeCell ref="K32:L32"/>
    <mergeCell ref="E33:F33"/>
    <mergeCell ref="G33:J33"/>
    <mergeCell ref="K33:L33"/>
    <mergeCell ref="E34:F34"/>
    <mergeCell ref="G34:J34"/>
    <mergeCell ref="K34:L34"/>
    <mergeCell ref="E35:F35"/>
    <mergeCell ref="G35:J35"/>
    <mergeCell ref="K35:L35"/>
    <mergeCell ref="E36:F36"/>
    <mergeCell ref="G36:J36"/>
    <mergeCell ref="K36:L36"/>
    <mergeCell ref="E37:F37"/>
    <mergeCell ref="G37:J37"/>
    <mergeCell ref="K37:L37"/>
    <mergeCell ref="E38:F38"/>
    <mergeCell ref="G38:J38"/>
    <mergeCell ref="K38:L38"/>
    <mergeCell ref="D41:E41"/>
    <mergeCell ref="G41:L41"/>
    <mergeCell ref="D42:E42"/>
    <mergeCell ref="G42:L42"/>
    <mergeCell ref="D43:E43"/>
    <mergeCell ref="G43:L43"/>
    <mergeCell ref="D44:E44"/>
    <mergeCell ref="G44:L44"/>
    <mergeCell ref="D45:E45"/>
    <mergeCell ref="G45:L45"/>
    <mergeCell ref="D46:E46"/>
    <mergeCell ref="G46:L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I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9" min="2" style="0" width="13"/>
  </cols>
  <sheetData>
    <row r="1" customFormat="false" ht="27.75" hidden="false" customHeight="true" outlineLevel="0" collapsed="false">
      <c r="A1" s="54" t="s">
        <v>361</v>
      </c>
      <c r="B1" s="54"/>
      <c r="C1" s="54"/>
      <c r="D1" s="54"/>
      <c r="E1" s="54"/>
      <c r="F1" s="54"/>
      <c r="G1" s="54"/>
      <c r="H1" s="54"/>
      <c r="I1" s="54"/>
    </row>
    <row r="3" customFormat="false" ht="19.5" hidden="false" customHeight="true" outlineLevel="0" collapsed="false">
      <c r="A3" s="62" t="s">
        <v>362</v>
      </c>
      <c r="B3" s="62"/>
      <c r="C3" s="62"/>
      <c r="D3" s="62"/>
      <c r="E3" s="62"/>
      <c r="F3" s="62"/>
      <c r="G3" s="62"/>
      <c r="H3" s="62"/>
      <c r="I3" s="62"/>
    </row>
    <row r="4" customFormat="false" ht="32.8" hidden="false" customHeight="false" outlineLevel="0" collapsed="false">
      <c r="A4" s="33" t="s">
        <v>363</v>
      </c>
      <c r="B4" s="33" t="str">
        <f aca="false">IF(OR(LEFT(CHOOSE(MATCH('Dash Feed'!$B$10,Lists!$A$3:$A$7,0),Hip!$C$34,Hamstring!$C$34,Knee!$C$34,'Ankle-Foot'!$C$34,Shoulder!$C$34),1)="(",CHOOSE(MATCH('Dash Feed'!$B$10,Lists!$A$3:$A$7,0),Hip!$C$35,Hamstring!$C$35,Knee!$C$35,'Ankle-Foot'!$C$35,Shoulder!$C$35)="Score")," ",CHOOSE(MATCH('Dash Feed'!$B$10,Lists!$A$3:$A$7,0),Hip!$C$34,Hamstring!$C$34,Knee!$C$34,'Ankle-Foot'!$C$34,Shoulder!$C$34))</f>
        <v>Knee Flexion (°)</v>
      </c>
      <c r="C4" s="33" t="str">
        <f aca="false">IF(OR(LEFT(CHOOSE(MATCH('Dash Feed'!$B$10,Lists!$A$3:$A$7,0),Hip!$F$34,Hamstring!$F$34,Knee!$F$34,'Ankle-Foot'!$F$34,Shoulder!$F$34),1)="(",CHOOSE(MATCH('Dash Feed'!$B$10,Lists!$A$3:$A$7,0),Hip!$F$35,Hamstring!$F$35,Knee!$F$35,'Ankle-Foot'!$F$35,Shoulder!$F$35)="Score")," ",CHOOSE(MATCH('Dash Feed'!$B$10,Lists!$A$3:$A$7,0),Hip!$F$34,Hamstring!$F$34,Knee!$F$34,'Ankle-Foot'!$F$34,Shoulder!$F$34))</f>
        <v>Knee Extension (° hyperext = +)</v>
      </c>
      <c r="D4" s="33" t="str">
        <f aca="false">IF(OR(LEFT(CHOOSE(MATCH('Dash Feed'!$B$10,Lists!$A$3:$A$7,0),Hip!$I$34,Hamstring!$I$34,Knee!$I$34,'Ankle-Foot'!$I$34,Shoulder!$I$34),1)="(",CHOOSE(MATCH('Dash Feed'!$B$10,Lists!$A$3:$A$7,0),Hip!$I$35,Hamstring!$I$35,Knee!$I$35,'Ankle-Foot'!$I$35,Shoulder!$I$35)="Score")," ",CHOOSE(MATCH('Dash Feed'!$B$10,Lists!$A$3:$A$7,0),Hip!$I$34,Hamstring!$I$34,Knee!$I$34,'Ankle-Foot'!$I$34,Shoulder!$I$34))</f>
        <v>Ankle DF Knee-to-Wall (cm)</v>
      </c>
      <c r="E4" s="33" t="str">
        <f aca="false">IF(OR(LEFT(CHOOSE(MATCH('Dash Feed'!$B$10,Lists!$A$3:$A$7,0),Hip!$L$34,Hamstring!$L$34,Knee!$L$34,'Ankle-Foot'!$L$34,Shoulder!$L$34),1)="(",CHOOSE(MATCH('Dash Feed'!$B$10,Lists!$A$3:$A$7,0),Hip!$L$35,Hamstring!$L$35,Knee!$L$35,'Ankle-Foot'!$L$35,Shoulder!$L$35)="Score")," ",CHOOSE(MATCH('Dash Feed'!$B$10,Lists!$A$3:$A$7,0),Hip!$L$34,Hamstring!$L$34,Knee!$L$34,'Ankle-Foot'!$L$34,Shoulder!$L$34))</f>
        <v>Thigh Circumference 10 cm (cm)</v>
      </c>
      <c r="F4" s="33" t="str">
        <f aca="false">IF(OR(LEFT(CHOOSE(MATCH('Dash Feed'!$B$10,Lists!$A$3:$A$7,0),Hip!$O$34,Hamstring!$O$34,Knee!$O$34,'Ankle-Foot'!$O$34,Shoulder!$O$34),1)="(",CHOOSE(MATCH('Dash Feed'!$B$10,Lists!$A$3:$A$7,0),Hip!$O$35,Hamstring!$O$35,Knee!$O$35,'Ankle-Foot'!$O$35,Shoulder!$O$35)="Score")," ",CHOOSE(MATCH('Dash Feed'!$B$10,Lists!$A$3:$A$7,0),Hip!$O$34,Hamstring!$O$34,Knee!$O$34,'Ankle-Foot'!$O$34,Shoulder!$O$34))</f>
        <v> </v>
      </c>
      <c r="G4" s="33" t="str">
        <f aca="false">IF(OR(LEFT(CHOOSE(MATCH('Dash Feed'!$B$10,Lists!$A$3:$A$7,0),Hip!$R$34,Hamstring!$R$34,Knee!$R$34,'Ankle-Foot'!$R$34,Shoulder!$R$34),1)="(",CHOOSE(MATCH('Dash Feed'!$B$10,Lists!$A$3:$A$7,0),Hip!$R$35,Hamstring!$R$35,Knee!$R$35,'Ankle-Foot'!$R$35,Shoulder!$R$35)="Score")," ",CHOOSE(MATCH('Dash Feed'!$B$10,Lists!$A$3:$A$7,0),Hip!$R$34,Hamstring!$R$34,Knee!$R$34,'Ankle-Foot'!$R$34,Shoulder!$R$34))</f>
        <v> </v>
      </c>
      <c r="H4" s="33" t="str">
        <f aca="false">IF(OR(LEFT(CHOOSE(MATCH('Dash Feed'!$B$10,Lists!$A$3:$A$7,0),Hip!$U$34,Hamstring!$U$34,Knee!$U$34,'Ankle-Foot'!$U$34,Shoulder!$U$34),1)="(",CHOOSE(MATCH('Dash Feed'!$B$10,Lists!$A$3:$A$7,0),Hip!$U$35,Hamstring!$U$35,Knee!$U$35,'Ankle-Foot'!$U$35,Shoulder!$U$35)="Score")," ",CHOOSE(MATCH('Dash Feed'!$B$10,Lists!$A$3:$A$7,0),Hip!$U$34,Hamstring!$U$34,Knee!$U$34,'Ankle-Foot'!$U$34,Shoulder!$U$34))</f>
        <v> </v>
      </c>
      <c r="I4" s="33" t="str">
        <f aca="false">IF(OR(LEFT(CHOOSE(MATCH('Dash Feed'!$B$10,Lists!$A$3:$A$7,0),Hip!$X$34,Hamstring!$X$34,Knee!$X$34,'Ankle-Foot'!$X$34,Shoulder!$X$34),1)="(",CHOOSE(MATCH('Dash Feed'!$B$10,Lists!$A$3:$A$7,0),Hip!$X$35,Hamstring!$X$35,Knee!$X$35,'Ankle-Foot'!$X$35,Shoulder!$X$35)="Score")," ",CHOOSE(MATCH('Dash Feed'!$B$10,Lists!$A$3:$A$7,0),Hip!$X$34,Hamstring!$X$34,Knee!$X$34,'Ankle-Foot'!$X$34,Shoulder!$X$34))</f>
        <v> </v>
      </c>
    </row>
    <row r="5" customFormat="false" ht="15" hidden="false" customHeight="false" outlineLevel="0" collapsed="false">
      <c r="A5" s="102" t="n">
        <f aca="false">IF(CHOOSE(MATCH('Dash Feed'!$B$10,Lists!$A$3:$A$7,0),Hip!$B$36,Hamstring!$B$36,Knee!$B$36,'Ankle-Foot'!$B$36,Shoulder!$B$36)="","",CHOOSE(MATCH('Dash Feed'!$B$10,Lists!$A$3:$A$7,0),Hip!$B$36,Hamstring!$B$36,Knee!$B$36,'Ankle-Foot'!$B$36,Shoulder!$B$36))</f>
        <v>3</v>
      </c>
      <c r="B5" s="105" t="n">
        <f aca="false">IF(ISNUMBER(CHOOSE(MATCH('Dash Feed'!$B$10,Lists!$A$3:$A$7,0),Hip!$E$36,Hamstring!$E$36,Knee!$E$36,'Ankle-Foot'!$E$36,Shoulder!$E$36)),CHOOSE(MATCH('Dash Feed'!$B$10,Lists!$A$3:$A$7,0),Hip!$E$36,Hamstring!$E$36,Knee!$E$36,'Ankle-Foot'!$E$36,Shoulder!$E$36),NA())</f>
        <v>0.842857142857143</v>
      </c>
      <c r="C5" s="105" t="n">
        <f aca="false">IF(ISNUMBER(CHOOSE(MATCH('Dash Feed'!$B$10,Lists!$A$3:$A$7,0),Hip!$H$36,Hamstring!$H$36,Knee!$H$36,'Ankle-Foot'!$H$36,Shoulder!$H$36)),CHOOSE(MATCH('Dash Feed'!$B$10,Lists!$A$3:$A$7,0),Hip!$H$36,Hamstring!$H$36,Knee!$H$36,'Ankle-Foot'!$H$36,Shoulder!$H$36),NA())</f>
        <v>0.666666666666667</v>
      </c>
      <c r="D5" s="105" t="n">
        <f aca="false">IF(ISNUMBER(CHOOSE(MATCH('Dash Feed'!$B$10,Lists!$A$3:$A$7,0),Hip!$K$36,Hamstring!$K$36,Knee!$K$36,'Ankle-Foot'!$K$36,Shoulder!$K$36)),CHOOSE(MATCH('Dash Feed'!$B$10,Lists!$A$3:$A$7,0),Hip!$K$36,Hamstring!$K$36,Knee!$K$36,'Ankle-Foot'!$K$36,Shoulder!$K$36),NA())</f>
        <v>0.791666666666667</v>
      </c>
      <c r="E5" s="105" t="n">
        <f aca="false">IF(ISNUMBER(CHOOSE(MATCH('Dash Feed'!$B$10,Lists!$A$3:$A$7,0),Hip!$N$36,Hamstring!$N$36,Knee!$N$36,'Ankle-Foot'!$N$36,Shoulder!$N$36)),CHOOSE(MATCH('Dash Feed'!$B$10,Lists!$A$3:$A$7,0),Hip!$N$36,Hamstring!$N$36,Knee!$N$36,'Ankle-Foot'!$N$36,Shoulder!$N$36),NA())</f>
        <v>0.946808510638298</v>
      </c>
      <c r="F5" s="105" t="e">
        <f aca="false">IF(ISNUMBER(CHOOSE(MATCH('Dash Feed'!$B$10,Lists!$A$3:$A$7,0),Hip!$Q$36,Hamstring!$Q$36,Knee!$Q$36,'Ankle-Foot'!$Q$36,Shoulder!$Q$36)),CHOOSE(MATCH('Dash Feed'!$B$10,Lists!$A$3:$A$7,0),Hip!$Q$36,Hamstring!$Q$36,Knee!$Q$36,'Ankle-Foot'!$Q$36,Shoulder!$Q$36),NA())</f>
        <v>#N/A</v>
      </c>
      <c r="G5" s="105" t="e">
        <f aca="false">IF(ISNUMBER(CHOOSE(MATCH('Dash Feed'!$B$10,Lists!$A$3:$A$7,0),Hip!$T$36,Hamstring!$T$36,Knee!$T$36,'Ankle-Foot'!$T$36,Shoulder!$T$36)),CHOOSE(MATCH('Dash Feed'!$B$10,Lists!$A$3:$A$7,0),Hip!$T$36,Hamstring!$T$36,Knee!$T$36,'Ankle-Foot'!$T$36,Shoulder!$T$36),NA())</f>
        <v>#N/A</v>
      </c>
      <c r="H5" s="105" t="e">
        <f aca="false">IF(ISNUMBER(CHOOSE(MATCH('Dash Feed'!$B$10,Lists!$A$3:$A$7,0),Hip!$W$36,Hamstring!$W$36,Knee!$W$36,'Ankle-Foot'!$W$36,Shoulder!$W$36)),CHOOSE(MATCH('Dash Feed'!$B$10,Lists!$A$3:$A$7,0),Hip!$W$36,Hamstring!$W$36,Knee!$W$36,'Ankle-Foot'!$W$36,Shoulder!$W$36),NA())</f>
        <v>#N/A</v>
      </c>
      <c r="I5" s="105" t="e">
        <f aca="false">IF(ISNUMBER(CHOOSE(MATCH('Dash Feed'!$B$10,Lists!$A$3:$A$7,0),Hip!$Z$36,Hamstring!$Z$36,Knee!$Z$36,'Ankle-Foot'!$Z$36,Shoulder!$Z$36)),CHOOSE(MATCH('Dash Feed'!$B$10,Lists!$A$3:$A$7,0),Hip!$Z$36,Hamstring!$Z$36,Knee!$Z$36,'Ankle-Foot'!$Z$36,Shoulder!$Z$36),NA())</f>
        <v>#N/A</v>
      </c>
    </row>
    <row r="6" customFormat="false" ht="15" hidden="false" customHeight="false" outlineLevel="0" collapsed="false">
      <c r="A6" s="102" t="n">
        <f aca="false">IF(CHOOSE(MATCH('Dash Feed'!$B$10,Lists!$A$3:$A$7,0),Hip!$B$37,Hamstring!$B$37,Knee!$B$37,'Ankle-Foot'!$B$37,Shoulder!$B$37)="","",CHOOSE(MATCH('Dash Feed'!$B$10,Lists!$A$3:$A$7,0),Hip!$B$37,Hamstring!$B$37,Knee!$B$37,'Ankle-Foot'!$B$37,Shoulder!$B$37))</f>
        <v>7</v>
      </c>
      <c r="B6" s="105" t="n">
        <f aca="false">IF(ISNUMBER(CHOOSE(MATCH('Dash Feed'!$B$10,Lists!$A$3:$A$7,0),Hip!$E$37,Hamstring!$E$37,Knee!$E$37,'Ankle-Foot'!$E$37,Shoulder!$E$37)),CHOOSE(MATCH('Dash Feed'!$B$10,Lists!$A$3:$A$7,0),Hip!$E$37,Hamstring!$E$37,Knee!$E$37,'Ankle-Foot'!$E$37,Shoulder!$E$37),NA())</f>
        <v>0.957446808510638</v>
      </c>
      <c r="C6" s="105" t="n">
        <f aca="false">IF(ISNUMBER(CHOOSE(MATCH('Dash Feed'!$B$10,Lists!$A$3:$A$7,0),Hip!$H$37,Hamstring!$H$37,Knee!$H$37,'Ankle-Foot'!$H$37,Shoulder!$H$37)),CHOOSE(MATCH('Dash Feed'!$B$10,Lists!$A$3:$A$7,0),Hip!$H$37,Hamstring!$H$37,Knee!$H$37,'Ankle-Foot'!$H$37,Shoulder!$H$37),NA())</f>
        <v>1</v>
      </c>
      <c r="D6" s="105" t="n">
        <f aca="false">IF(ISNUMBER(CHOOSE(MATCH('Dash Feed'!$B$10,Lists!$A$3:$A$7,0),Hip!$K$37,Hamstring!$K$37,Knee!$K$37,'Ankle-Foot'!$K$37,Shoulder!$K$37)),CHOOSE(MATCH('Dash Feed'!$B$10,Lists!$A$3:$A$7,0),Hip!$K$37,Hamstring!$K$37,Knee!$K$37,'Ankle-Foot'!$K$37,Shoulder!$K$37),NA())</f>
        <v>0.916666666666667</v>
      </c>
      <c r="E6" s="105" t="n">
        <f aca="false">IF(ISNUMBER(CHOOSE(MATCH('Dash Feed'!$B$10,Lists!$A$3:$A$7,0),Hip!$N$37,Hamstring!$N$37,Knee!$N$37,'Ankle-Foot'!$N$37,Shoulder!$N$37)),CHOOSE(MATCH('Dash Feed'!$B$10,Lists!$A$3:$A$7,0),Hip!$N$37,Hamstring!$N$37,Knee!$N$37,'Ankle-Foot'!$N$37,Shoulder!$N$37),NA())</f>
        <v>0.968085106382979</v>
      </c>
      <c r="F6" s="105" t="e">
        <f aca="false">IF(ISNUMBER(CHOOSE(MATCH('Dash Feed'!$B$10,Lists!$A$3:$A$7,0),Hip!$Q$37,Hamstring!$Q$37,Knee!$Q$37,'Ankle-Foot'!$Q$37,Shoulder!$Q$37)),CHOOSE(MATCH('Dash Feed'!$B$10,Lists!$A$3:$A$7,0),Hip!$Q$37,Hamstring!$Q$37,Knee!$Q$37,'Ankle-Foot'!$Q$37,Shoulder!$Q$37),NA())</f>
        <v>#N/A</v>
      </c>
      <c r="G6" s="105" t="e">
        <f aca="false">IF(ISNUMBER(CHOOSE(MATCH('Dash Feed'!$B$10,Lists!$A$3:$A$7,0),Hip!$T$37,Hamstring!$T$37,Knee!$T$37,'Ankle-Foot'!$T$37,Shoulder!$T$37)),CHOOSE(MATCH('Dash Feed'!$B$10,Lists!$A$3:$A$7,0),Hip!$T$37,Hamstring!$T$37,Knee!$T$37,'Ankle-Foot'!$T$37,Shoulder!$T$37),NA())</f>
        <v>#N/A</v>
      </c>
      <c r="H6" s="105" t="e">
        <f aca="false">IF(ISNUMBER(CHOOSE(MATCH('Dash Feed'!$B$10,Lists!$A$3:$A$7,0),Hip!$W$37,Hamstring!$W$37,Knee!$W$37,'Ankle-Foot'!$W$37,Shoulder!$W$37)),CHOOSE(MATCH('Dash Feed'!$B$10,Lists!$A$3:$A$7,0),Hip!$W$37,Hamstring!$W$37,Knee!$W$37,'Ankle-Foot'!$W$37,Shoulder!$W$37),NA())</f>
        <v>#N/A</v>
      </c>
      <c r="I6" s="105" t="e">
        <f aca="false">IF(ISNUMBER(CHOOSE(MATCH('Dash Feed'!$B$10,Lists!$A$3:$A$7,0),Hip!$Z$37,Hamstring!$Z$37,Knee!$Z$37,'Ankle-Foot'!$Z$37,Shoulder!$Z$37)),CHOOSE(MATCH('Dash Feed'!$B$10,Lists!$A$3:$A$7,0),Hip!$Z$37,Hamstring!$Z$37,Knee!$Z$37,'Ankle-Foot'!$Z$37,Shoulder!$Z$37),NA())</f>
        <v>#N/A</v>
      </c>
    </row>
    <row r="7" customFormat="false" ht="15" hidden="false" customHeight="false" outlineLevel="0" collapsed="false">
      <c r="A7" s="102" t="str">
        <f aca="false">IF(CHOOSE(MATCH('Dash Feed'!$B$10,Lists!$A$3:$A$7,0),Hip!$B$38,Hamstring!$B$38,Knee!$B$38,'Ankle-Foot'!$B$38,Shoulder!$B$38)="","",CHOOSE(MATCH('Dash Feed'!$B$10,Lists!$A$3:$A$7,0),Hip!$B$38,Hamstring!$B$38,Knee!$B$38,'Ankle-Foot'!$B$38,Shoulder!$B$38))</f>
        <v/>
      </c>
      <c r="B7" s="105" t="e">
        <f aca="false">IF(ISNUMBER(CHOOSE(MATCH('Dash Feed'!$B$10,Lists!$A$3:$A$7,0),Hip!$E$38,Hamstring!$E$38,Knee!$E$38,'Ankle-Foot'!$E$38,Shoulder!$E$38)),CHOOSE(MATCH('Dash Feed'!$B$10,Lists!$A$3:$A$7,0),Hip!$E$38,Hamstring!$E$38,Knee!$E$38,'Ankle-Foot'!$E$38,Shoulder!$E$38),NA())</f>
        <v>#N/A</v>
      </c>
      <c r="C7" s="105" t="e">
        <f aca="false">IF(ISNUMBER(CHOOSE(MATCH('Dash Feed'!$B$10,Lists!$A$3:$A$7,0),Hip!$H$38,Hamstring!$H$38,Knee!$H$38,'Ankle-Foot'!$H$38,Shoulder!$H$38)),CHOOSE(MATCH('Dash Feed'!$B$10,Lists!$A$3:$A$7,0),Hip!$H$38,Hamstring!$H$38,Knee!$H$38,'Ankle-Foot'!$H$38,Shoulder!$H$38),NA())</f>
        <v>#N/A</v>
      </c>
      <c r="D7" s="105" t="e">
        <f aca="false">IF(ISNUMBER(CHOOSE(MATCH('Dash Feed'!$B$10,Lists!$A$3:$A$7,0),Hip!$K$38,Hamstring!$K$38,Knee!$K$38,'Ankle-Foot'!$K$38,Shoulder!$K$38)),CHOOSE(MATCH('Dash Feed'!$B$10,Lists!$A$3:$A$7,0),Hip!$K$38,Hamstring!$K$38,Knee!$K$38,'Ankle-Foot'!$K$38,Shoulder!$K$38),NA())</f>
        <v>#N/A</v>
      </c>
      <c r="E7" s="105" t="e">
        <f aca="false">IF(ISNUMBER(CHOOSE(MATCH('Dash Feed'!$B$10,Lists!$A$3:$A$7,0),Hip!$N$38,Hamstring!$N$38,Knee!$N$38,'Ankle-Foot'!$N$38,Shoulder!$N$38)),CHOOSE(MATCH('Dash Feed'!$B$10,Lists!$A$3:$A$7,0),Hip!$N$38,Hamstring!$N$38,Knee!$N$38,'Ankle-Foot'!$N$38,Shoulder!$N$38),NA())</f>
        <v>#N/A</v>
      </c>
      <c r="F7" s="105" t="e">
        <f aca="false">IF(ISNUMBER(CHOOSE(MATCH('Dash Feed'!$B$10,Lists!$A$3:$A$7,0),Hip!$Q$38,Hamstring!$Q$38,Knee!$Q$38,'Ankle-Foot'!$Q$38,Shoulder!$Q$38)),CHOOSE(MATCH('Dash Feed'!$B$10,Lists!$A$3:$A$7,0),Hip!$Q$38,Hamstring!$Q$38,Knee!$Q$38,'Ankle-Foot'!$Q$38,Shoulder!$Q$38),NA())</f>
        <v>#N/A</v>
      </c>
      <c r="G7" s="105" t="e">
        <f aca="false">IF(ISNUMBER(CHOOSE(MATCH('Dash Feed'!$B$10,Lists!$A$3:$A$7,0),Hip!$T$38,Hamstring!$T$38,Knee!$T$38,'Ankle-Foot'!$T$38,Shoulder!$T$38)),CHOOSE(MATCH('Dash Feed'!$B$10,Lists!$A$3:$A$7,0),Hip!$T$38,Hamstring!$T$38,Knee!$T$38,'Ankle-Foot'!$T$38,Shoulder!$T$38),NA())</f>
        <v>#N/A</v>
      </c>
      <c r="H7" s="105" t="e">
        <f aca="false">IF(ISNUMBER(CHOOSE(MATCH('Dash Feed'!$B$10,Lists!$A$3:$A$7,0),Hip!$W$38,Hamstring!$W$38,Knee!$W$38,'Ankle-Foot'!$W$38,Shoulder!$W$38)),CHOOSE(MATCH('Dash Feed'!$B$10,Lists!$A$3:$A$7,0),Hip!$W$38,Hamstring!$W$38,Knee!$W$38,'Ankle-Foot'!$W$38,Shoulder!$W$38),NA())</f>
        <v>#N/A</v>
      </c>
      <c r="I7" s="105" t="e">
        <f aca="false">IF(ISNUMBER(CHOOSE(MATCH('Dash Feed'!$B$10,Lists!$A$3:$A$7,0),Hip!$Z$38,Hamstring!$Z$38,Knee!$Z$38,'Ankle-Foot'!$Z$38,Shoulder!$Z$38)),CHOOSE(MATCH('Dash Feed'!$B$10,Lists!$A$3:$A$7,0),Hip!$Z$38,Hamstring!$Z$38,Knee!$Z$38,'Ankle-Foot'!$Z$38,Shoulder!$Z$38),NA())</f>
        <v>#N/A</v>
      </c>
    </row>
    <row r="8" customFormat="false" ht="15" hidden="false" customHeight="false" outlineLevel="0" collapsed="false">
      <c r="A8" s="102" t="str">
        <f aca="false">IF(CHOOSE(MATCH('Dash Feed'!$B$10,Lists!$A$3:$A$7,0),Hip!$B$39,Hamstring!$B$39,Knee!$B$39,'Ankle-Foot'!$B$39,Shoulder!$B$39)="","",CHOOSE(MATCH('Dash Feed'!$B$10,Lists!$A$3:$A$7,0),Hip!$B$39,Hamstring!$B$39,Knee!$B$39,'Ankle-Foot'!$B$39,Shoulder!$B$39))</f>
        <v/>
      </c>
      <c r="B8" s="105" t="e">
        <f aca="false">IF(ISNUMBER(CHOOSE(MATCH('Dash Feed'!$B$10,Lists!$A$3:$A$7,0),Hip!$E$39,Hamstring!$E$39,Knee!$E$39,'Ankle-Foot'!$E$39,Shoulder!$E$39)),CHOOSE(MATCH('Dash Feed'!$B$10,Lists!$A$3:$A$7,0),Hip!$E$39,Hamstring!$E$39,Knee!$E$39,'Ankle-Foot'!$E$39,Shoulder!$E$39),NA())</f>
        <v>#N/A</v>
      </c>
      <c r="C8" s="105" t="e">
        <f aca="false">IF(ISNUMBER(CHOOSE(MATCH('Dash Feed'!$B$10,Lists!$A$3:$A$7,0),Hip!$H$39,Hamstring!$H$39,Knee!$H$39,'Ankle-Foot'!$H$39,Shoulder!$H$39)),CHOOSE(MATCH('Dash Feed'!$B$10,Lists!$A$3:$A$7,0),Hip!$H$39,Hamstring!$H$39,Knee!$H$39,'Ankle-Foot'!$H$39,Shoulder!$H$39),NA())</f>
        <v>#N/A</v>
      </c>
      <c r="D8" s="105" t="e">
        <f aca="false">IF(ISNUMBER(CHOOSE(MATCH('Dash Feed'!$B$10,Lists!$A$3:$A$7,0),Hip!$K$39,Hamstring!$K$39,Knee!$K$39,'Ankle-Foot'!$K$39,Shoulder!$K$39)),CHOOSE(MATCH('Dash Feed'!$B$10,Lists!$A$3:$A$7,0),Hip!$K$39,Hamstring!$K$39,Knee!$K$39,'Ankle-Foot'!$K$39,Shoulder!$K$39),NA())</f>
        <v>#N/A</v>
      </c>
      <c r="E8" s="105" t="e">
        <f aca="false">IF(ISNUMBER(CHOOSE(MATCH('Dash Feed'!$B$10,Lists!$A$3:$A$7,0),Hip!$N$39,Hamstring!$N$39,Knee!$N$39,'Ankle-Foot'!$N$39,Shoulder!$N$39)),CHOOSE(MATCH('Dash Feed'!$B$10,Lists!$A$3:$A$7,0),Hip!$N$39,Hamstring!$N$39,Knee!$N$39,'Ankle-Foot'!$N$39,Shoulder!$N$39),NA())</f>
        <v>#N/A</v>
      </c>
      <c r="F8" s="105" t="e">
        <f aca="false">IF(ISNUMBER(CHOOSE(MATCH('Dash Feed'!$B$10,Lists!$A$3:$A$7,0),Hip!$Q$39,Hamstring!$Q$39,Knee!$Q$39,'Ankle-Foot'!$Q$39,Shoulder!$Q$39)),CHOOSE(MATCH('Dash Feed'!$B$10,Lists!$A$3:$A$7,0),Hip!$Q$39,Hamstring!$Q$39,Knee!$Q$39,'Ankle-Foot'!$Q$39,Shoulder!$Q$39),NA())</f>
        <v>#N/A</v>
      </c>
      <c r="G8" s="105" t="e">
        <f aca="false">IF(ISNUMBER(CHOOSE(MATCH('Dash Feed'!$B$10,Lists!$A$3:$A$7,0),Hip!$T$39,Hamstring!$T$39,Knee!$T$39,'Ankle-Foot'!$T$39,Shoulder!$T$39)),CHOOSE(MATCH('Dash Feed'!$B$10,Lists!$A$3:$A$7,0),Hip!$T$39,Hamstring!$T$39,Knee!$T$39,'Ankle-Foot'!$T$39,Shoulder!$T$39),NA())</f>
        <v>#N/A</v>
      </c>
      <c r="H8" s="105" t="e">
        <f aca="false">IF(ISNUMBER(CHOOSE(MATCH('Dash Feed'!$B$10,Lists!$A$3:$A$7,0),Hip!$W$39,Hamstring!$W$39,Knee!$W$39,'Ankle-Foot'!$W$39,Shoulder!$W$39)),CHOOSE(MATCH('Dash Feed'!$B$10,Lists!$A$3:$A$7,0),Hip!$W$39,Hamstring!$W$39,Knee!$W$39,'Ankle-Foot'!$W$39,Shoulder!$W$39),NA())</f>
        <v>#N/A</v>
      </c>
      <c r="I8" s="105" t="e">
        <f aca="false">IF(ISNUMBER(CHOOSE(MATCH('Dash Feed'!$B$10,Lists!$A$3:$A$7,0),Hip!$Z$39,Hamstring!$Z$39,Knee!$Z$39,'Ankle-Foot'!$Z$39,Shoulder!$Z$39)),CHOOSE(MATCH('Dash Feed'!$B$10,Lists!$A$3:$A$7,0),Hip!$Z$39,Hamstring!$Z$39,Knee!$Z$39,'Ankle-Foot'!$Z$39,Shoulder!$Z$39),NA())</f>
        <v>#N/A</v>
      </c>
    </row>
    <row r="9" customFormat="false" ht="15" hidden="false" customHeight="false" outlineLevel="0" collapsed="false">
      <c r="A9" s="102" t="str">
        <f aca="false">IF(CHOOSE(MATCH('Dash Feed'!$B$10,Lists!$A$3:$A$7,0),Hip!$B$40,Hamstring!$B$40,Knee!$B$40,'Ankle-Foot'!$B$40,Shoulder!$B$40)="","",CHOOSE(MATCH('Dash Feed'!$B$10,Lists!$A$3:$A$7,0),Hip!$B$40,Hamstring!$B$40,Knee!$B$40,'Ankle-Foot'!$B$40,Shoulder!$B$40))</f>
        <v/>
      </c>
      <c r="B9" s="105" t="e">
        <f aca="false">IF(ISNUMBER(CHOOSE(MATCH('Dash Feed'!$B$10,Lists!$A$3:$A$7,0),Hip!$E$40,Hamstring!$E$40,Knee!$E$40,'Ankle-Foot'!$E$40,Shoulder!$E$40)),CHOOSE(MATCH('Dash Feed'!$B$10,Lists!$A$3:$A$7,0),Hip!$E$40,Hamstring!$E$40,Knee!$E$40,'Ankle-Foot'!$E$40,Shoulder!$E$40),NA())</f>
        <v>#N/A</v>
      </c>
      <c r="C9" s="105" t="e">
        <f aca="false">IF(ISNUMBER(CHOOSE(MATCH('Dash Feed'!$B$10,Lists!$A$3:$A$7,0),Hip!$H$40,Hamstring!$H$40,Knee!$H$40,'Ankle-Foot'!$H$40,Shoulder!$H$40)),CHOOSE(MATCH('Dash Feed'!$B$10,Lists!$A$3:$A$7,0),Hip!$H$40,Hamstring!$H$40,Knee!$H$40,'Ankle-Foot'!$H$40,Shoulder!$H$40),NA())</f>
        <v>#N/A</v>
      </c>
      <c r="D9" s="105" t="e">
        <f aca="false">IF(ISNUMBER(CHOOSE(MATCH('Dash Feed'!$B$10,Lists!$A$3:$A$7,0),Hip!$K$40,Hamstring!$K$40,Knee!$K$40,'Ankle-Foot'!$K$40,Shoulder!$K$40)),CHOOSE(MATCH('Dash Feed'!$B$10,Lists!$A$3:$A$7,0),Hip!$K$40,Hamstring!$K$40,Knee!$K$40,'Ankle-Foot'!$K$40,Shoulder!$K$40),NA())</f>
        <v>#N/A</v>
      </c>
      <c r="E9" s="105" t="e">
        <f aca="false">IF(ISNUMBER(CHOOSE(MATCH('Dash Feed'!$B$10,Lists!$A$3:$A$7,0),Hip!$N$40,Hamstring!$N$40,Knee!$N$40,'Ankle-Foot'!$N$40,Shoulder!$N$40)),CHOOSE(MATCH('Dash Feed'!$B$10,Lists!$A$3:$A$7,0),Hip!$N$40,Hamstring!$N$40,Knee!$N$40,'Ankle-Foot'!$N$40,Shoulder!$N$40),NA())</f>
        <v>#N/A</v>
      </c>
      <c r="F9" s="105" t="e">
        <f aca="false">IF(ISNUMBER(CHOOSE(MATCH('Dash Feed'!$B$10,Lists!$A$3:$A$7,0),Hip!$Q$40,Hamstring!$Q$40,Knee!$Q$40,'Ankle-Foot'!$Q$40,Shoulder!$Q$40)),CHOOSE(MATCH('Dash Feed'!$B$10,Lists!$A$3:$A$7,0),Hip!$Q$40,Hamstring!$Q$40,Knee!$Q$40,'Ankle-Foot'!$Q$40,Shoulder!$Q$40),NA())</f>
        <v>#N/A</v>
      </c>
      <c r="G9" s="105" t="e">
        <f aca="false">IF(ISNUMBER(CHOOSE(MATCH('Dash Feed'!$B$10,Lists!$A$3:$A$7,0),Hip!$T$40,Hamstring!$T$40,Knee!$T$40,'Ankle-Foot'!$T$40,Shoulder!$T$40)),CHOOSE(MATCH('Dash Feed'!$B$10,Lists!$A$3:$A$7,0),Hip!$T$40,Hamstring!$T$40,Knee!$T$40,'Ankle-Foot'!$T$40,Shoulder!$T$40),NA())</f>
        <v>#N/A</v>
      </c>
      <c r="H9" s="105" t="e">
        <f aca="false">IF(ISNUMBER(CHOOSE(MATCH('Dash Feed'!$B$10,Lists!$A$3:$A$7,0),Hip!$W$40,Hamstring!$W$40,Knee!$W$40,'Ankle-Foot'!$W$40,Shoulder!$W$40)),CHOOSE(MATCH('Dash Feed'!$B$10,Lists!$A$3:$A$7,0),Hip!$W$40,Hamstring!$W$40,Knee!$W$40,'Ankle-Foot'!$W$40,Shoulder!$W$40),NA())</f>
        <v>#N/A</v>
      </c>
      <c r="I9" s="105" t="e">
        <f aca="false">IF(ISNUMBER(CHOOSE(MATCH('Dash Feed'!$B$10,Lists!$A$3:$A$7,0),Hip!$Z$40,Hamstring!$Z$40,Knee!$Z$40,'Ankle-Foot'!$Z$40,Shoulder!$Z$40)),CHOOSE(MATCH('Dash Feed'!$B$10,Lists!$A$3:$A$7,0),Hip!$Z$40,Hamstring!$Z$40,Knee!$Z$40,'Ankle-Foot'!$Z$40,Shoulder!$Z$40),NA())</f>
        <v>#N/A</v>
      </c>
    </row>
    <row r="10" customFormat="false" ht="15" hidden="false" customHeight="false" outlineLevel="0" collapsed="false">
      <c r="A10" s="102" t="str">
        <f aca="false">IF(CHOOSE(MATCH('Dash Feed'!$B$10,Lists!$A$3:$A$7,0),Hip!$B$41,Hamstring!$B$41,Knee!$B$41,'Ankle-Foot'!$B$41,Shoulder!$B$41)="","",CHOOSE(MATCH('Dash Feed'!$B$10,Lists!$A$3:$A$7,0),Hip!$B$41,Hamstring!$B$41,Knee!$B$41,'Ankle-Foot'!$B$41,Shoulder!$B$41))</f>
        <v/>
      </c>
      <c r="B10" s="105" t="e">
        <f aca="false">IF(ISNUMBER(CHOOSE(MATCH('Dash Feed'!$B$10,Lists!$A$3:$A$7,0),Hip!$E$41,Hamstring!$E$41,Knee!$E$41,'Ankle-Foot'!$E$41,Shoulder!$E$41)),CHOOSE(MATCH('Dash Feed'!$B$10,Lists!$A$3:$A$7,0),Hip!$E$41,Hamstring!$E$41,Knee!$E$41,'Ankle-Foot'!$E$41,Shoulder!$E$41),NA())</f>
        <v>#N/A</v>
      </c>
      <c r="C10" s="105" t="e">
        <f aca="false">IF(ISNUMBER(CHOOSE(MATCH('Dash Feed'!$B$10,Lists!$A$3:$A$7,0),Hip!$H$41,Hamstring!$H$41,Knee!$H$41,'Ankle-Foot'!$H$41,Shoulder!$H$41)),CHOOSE(MATCH('Dash Feed'!$B$10,Lists!$A$3:$A$7,0),Hip!$H$41,Hamstring!$H$41,Knee!$H$41,'Ankle-Foot'!$H$41,Shoulder!$H$41),NA())</f>
        <v>#N/A</v>
      </c>
      <c r="D10" s="105" t="e">
        <f aca="false">IF(ISNUMBER(CHOOSE(MATCH('Dash Feed'!$B$10,Lists!$A$3:$A$7,0),Hip!$K$41,Hamstring!$K$41,Knee!$K$41,'Ankle-Foot'!$K$41,Shoulder!$K$41)),CHOOSE(MATCH('Dash Feed'!$B$10,Lists!$A$3:$A$7,0),Hip!$K$41,Hamstring!$K$41,Knee!$K$41,'Ankle-Foot'!$K$41,Shoulder!$K$41),NA())</f>
        <v>#N/A</v>
      </c>
      <c r="E10" s="105" t="e">
        <f aca="false">IF(ISNUMBER(CHOOSE(MATCH('Dash Feed'!$B$10,Lists!$A$3:$A$7,0),Hip!$N$41,Hamstring!$N$41,Knee!$N$41,'Ankle-Foot'!$N$41,Shoulder!$N$41)),CHOOSE(MATCH('Dash Feed'!$B$10,Lists!$A$3:$A$7,0),Hip!$N$41,Hamstring!$N$41,Knee!$N$41,'Ankle-Foot'!$N$41,Shoulder!$N$41),NA())</f>
        <v>#N/A</v>
      </c>
      <c r="F10" s="105" t="e">
        <f aca="false">IF(ISNUMBER(CHOOSE(MATCH('Dash Feed'!$B$10,Lists!$A$3:$A$7,0),Hip!$Q$41,Hamstring!$Q$41,Knee!$Q$41,'Ankle-Foot'!$Q$41,Shoulder!$Q$41)),CHOOSE(MATCH('Dash Feed'!$B$10,Lists!$A$3:$A$7,0),Hip!$Q$41,Hamstring!$Q$41,Knee!$Q$41,'Ankle-Foot'!$Q$41,Shoulder!$Q$41),NA())</f>
        <v>#N/A</v>
      </c>
      <c r="G10" s="105" t="e">
        <f aca="false">IF(ISNUMBER(CHOOSE(MATCH('Dash Feed'!$B$10,Lists!$A$3:$A$7,0),Hip!$T$41,Hamstring!$T$41,Knee!$T$41,'Ankle-Foot'!$T$41,Shoulder!$T$41)),CHOOSE(MATCH('Dash Feed'!$B$10,Lists!$A$3:$A$7,0),Hip!$T$41,Hamstring!$T$41,Knee!$T$41,'Ankle-Foot'!$T$41,Shoulder!$T$41),NA())</f>
        <v>#N/A</v>
      </c>
      <c r="H10" s="105" t="e">
        <f aca="false">IF(ISNUMBER(CHOOSE(MATCH('Dash Feed'!$B$10,Lists!$A$3:$A$7,0),Hip!$W$41,Hamstring!$W$41,Knee!$W$41,'Ankle-Foot'!$W$41,Shoulder!$W$41)),CHOOSE(MATCH('Dash Feed'!$B$10,Lists!$A$3:$A$7,0),Hip!$W$41,Hamstring!$W$41,Knee!$W$41,'Ankle-Foot'!$W$41,Shoulder!$W$41),NA())</f>
        <v>#N/A</v>
      </c>
      <c r="I10" s="105" t="e">
        <f aca="false">IF(ISNUMBER(CHOOSE(MATCH('Dash Feed'!$B$10,Lists!$A$3:$A$7,0),Hip!$Z$41,Hamstring!$Z$41,Knee!$Z$41,'Ankle-Foot'!$Z$41,Shoulder!$Z$41)),CHOOSE(MATCH('Dash Feed'!$B$10,Lists!$A$3:$A$7,0),Hip!$Z$41,Hamstring!$Z$41,Knee!$Z$41,'Ankle-Foot'!$Z$41,Shoulder!$Z$41),NA())</f>
        <v>#N/A</v>
      </c>
    </row>
    <row r="11" customFormat="false" ht="15" hidden="false" customHeight="false" outlineLevel="0" collapsed="false">
      <c r="A11" s="102" t="str">
        <f aca="false">IF(CHOOSE(MATCH('Dash Feed'!$B$10,Lists!$A$3:$A$7,0),Hip!$B$42,Hamstring!$B$42,Knee!$B$42,'Ankle-Foot'!$B$42,Shoulder!$B$42)="","",CHOOSE(MATCH('Dash Feed'!$B$10,Lists!$A$3:$A$7,0),Hip!$B$42,Hamstring!$B$42,Knee!$B$42,'Ankle-Foot'!$B$42,Shoulder!$B$42))</f>
        <v/>
      </c>
      <c r="B11" s="105" t="e">
        <f aca="false">IF(ISNUMBER(CHOOSE(MATCH('Dash Feed'!$B$10,Lists!$A$3:$A$7,0),Hip!$E$42,Hamstring!$E$42,Knee!$E$42,'Ankle-Foot'!$E$42,Shoulder!$E$42)),CHOOSE(MATCH('Dash Feed'!$B$10,Lists!$A$3:$A$7,0),Hip!$E$42,Hamstring!$E$42,Knee!$E$42,'Ankle-Foot'!$E$42,Shoulder!$E$42),NA())</f>
        <v>#N/A</v>
      </c>
      <c r="C11" s="105" t="e">
        <f aca="false">IF(ISNUMBER(CHOOSE(MATCH('Dash Feed'!$B$10,Lists!$A$3:$A$7,0),Hip!$H$42,Hamstring!$H$42,Knee!$H$42,'Ankle-Foot'!$H$42,Shoulder!$H$42)),CHOOSE(MATCH('Dash Feed'!$B$10,Lists!$A$3:$A$7,0),Hip!$H$42,Hamstring!$H$42,Knee!$H$42,'Ankle-Foot'!$H$42,Shoulder!$H$42),NA())</f>
        <v>#N/A</v>
      </c>
      <c r="D11" s="105" t="e">
        <f aca="false">IF(ISNUMBER(CHOOSE(MATCH('Dash Feed'!$B$10,Lists!$A$3:$A$7,0),Hip!$K$42,Hamstring!$K$42,Knee!$K$42,'Ankle-Foot'!$K$42,Shoulder!$K$42)),CHOOSE(MATCH('Dash Feed'!$B$10,Lists!$A$3:$A$7,0),Hip!$K$42,Hamstring!$K$42,Knee!$K$42,'Ankle-Foot'!$K$42,Shoulder!$K$42),NA())</f>
        <v>#N/A</v>
      </c>
      <c r="E11" s="105" t="e">
        <f aca="false">IF(ISNUMBER(CHOOSE(MATCH('Dash Feed'!$B$10,Lists!$A$3:$A$7,0),Hip!$N$42,Hamstring!$N$42,Knee!$N$42,'Ankle-Foot'!$N$42,Shoulder!$N$42)),CHOOSE(MATCH('Dash Feed'!$B$10,Lists!$A$3:$A$7,0),Hip!$N$42,Hamstring!$N$42,Knee!$N$42,'Ankle-Foot'!$N$42,Shoulder!$N$42),NA())</f>
        <v>#N/A</v>
      </c>
      <c r="F11" s="105" t="e">
        <f aca="false">IF(ISNUMBER(CHOOSE(MATCH('Dash Feed'!$B$10,Lists!$A$3:$A$7,0),Hip!$Q$42,Hamstring!$Q$42,Knee!$Q$42,'Ankle-Foot'!$Q$42,Shoulder!$Q$42)),CHOOSE(MATCH('Dash Feed'!$B$10,Lists!$A$3:$A$7,0),Hip!$Q$42,Hamstring!$Q$42,Knee!$Q$42,'Ankle-Foot'!$Q$42,Shoulder!$Q$42),NA())</f>
        <v>#N/A</v>
      </c>
      <c r="G11" s="105" t="e">
        <f aca="false">IF(ISNUMBER(CHOOSE(MATCH('Dash Feed'!$B$10,Lists!$A$3:$A$7,0),Hip!$T$42,Hamstring!$T$42,Knee!$T$42,'Ankle-Foot'!$T$42,Shoulder!$T$42)),CHOOSE(MATCH('Dash Feed'!$B$10,Lists!$A$3:$A$7,0),Hip!$T$42,Hamstring!$T$42,Knee!$T$42,'Ankle-Foot'!$T$42,Shoulder!$T$42),NA())</f>
        <v>#N/A</v>
      </c>
      <c r="H11" s="105" t="e">
        <f aca="false">IF(ISNUMBER(CHOOSE(MATCH('Dash Feed'!$B$10,Lists!$A$3:$A$7,0),Hip!$W$42,Hamstring!$W$42,Knee!$W$42,'Ankle-Foot'!$W$42,Shoulder!$W$42)),CHOOSE(MATCH('Dash Feed'!$B$10,Lists!$A$3:$A$7,0),Hip!$W$42,Hamstring!$W$42,Knee!$W$42,'Ankle-Foot'!$W$42,Shoulder!$W$42),NA())</f>
        <v>#N/A</v>
      </c>
      <c r="I11" s="105" t="e">
        <f aca="false">IF(ISNUMBER(CHOOSE(MATCH('Dash Feed'!$B$10,Lists!$A$3:$A$7,0),Hip!$Z$42,Hamstring!$Z$42,Knee!$Z$42,'Ankle-Foot'!$Z$42,Shoulder!$Z$42)),CHOOSE(MATCH('Dash Feed'!$B$10,Lists!$A$3:$A$7,0),Hip!$Z$42,Hamstring!$Z$42,Knee!$Z$42,'Ankle-Foot'!$Z$42,Shoulder!$Z$42),NA())</f>
        <v>#N/A</v>
      </c>
    </row>
    <row r="12" customFormat="false" ht="15" hidden="false" customHeight="false" outlineLevel="0" collapsed="false">
      <c r="A12" s="102" t="str">
        <f aca="false">IF(CHOOSE(MATCH('Dash Feed'!$B$10,Lists!$A$3:$A$7,0),Hip!$B$43,Hamstring!$B$43,Knee!$B$43,'Ankle-Foot'!$B$43,Shoulder!$B$43)="","",CHOOSE(MATCH('Dash Feed'!$B$10,Lists!$A$3:$A$7,0),Hip!$B$43,Hamstring!$B$43,Knee!$B$43,'Ankle-Foot'!$B$43,Shoulder!$B$43))</f>
        <v/>
      </c>
      <c r="B12" s="105" t="e">
        <f aca="false">IF(ISNUMBER(CHOOSE(MATCH('Dash Feed'!$B$10,Lists!$A$3:$A$7,0),Hip!$E$43,Hamstring!$E$43,Knee!$E$43,'Ankle-Foot'!$E$43,Shoulder!$E$43)),CHOOSE(MATCH('Dash Feed'!$B$10,Lists!$A$3:$A$7,0),Hip!$E$43,Hamstring!$E$43,Knee!$E$43,'Ankle-Foot'!$E$43,Shoulder!$E$43),NA())</f>
        <v>#N/A</v>
      </c>
      <c r="C12" s="105" t="e">
        <f aca="false">IF(ISNUMBER(CHOOSE(MATCH('Dash Feed'!$B$10,Lists!$A$3:$A$7,0),Hip!$H$43,Hamstring!$H$43,Knee!$H$43,'Ankle-Foot'!$H$43,Shoulder!$H$43)),CHOOSE(MATCH('Dash Feed'!$B$10,Lists!$A$3:$A$7,0),Hip!$H$43,Hamstring!$H$43,Knee!$H$43,'Ankle-Foot'!$H$43,Shoulder!$H$43),NA())</f>
        <v>#N/A</v>
      </c>
      <c r="D12" s="105" t="e">
        <f aca="false">IF(ISNUMBER(CHOOSE(MATCH('Dash Feed'!$B$10,Lists!$A$3:$A$7,0),Hip!$K$43,Hamstring!$K$43,Knee!$K$43,'Ankle-Foot'!$K$43,Shoulder!$K$43)),CHOOSE(MATCH('Dash Feed'!$B$10,Lists!$A$3:$A$7,0),Hip!$K$43,Hamstring!$K$43,Knee!$K$43,'Ankle-Foot'!$K$43,Shoulder!$K$43),NA())</f>
        <v>#N/A</v>
      </c>
      <c r="E12" s="105" t="e">
        <f aca="false">IF(ISNUMBER(CHOOSE(MATCH('Dash Feed'!$B$10,Lists!$A$3:$A$7,0),Hip!$N$43,Hamstring!$N$43,Knee!$N$43,'Ankle-Foot'!$N$43,Shoulder!$N$43)),CHOOSE(MATCH('Dash Feed'!$B$10,Lists!$A$3:$A$7,0),Hip!$N$43,Hamstring!$N$43,Knee!$N$43,'Ankle-Foot'!$N$43,Shoulder!$N$43),NA())</f>
        <v>#N/A</v>
      </c>
      <c r="F12" s="105" t="e">
        <f aca="false">IF(ISNUMBER(CHOOSE(MATCH('Dash Feed'!$B$10,Lists!$A$3:$A$7,0),Hip!$Q$43,Hamstring!$Q$43,Knee!$Q$43,'Ankle-Foot'!$Q$43,Shoulder!$Q$43)),CHOOSE(MATCH('Dash Feed'!$B$10,Lists!$A$3:$A$7,0),Hip!$Q$43,Hamstring!$Q$43,Knee!$Q$43,'Ankle-Foot'!$Q$43,Shoulder!$Q$43),NA())</f>
        <v>#N/A</v>
      </c>
      <c r="G12" s="105" t="e">
        <f aca="false">IF(ISNUMBER(CHOOSE(MATCH('Dash Feed'!$B$10,Lists!$A$3:$A$7,0),Hip!$T$43,Hamstring!$T$43,Knee!$T$43,'Ankle-Foot'!$T$43,Shoulder!$T$43)),CHOOSE(MATCH('Dash Feed'!$B$10,Lists!$A$3:$A$7,0),Hip!$T$43,Hamstring!$T$43,Knee!$T$43,'Ankle-Foot'!$T$43,Shoulder!$T$43),NA())</f>
        <v>#N/A</v>
      </c>
      <c r="H12" s="105" t="e">
        <f aca="false">IF(ISNUMBER(CHOOSE(MATCH('Dash Feed'!$B$10,Lists!$A$3:$A$7,0),Hip!$W$43,Hamstring!$W$43,Knee!$W$43,'Ankle-Foot'!$W$43,Shoulder!$W$43)),CHOOSE(MATCH('Dash Feed'!$B$10,Lists!$A$3:$A$7,0),Hip!$W$43,Hamstring!$W$43,Knee!$W$43,'Ankle-Foot'!$W$43,Shoulder!$W$43),NA())</f>
        <v>#N/A</v>
      </c>
      <c r="I12" s="105" t="e">
        <f aca="false">IF(ISNUMBER(CHOOSE(MATCH('Dash Feed'!$B$10,Lists!$A$3:$A$7,0),Hip!$Z$43,Hamstring!$Z$43,Knee!$Z$43,'Ankle-Foot'!$Z$43,Shoulder!$Z$43)),CHOOSE(MATCH('Dash Feed'!$B$10,Lists!$A$3:$A$7,0),Hip!$Z$43,Hamstring!$Z$43,Knee!$Z$43,'Ankle-Foot'!$Z$43,Shoulder!$Z$43),NA())</f>
        <v>#N/A</v>
      </c>
    </row>
    <row r="13" customFormat="false" ht="15" hidden="false" customHeight="false" outlineLevel="0" collapsed="false">
      <c r="A13" s="102" t="str">
        <f aca="false">IF(CHOOSE(MATCH('Dash Feed'!$B$10,Lists!$A$3:$A$7,0),Hip!$B$44,Hamstring!$B$44,Knee!$B$44,'Ankle-Foot'!$B$44,Shoulder!$B$44)="","",CHOOSE(MATCH('Dash Feed'!$B$10,Lists!$A$3:$A$7,0),Hip!$B$44,Hamstring!$B$44,Knee!$B$44,'Ankle-Foot'!$B$44,Shoulder!$B$44))</f>
        <v/>
      </c>
      <c r="B13" s="105" t="e">
        <f aca="false">IF(ISNUMBER(CHOOSE(MATCH('Dash Feed'!$B$10,Lists!$A$3:$A$7,0),Hip!$E$44,Hamstring!$E$44,Knee!$E$44,'Ankle-Foot'!$E$44,Shoulder!$E$44)),CHOOSE(MATCH('Dash Feed'!$B$10,Lists!$A$3:$A$7,0),Hip!$E$44,Hamstring!$E$44,Knee!$E$44,'Ankle-Foot'!$E$44,Shoulder!$E$44),NA())</f>
        <v>#N/A</v>
      </c>
      <c r="C13" s="105" t="e">
        <f aca="false">IF(ISNUMBER(CHOOSE(MATCH('Dash Feed'!$B$10,Lists!$A$3:$A$7,0),Hip!$H$44,Hamstring!$H$44,Knee!$H$44,'Ankle-Foot'!$H$44,Shoulder!$H$44)),CHOOSE(MATCH('Dash Feed'!$B$10,Lists!$A$3:$A$7,0),Hip!$H$44,Hamstring!$H$44,Knee!$H$44,'Ankle-Foot'!$H$44,Shoulder!$H$44),NA())</f>
        <v>#N/A</v>
      </c>
      <c r="D13" s="105" t="e">
        <f aca="false">IF(ISNUMBER(CHOOSE(MATCH('Dash Feed'!$B$10,Lists!$A$3:$A$7,0),Hip!$K$44,Hamstring!$K$44,Knee!$K$44,'Ankle-Foot'!$K$44,Shoulder!$K$44)),CHOOSE(MATCH('Dash Feed'!$B$10,Lists!$A$3:$A$7,0),Hip!$K$44,Hamstring!$K$44,Knee!$K$44,'Ankle-Foot'!$K$44,Shoulder!$K$44),NA())</f>
        <v>#N/A</v>
      </c>
      <c r="E13" s="105" t="e">
        <f aca="false">IF(ISNUMBER(CHOOSE(MATCH('Dash Feed'!$B$10,Lists!$A$3:$A$7,0),Hip!$N$44,Hamstring!$N$44,Knee!$N$44,'Ankle-Foot'!$N$44,Shoulder!$N$44)),CHOOSE(MATCH('Dash Feed'!$B$10,Lists!$A$3:$A$7,0),Hip!$N$44,Hamstring!$N$44,Knee!$N$44,'Ankle-Foot'!$N$44,Shoulder!$N$44),NA())</f>
        <v>#N/A</v>
      </c>
      <c r="F13" s="105" t="e">
        <f aca="false">IF(ISNUMBER(CHOOSE(MATCH('Dash Feed'!$B$10,Lists!$A$3:$A$7,0),Hip!$Q$44,Hamstring!$Q$44,Knee!$Q$44,'Ankle-Foot'!$Q$44,Shoulder!$Q$44)),CHOOSE(MATCH('Dash Feed'!$B$10,Lists!$A$3:$A$7,0),Hip!$Q$44,Hamstring!$Q$44,Knee!$Q$44,'Ankle-Foot'!$Q$44,Shoulder!$Q$44),NA())</f>
        <v>#N/A</v>
      </c>
      <c r="G13" s="105" t="e">
        <f aca="false">IF(ISNUMBER(CHOOSE(MATCH('Dash Feed'!$B$10,Lists!$A$3:$A$7,0),Hip!$T$44,Hamstring!$T$44,Knee!$T$44,'Ankle-Foot'!$T$44,Shoulder!$T$44)),CHOOSE(MATCH('Dash Feed'!$B$10,Lists!$A$3:$A$7,0),Hip!$T$44,Hamstring!$T$44,Knee!$T$44,'Ankle-Foot'!$T$44,Shoulder!$T$44),NA())</f>
        <v>#N/A</v>
      </c>
      <c r="H13" s="105" t="e">
        <f aca="false">IF(ISNUMBER(CHOOSE(MATCH('Dash Feed'!$B$10,Lists!$A$3:$A$7,0),Hip!$W$44,Hamstring!$W$44,Knee!$W$44,'Ankle-Foot'!$W$44,Shoulder!$W$44)),CHOOSE(MATCH('Dash Feed'!$B$10,Lists!$A$3:$A$7,0),Hip!$W$44,Hamstring!$W$44,Knee!$W$44,'Ankle-Foot'!$W$44,Shoulder!$W$44),NA())</f>
        <v>#N/A</v>
      </c>
      <c r="I13" s="105" t="e">
        <f aca="false">IF(ISNUMBER(CHOOSE(MATCH('Dash Feed'!$B$10,Lists!$A$3:$A$7,0),Hip!$Z$44,Hamstring!$Z$44,Knee!$Z$44,'Ankle-Foot'!$Z$44,Shoulder!$Z$44)),CHOOSE(MATCH('Dash Feed'!$B$10,Lists!$A$3:$A$7,0),Hip!$Z$44,Hamstring!$Z$44,Knee!$Z$44,'Ankle-Foot'!$Z$44,Shoulder!$Z$44),NA())</f>
        <v>#N/A</v>
      </c>
    </row>
    <row r="14" customFormat="false" ht="15" hidden="false" customHeight="false" outlineLevel="0" collapsed="false">
      <c r="A14" s="102" t="str">
        <f aca="false">IF(CHOOSE(MATCH('Dash Feed'!$B$10,Lists!$A$3:$A$7,0),Hip!$B$45,Hamstring!$B$45,Knee!$B$45,'Ankle-Foot'!$B$45,Shoulder!$B$45)="","",CHOOSE(MATCH('Dash Feed'!$B$10,Lists!$A$3:$A$7,0),Hip!$B$45,Hamstring!$B$45,Knee!$B$45,'Ankle-Foot'!$B$45,Shoulder!$B$45))</f>
        <v/>
      </c>
      <c r="B14" s="105" t="e">
        <f aca="false">IF(ISNUMBER(CHOOSE(MATCH('Dash Feed'!$B$10,Lists!$A$3:$A$7,0),Hip!$E$45,Hamstring!$E$45,Knee!$E$45,'Ankle-Foot'!$E$45,Shoulder!$E$45)),CHOOSE(MATCH('Dash Feed'!$B$10,Lists!$A$3:$A$7,0),Hip!$E$45,Hamstring!$E$45,Knee!$E$45,'Ankle-Foot'!$E$45,Shoulder!$E$45),NA())</f>
        <v>#N/A</v>
      </c>
      <c r="C14" s="105" t="e">
        <f aca="false">IF(ISNUMBER(CHOOSE(MATCH('Dash Feed'!$B$10,Lists!$A$3:$A$7,0),Hip!$H$45,Hamstring!$H$45,Knee!$H$45,'Ankle-Foot'!$H$45,Shoulder!$H$45)),CHOOSE(MATCH('Dash Feed'!$B$10,Lists!$A$3:$A$7,0),Hip!$H$45,Hamstring!$H$45,Knee!$H$45,'Ankle-Foot'!$H$45,Shoulder!$H$45),NA())</f>
        <v>#N/A</v>
      </c>
      <c r="D14" s="105" t="e">
        <f aca="false">IF(ISNUMBER(CHOOSE(MATCH('Dash Feed'!$B$10,Lists!$A$3:$A$7,0),Hip!$K$45,Hamstring!$K$45,Knee!$K$45,'Ankle-Foot'!$K$45,Shoulder!$K$45)),CHOOSE(MATCH('Dash Feed'!$B$10,Lists!$A$3:$A$7,0),Hip!$K$45,Hamstring!$K$45,Knee!$K$45,'Ankle-Foot'!$K$45,Shoulder!$K$45),NA())</f>
        <v>#N/A</v>
      </c>
      <c r="E14" s="105" t="e">
        <f aca="false">IF(ISNUMBER(CHOOSE(MATCH('Dash Feed'!$B$10,Lists!$A$3:$A$7,0),Hip!$N$45,Hamstring!$N$45,Knee!$N$45,'Ankle-Foot'!$N$45,Shoulder!$N$45)),CHOOSE(MATCH('Dash Feed'!$B$10,Lists!$A$3:$A$7,0),Hip!$N$45,Hamstring!$N$45,Knee!$N$45,'Ankle-Foot'!$N$45,Shoulder!$N$45),NA())</f>
        <v>#N/A</v>
      </c>
      <c r="F14" s="105" t="e">
        <f aca="false">IF(ISNUMBER(CHOOSE(MATCH('Dash Feed'!$B$10,Lists!$A$3:$A$7,0),Hip!$Q$45,Hamstring!$Q$45,Knee!$Q$45,'Ankle-Foot'!$Q$45,Shoulder!$Q$45)),CHOOSE(MATCH('Dash Feed'!$B$10,Lists!$A$3:$A$7,0),Hip!$Q$45,Hamstring!$Q$45,Knee!$Q$45,'Ankle-Foot'!$Q$45,Shoulder!$Q$45),NA())</f>
        <v>#N/A</v>
      </c>
      <c r="G14" s="105" t="e">
        <f aca="false">IF(ISNUMBER(CHOOSE(MATCH('Dash Feed'!$B$10,Lists!$A$3:$A$7,0),Hip!$T$45,Hamstring!$T$45,Knee!$T$45,'Ankle-Foot'!$T$45,Shoulder!$T$45)),CHOOSE(MATCH('Dash Feed'!$B$10,Lists!$A$3:$A$7,0),Hip!$T$45,Hamstring!$T$45,Knee!$T$45,'Ankle-Foot'!$T$45,Shoulder!$T$45),NA())</f>
        <v>#N/A</v>
      </c>
      <c r="H14" s="105" t="e">
        <f aca="false">IF(ISNUMBER(CHOOSE(MATCH('Dash Feed'!$B$10,Lists!$A$3:$A$7,0),Hip!$W$45,Hamstring!$W$45,Knee!$W$45,'Ankle-Foot'!$W$45,Shoulder!$W$45)),CHOOSE(MATCH('Dash Feed'!$B$10,Lists!$A$3:$A$7,0),Hip!$W$45,Hamstring!$W$45,Knee!$W$45,'Ankle-Foot'!$W$45,Shoulder!$W$45),NA())</f>
        <v>#N/A</v>
      </c>
      <c r="I14" s="105" t="e">
        <f aca="false">IF(ISNUMBER(CHOOSE(MATCH('Dash Feed'!$B$10,Lists!$A$3:$A$7,0),Hip!$Z$45,Hamstring!$Z$45,Knee!$Z$45,'Ankle-Foot'!$Z$45,Shoulder!$Z$45)),CHOOSE(MATCH('Dash Feed'!$B$10,Lists!$A$3:$A$7,0),Hip!$Z$45,Hamstring!$Z$45,Knee!$Z$45,'Ankle-Foot'!$Z$45,Shoulder!$Z$45),NA())</f>
        <v>#N/A</v>
      </c>
    </row>
    <row r="15" customFormat="false" ht="15" hidden="false" customHeight="false" outlineLevel="0" collapsed="false">
      <c r="A15" s="102" t="str">
        <f aca="false">IF(CHOOSE(MATCH('Dash Feed'!$B$10,Lists!$A$3:$A$7,0),Hip!$B$46,Hamstring!$B$46,Knee!$B$46,'Ankle-Foot'!$B$46,Shoulder!$B$46)="","",CHOOSE(MATCH('Dash Feed'!$B$10,Lists!$A$3:$A$7,0),Hip!$B$46,Hamstring!$B$46,Knee!$B$46,'Ankle-Foot'!$B$46,Shoulder!$B$46))</f>
        <v/>
      </c>
      <c r="B15" s="105" t="e">
        <f aca="false">IF(ISNUMBER(CHOOSE(MATCH('Dash Feed'!$B$10,Lists!$A$3:$A$7,0),Hip!$E$46,Hamstring!$E$46,Knee!$E$46,'Ankle-Foot'!$E$46,Shoulder!$E$46)),CHOOSE(MATCH('Dash Feed'!$B$10,Lists!$A$3:$A$7,0),Hip!$E$46,Hamstring!$E$46,Knee!$E$46,'Ankle-Foot'!$E$46,Shoulder!$E$46),NA())</f>
        <v>#N/A</v>
      </c>
      <c r="C15" s="105" t="e">
        <f aca="false">IF(ISNUMBER(CHOOSE(MATCH('Dash Feed'!$B$10,Lists!$A$3:$A$7,0),Hip!$H$46,Hamstring!$H$46,Knee!$H$46,'Ankle-Foot'!$H$46,Shoulder!$H$46)),CHOOSE(MATCH('Dash Feed'!$B$10,Lists!$A$3:$A$7,0),Hip!$H$46,Hamstring!$H$46,Knee!$H$46,'Ankle-Foot'!$H$46,Shoulder!$H$46),NA())</f>
        <v>#N/A</v>
      </c>
      <c r="D15" s="105" t="e">
        <f aca="false">IF(ISNUMBER(CHOOSE(MATCH('Dash Feed'!$B$10,Lists!$A$3:$A$7,0),Hip!$K$46,Hamstring!$K$46,Knee!$K$46,'Ankle-Foot'!$K$46,Shoulder!$K$46)),CHOOSE(MATCH('Dash Feed'!$B$10,Lists!$A$3:$A$7,0),Hip!$K$46,Hamstring!$K$46,Knee!$K$46,'Ankle-Foot'!$K$46,Shoulder!$K$46),NA())</f>
        <v>#N/A</v>
      </c>
      <c r="E15" s="105" t="e">
        <f aca="false">IF(ISNUMBER(CHOOSE(MATCH('Dash Feed'!$B$10,Lists!$A$3:$A$7,0),Hip!$N$46,Hamstring!$N$46,Knee!$N$46,'Ankle-Foot'!$N$46,Shoulder!$N$46)),CHOOSE(MATCH('Dash Feed'!$B$10,Lists!$A$3:$A$7,0),Hip!$N$46,Hamstring!$N$46,Knee!$N$46,'Ankle-Foot'!$N$46,Shoulder!$N$46),NA())</f>
        <v>#N/A</v>
      </c>
      <c r="F15" s="105" t="e">
        <f aca="false">IF(ISNUMBER(CHOOSE(MATCH('Dash Feed'!$B$10,Lists!$A$3:$A$7,0),Hip!$Q$46,Hamstring!$Q$46,Knee!$Q$46,'Ankle-Foot'!$Q$46,Shoulder!$Q$46)),CHOOSE(MATCH('Dash Feed'!$B$10,Lists!$A$3:$A$7,0),Hip!$Q$46,Hamstring!$Q$46,Knee!$Q$46,'Ankle-Foot'!$Q$46,Shoulder!$Q$46),NA())</f>
        <v>#N/A</v>
      </c>
      <c r="G15" s="105" t="e">
        <f aca="false">IF(ISNUMBER(CHOOSE(MATCH('Dash Feed'!$B$10,Lists!$A$3:$A$7,0),Hip!$T$46,Hamstring!$T$46,Knee!$T$46,'Ankle-Foot'!$T$46,Shoulder!$T$46)),CHOOSE(MATCH('Dash Feed'!$B$10,Lists!$A$3:$A$7,0),Hip!$T$46,Hamstring!$T$46,Knee!$T$46,'Ankle-Foot'!$T$46,Shoulder!$T$46),NA())</f>
        <v>#N/A</v>
      </c>
      <c r="H15" s="105" t="e">
        <f aca="false">IF(ISNUMBER(CHOOSE(MATCH('Dash Feed'!$B$10,Lists!$A$3:$A$7,0),Hip!$W$46,Hamstring!$W$46,Knee!$W$46,'Ankle-Foot'!$W$46,Shoulder!$W$46)),CHOOSE(MATCH('Dash Feed'!$B$10,Lists!$A$3:$A$7,0),Hip!$W$46,Hamstring!$W$46,Knee!$W$46,'Ankle-Foot'!$W$46,Shoulder!$W$46),NA())</f>
        <v>#N/A</v>
      </c>
      <c r="I15" s="105" t="e">
        <f aca="false">IF(ISNUMBER(CHOOSE(MATCH('Dash Feed'!$B$10,Lists!$A$3:$A$7,0),Hip!$Z$46,Hamstring!$Z$46,Knee!$Z$46,'Ankle-Foot'!$Z$46,Shoulder!$Z$46)),CHOOSE(MATCH('Dash Feed'!$B$10,Lists!$A$3:$A$7,0),Hip!$Z$46,Hamstring!$Z$46,Knee!$Z$46,'Ankle-Foot'!$Z$46,Shoulder!$Z$46),NA())</f>
        <v>#N/A</v>
      </c>
    </row>
    <row r="16" customFormat="false" ht="15" hidden="false" customHeight="false" outlineLevel="0" collapsed="false">
      <c r="A16" s="102" t="str">
        <f aca="false">IF(CHOOSE(MATCH('Dash Feed'!$B$10,Lists!$A$3:$A$7,0),Hip!$B$47,Hamstring!$B$47,Knee!$B$47,'Ankle-Foot'!$B$47,Shoulder!$B$47)="","",CHOOSE(MATCH('Dash Feed'!$B$10,Lists!$A$3:$A$7,0),Hip!$B$47,Hamstring!$B$47,Knee!$B$47,'Ankle-Foot'!$B$47,Shoulder!$B$47))</f>
        <v/>
      </c>
      <c r="B16" s="105" t="e">
        <f aca="false">IF(ISNUMBER(CHOOSE(MATCH('Dash Feed'!$B$10,Lists!$A$3:$A$7,0),Hip!$E$47,Hamstring!$E$47,Knee!$E$47,'Ankle-Foot'!$E$47,Shoulder!$E$47)),CHOOSE(MATCH('Dash Feed'!$B$10,Lists!$A$3:$A$7,0),Hip!$E$47,Hamstring!$E$47,Knee!$E$47,'Ankle-Foot'!$E$47,Shoulder!$E$47),NA())</f>
        <v>#N/A</v>
      </c>
      <c r="C16" s="105" t="e">
        <f aca="false">IF(ISNUMBER(CHOOSE(MATCH('Dash Feed'!$B$10,Lists!$A$3:$A$7,0),Hip!$H$47,Hamstring!$H$47,Knee!$H$47,'Ankle-Foot'!$H$47,Shoulder!$H$47)),CHOOSE(MATCH('Dash Feed'!$B$10,Lists!$A$3:$A$7,0),Hip!$H$47,Hamstring!$H$47,Knee!$H$47,'Ankle-Foot'!$H$47,Shoulder!$H$47),NA())</f>
        <v>#N/A</v>
      </c>
      <c r="D16" s="105" t="e">
        <f aca="false">IF(ISNUMBER(CHOOSE(MATCH('Dash Feed'!$B$10,Lists!$A$3:$A$7,0),Hip!$K$47,Hamstring!$K$47,Knee!$K$47,'Ankle-Foot'!$K$47,Shoulder!$K$47)),CHOOSE(MATCH('Dash Feed'!$B$10,Lists!$A$3:$A$7,0),Hip!$K$47,Hamstring!$K$47,Knee!$K$47,'Ankle-Foot'!$K$47,Shoulder!$K$47),NA())</f>
        <v>#N/A</v>
      </c>
      <c r="E16" s="105" t="e">
        <f aca="false">IF(ISNUMBER(CHOOSE(MATCH('Dash Feed'!$B$10,Lists!$A$3:$A$7,0),Hip!$N$47,Hamstring!$N$47,Knee!$N$47,'Ankle-Foot'!$N$47,Shoulder!$N$47)),CHOOSE(MATCH('Dash Feed'!$B$10,Lists!$A$3:$A$7,0),Hip!$N$47,Hamstring!$N$47,Knee!$N$47,'Ankle-Foot'!$N$47,Shoulder!$N$47),NA())</f>
        <v>#N/A</v>
      </c>
      <c r="F16" s="105" t="e">
        <f aca="false">IF(ISNUMBER(CHOOSE(MATCH('Dash Feed'!$B$10,Lists!$A$3:$A$7,0),Hip!$Q$47,Hamstring!$Q$47,Knee!$Q$47,'Ankle-Foot'!$Q$47,Shoulder!$Q$47)),CHOOSE(MATCH('Dash Feed'!$B$10,Lists!$A$3:$A$7,0),Hip!$Q$47,Hamstring!$Q$47,Knee!$Q$47,'Ankle-Foot'!$Q$47,Shoulder!$Q$47),NA())</f>
        <v>#N/A</v>
      </c>
      <c r="G16" s="105" t="e">
        <f aca="false">IF(ISNUMBER(CHOOSE(MATCH('Dash Feed'!$B$10,Lists!$A$3:$A$7,0),Hip!$T$47,Hamstring!$T$47,Knee!$T$47,'Ankle-Foot'!$T$47,Shoulder!$T$47)),CHOOSE(MATCH('Dash Feed'!$B$10,Lists!$A$3:$A$7,0),Hip!$T$47,Hamstring!$T$47,Knee!$T$47,'Ankle-Foot'!$T$47,Shoulder!$T$47),NA())</f>
        <v>#N/A</v>
      </c>
      <c r="H16" s="105" t="e">
        <f aca="false">IF(ISNUMBER(CHOOSE(MATCH('Dash Feed'!$B$10,Lists!$A$3:$A$7,0),Hip!$W$47,Hamstring!$W$47,Knee!$W$47,'Ankle-Foot'!$W$47,Shoulder!$W$47)),CHOOSE(MATCH('Dash Feed'!$B$10,Lists!$A$3:$A$7,0),Hip!$W$47,Hamstring!$W$47,Knee!$W$47,'Ankle-Foot'!$W$47,Shoulder!$W$47),NA())</f>
        <v>#N/A</v>
      </c>
      <c r="I16" s="105" t="e">
        <f aca="false">IF(ISNUMBER(CHOOSE(MATCH('Dash Feed'!$B$10,Lists!$A$3:$A$7,0),Hip!$Z$47,Hamstring!$Z$47,Knee!$Z$47,'Ankle-Foot'!$Z$47,Shoulder!$Z$47)),CHOOSE(MATCH('Dash Feed'!$B$10,Lists!$A$3:$A$7,0),Hip!$Z$47,Hamstring!$Z$47,Knee!$Z$47,'Ankle-Foot'!$Z$47,Shoulder!$Z$47),NA())</f>
        <v>#N/A</v>
      </c>
    </row>
    <row r="18" customFormat="false" ht="19.5" hidden="false" customHeight="true" outlineLevel="0" collapsed="false">
      <c r="A18" s="62" t="s">
        <v>364</v>
      </c>
      <c r="B18" s="62"/>
      <c r="C18" s="62"/>
      <c r="D18" s="62"/>
      <c r="E18" s="62"/>
      <c r="F18" s="62"/>
      <c r="G18" s="62"/>
      <c r="H18" s="62"/>
      <c r="I18" s="62"/>
    </row>
    <row r="19" customFormat="false" ht="22.35" hidden="false" customHeight="false" outlineLevel="0" collapsed="false">
      <c r="A19" s="33" t="s">
        <v>363</v>
      </c>
      <c r="B19" s="33" t="str">
        <f aca="false">IF(OR(LEFT(CHOOSE(MATCH('Dash Feed'!$B$10,Lists!$A$3:$A$7,0),Hip!$C$52,Hamstring!$C$52,Knee!$C$52,'Ankle-Foot'!$C$52,Shoulder!$C$52),1)="(",CHOOSE(MATCH('Dash Feed'!$B$10,Lists!$A$3:$A$7,0),Hip!$C$53,Hamstring!$C$53,Knee!$C$53,'Ankle-Foot'!$C$53,Shoulder!$C$53)="Score")," ",CHOOSE(MATCH('Dash Feed'!$B$10,Lists!$A$3:$A$7,0),Hip!$C$52,Hamstring!$C$52,Knee!$C$52,'Ankle-Foot'!$C$52,Shoulder!$C$52))</f>
        <v>Quadriceps Iso (N)</v>
      </c>
      <c r="C19" s="33" t="str">
        <f aca="false">IF(OR(LEFT(CHOOSE(MATCH('Dash Feed'!$B$10,Lists!$A$3:$A$7,0),Hip!$F$52,Hamstring!$F$52,Knee!$F$52,'Ankle-Foot'!$F$52,Shoulder!$F$52),1)="(",CHOOSE(MATCH('Dash Feed'!$B$10,Lists!$A$3:$A$7,0),Hip!$F$53,Hamstring!$F$53,Knee!$F$53,'Ankle-Foot'!$F$53,Shoulder!$F$53)="Score")," ",CHOOSE(MATCH('Dash Feed'!$B$10,Lists!$A$3:$A$7,0),Hip!$F$52,Hamstring!$F$52,Knee!$F$52,'Ankle-Foot'!$F$52,Shoulder!$F$52))</f>
        <v>Hamstrings Iso / NordBord (N)</v>
      </c>
      <c r="D19" s="33" t="str">
        <f aca="false">IF(OR(LEFT(CHOOSE(MATCH('Dash Feed'!$B$10,Lists!$A$3:$A$7,0),Hip!$I$52,Hamstring!$I$52,Knee!$I$52,'Ankle-Foot'!$I$52,Shoulder!$I$52),1)="(",CHOOSE(MATCH('Dash Feed'!$B$10,Lists!$A$3:$A$7,0),Hip!$I$53,Hamstring!$I$53,Knee!$I$53,'Ankle-Foot'!$I$53,Shoulder!$I$53)="Score")," ",CHOOSE(MATCH('Dash Feed'!$B$10,Lists!$A$3:$A$7,0),Hip!$I$52,Hamstring!$I$52,Knee!$I$52,'Ankle-Foot'!$I$52,Shoulder!$I$52))</f>
        <v>Calf Iso (N)</v>
      </c>
      <c r="E19" s="33" t="str">
        <f aca="false">IF(OR(LEFT(CHOOSE(MATCH('Dash Feed'!$B$10,Lists!$A$3:$A$7,0),Hip!$L$52,Hamstring!$L$52,Knee!$L$52,'Ankle-Foot'!$L$52,Shoulder!$L$52),1)="(",CHOOSE(MATCH('Dash Feed'!$B$10,Lists!$A$3:$A$7,0),Hip!$L$53,Hamstring!$L$53,Knee!$L$53,'Ankle-Foot'!$L$53,Shoulder!$L$53)="Score")," ",CHOOSE(MATCH('Dash Feed'!$B$10,Lists!$A$3:$A$7,0),Hip!$L$52,Hamstring!$L$52,Knee!$L$52,'Ankle-Foot'!$L$52,Shoulder!$L$52))</f>
        <v>Iso Hip Abduction (N)</v>
      </c>
      <c r="F19" s="33" t="str">
        <f aca="false">IF(OR(LEFT(CHOOSE(MATCH('Dash Feed'!$B$10,Lists!$A$3:$A$7,0),Hip!$O$52,Hamstring!$O$52,Knee!$O$52,'Ankle-Foot'!$O$52,Shoulder!$O$52),1)="(",CHOOSE(MATCH('Dash Feed'!$B$10,Lists!$A$3:$A$7,0),Hip!$O$53,Hamstring!$O$53,Knee!$O$53,'Ankle-Foot'!$O$53,Shoulder!$O$53)="Score")," ",CHOOSE(MATCH('Dash Feed'!$B$10,Lists!$A$3:$A$7,0),Hip!$O$52,Hamstring!$O$52,Knee!$O$52,'Ankle-Foot'!$O$52,Shoulder!$O$52))</f>
        <v> </v>
      </c>
      <c r="G19" s="33" t="str">
        <f aca="false">IF(OR(LEFT(CHOOSE(MATCH('Dash Feed'!$B$10,Lists!$A$3:$A$7,0),Hip!$R$52,Hamstring!$R$52,Knee!$R$52,'Ankle-Foot'!$R$52,Shoulder!$R$52),1)="(",CHOOSE(MATCH('Dash Feed'!$B$10,Lists!$A$3:$A$7,0),Hip!$R$53,Hamstring!$R$53,Knee!$R$53,'Ankle-Foot'!$R$53,Shoulder!$R$53)="Score")," ",CHOOSE(MATCH('Dash Feed'!$B$10,Lists!$A$3:$A$7,0),Hip!$R$52,Hamstring!$R$52,Knee!$R$52,'Ankle-Foot'!$R$52,Shoulder!$R$52))</f>
        <v> </v>
      </c>
      <c r="H19" s="33" t="str">
        <f aca="false">IF(OR(LEFT(CHOOSE(MATCH('Dash Feed'!$B$10,Lists!$A$3:$A$7,0),Hip!$U$52,Hamstring!$U$52,Knee!$U$52,'Ankle-Foot'!$U$52,Shoulder!$U$52),1)="(",CHOOSE(MATCH('Dash Feed'!$B$10,Lists!$A$3:$A$7,0),Hip!$U$53,Hamstring!$U$53,Knee!$U$53,'Ankle-Foot'!$U$53,Shoulder!$U$53)="Score")," ",CHOOSE(MATCH('Dash Feed'!$B$10,Lists!$A$3:$A$7,0),Hip!$U$52,Hamstring!$U$52,Knee!$U$52,'Ankle-Foot'!$U$52,Shoulder!$U$52))</f>
        <v> </v>
      </c>
      <c r="I19" s="33" t="str">
        <f aca="false">IF(OR(LEFT(CHOOSE(MATCH('Dash Feed'!$B$10,Lists!$A$3:$A$7,0),Hip!$X$52,Hamstring!$X$52,Knee!$X$52,'Ankle-Foot'!$X$52,Shoulder!$X$52),1)="(",CHOOSE(MATCH('Dash Feed'!$B$10,Lists!$A$3:$A$7,0),Hip!$X$53,Hamstring!$X$53,Knee!$X$53,'Ankle-Foot'!$X$53,Shoulder!$X$53)="Score")," ",CHOOSE(MATCH('Dash Feed'!$B$10,Lists!$A$3:$A$7,0),Hip!$X$52,Hamstring!$X$52,Knee!$X$52,'Ankle-Foot'!$X$52,Shoulder!$X$52))</f>
        <v> </v>
      </c>
    </row>
    <row r="20" customFormat="false" ht="15" hidden="false" customHeight="false" outlineLevel="0" collapsed="false">
      <c r="A20" s="102" t="n">
        <f aca="false">IF(CHOOSE(MATCH('Dash Feed'!$B$10,Lists!$A$3:$A$7,0),Hip!$B$54,Hamstring!$B$54,Knee!$B$54,'Ankle-Foot'!$B$54,Shoulder!$B$54)="","",CHOOSE(MATCH('Dash Feed'!$B$10,Lists!$A$3:$A$7,0),Hip!$B$54,Hamstring!$B$54,Knee!$B$54,'Ankle-Foot'!$B$54,Shoulder!$B$54))</f>
        <v>5</v>
      </c>
      <c r="B20" s="105" t="n">
        <f aca="false">IF(ISNUMBER(CHOOSE(MATCH('Dash Feed'!$B$10,Lists!$A$3:$A$7,0),Hip!$E$54,Hamstring!$E$54,Knee!$E$54,'Ankle-Foot'!$E$54,Shoulder!$E$54)),CHOOSE(MATCH('Dash Feed'!$B$10,Lists!$A$3:$A$7,0),Hip!$E$54,Hamstring!$E$54,Knee!$E$54,'Ankle-Foot'!$E$54,Shoulder!$E$54),NA())</f>
        <v>0.65</v>
      </c>
      <c r="C20" s="105" t="n">
        <f aca="false">IF(ISNUMBER(CHOOSE(MATCH('Dash Feed'!$B$10,Lists!$A$3:$A$7,0),Hip!$H$54,Hamstring!$H$54,Knee!$H$54,'Ankle-Foot'!$H$54,Shoulder!$H$54)),CHOOSE(MATCH('Dash Feed'!$B$10,Lists!$A$3:$A$7,0),Hip!$H$54,Hamstring!$H$54,Knee!$H$54,'Ankle-Foot'!$H$54,Shoulder!$H$54),NA())</f>
        <v>0.85</v>
      </c>
      <c r="D20" s="105" t="n">
        <f aca="false">IF(ISNUMBER(CHOOSE(MATCH('Dash Feed'!$B$10,Lists!$A$3:$A$7,0),Hip!$K$54,Hamstring!$K$54,Knee!$K$54,'Ankle-Foot'!$K$54,Shoulder!$K$54)),CHOOSE(MATCH('Dash Feed'!$B$10,Lists!$A$3:$A$7,0),Hip!$K$54,Hamstring!$K$54,Knee!$K$54,'Ankle-Foot'!$K$54,Shoulder!$K$54),NA())</f>
        <v>0.806666666666667</v>
      </c>
      <c r="E20" s="105" t="n">
        <f aca="false">IF(ISNUMBER(CHOOSE(MATCH('Dash Feed'!$B$10,Lists!$A$3:$A$7,0),Hip!$N$54,Hamstring!$N$54,Knee!$N$54,'Ankle-Foot'!$N$54,Shoulder!$N$54)),CHOOSE(MATCH('Dash Feed'!$B$10,Lists!$A$3:$A$7,0),Hip!$N$54,Hamstring!$N$54,Knee!$N$54,'Ankle-Foot'!$N$54,Shoulder!$N$54),NA())</f>
        <v>0.928571428571429</v>
      </c>
      <c r="F20" s="105" t="e">
        <f aca="false">IF(ISNUMBER(CHOOSE(MATCH('Dash Feed'!$B$10,Lists!$A$3:$A$7,0),Hip!$Q$54,Hamstring!$Q$54,Knee!$Q$54,'Ankle-Foot'!$Q$54,Shoulder!$Q$54)),CHOOSE(MATCH('Dash Feed'!$B$10,Lists!$A$3:$A$7,0),Hip!$Q$54,Hamstring!$Q$54,Knee!$Q$54,'Ankle-Foot'!$Q$54,Shoulder!$Q$54),NA())</f>
        <v>#N/A</v>
      </c>
      <c r="G20" s="105" t="e">
        <f aca="false">IF(ISNUMBER(CHOOSE(MATCH('Dash Feed'!$B$10,Lists!$A$3:$A$7,0),Hip!$T$54,Hamstring!$T$54,Knee!$T$54,'Ankle-Foot'!$T$54,Shoulder!$T$54)),CHOOSE(MATCH('Dash Feed'!$B$10,Lists!$A$3:$A$7,0),Hip!$T$54,Hamstring!$T$54,Knee!$T$54,'Ankle-Foot'!$T$54,Shoulder!$T$54),NA())</f>
        <v>#N/A</v>
      </c>
      <c r="H20" s="105" t="e">
        <f aca="false">IF(ISNUMBER(CHOOSE(MATCH('Dash Feed'!$B$10,Lists!$A$3:$A$7,0),Hip!$W$54,Hamstring!$W$54,Knee!$W$54,'Ankle-Foot'!$W$54,Shoulder!$W$54)),CHOOSE(MATCH('Dash Feed'!$B$10,Lists!$A$3:$A$7,0),Hip!$W$54,Hamstring!$W$54,Knee!$W$54,'Ankle-Foot'!$W$54,Shoulder!$W$54),NA())</f>
        <v>#N/A</v>
      </c>
      <c r="I20" s="105" t="e">
        <f aca="false">IF(ISNUMBER(CHOOSE(MATCH('Dash Feed'!$B$10,Lists!$A$3:$A$7,0),Hip!$Z$54,Hamstring!$Z$54,Knee!$Z$54,'Ankle-Foot'!$Z$54,Shoulder!$Z$54)),CHOOSE(MATCH('Dash Feed'!$B$10,Lists!$A$3:$A$7,0),Hip!$Z$54,Hamstring!$Z$54,Knee!$Z$54,'Ankle-Foot'!$Z$54,Shoulder!$Z$54),NA())</f>
        <v>#N/A</v>
      </c>
    </row>
    <row r="21" customFormat="false" ht="15" hidden="false" customHeight="false" outlineLevel="0" collapsed="false">
      <c r="A21" s="102" t="n">
        <f aca="false">IF(CHOOSE(MATCH('Dash Feed'!$B$10,Lists!$A$3:$A$7,0),Hip!$B$55,Hamstring!$B$55,Knee!$B$55,'Ankle-Foot'!$B$55,Shoulder!$B$55)="","",CHOOSE(MATCH('Dash Feed'!$B$10,Lists!$A$3:$A$7,0),Hip!$B$55,Hamstring!$B$55,Knee!$B$55,'Ankle-Foot'!$B$55,Shoulder!$B$55))</f>
        <v>10</v>
      </c>
      <c r="B21" s="105" t="n">
        <f aca="false">IF(ISNUMBER(CHOOSE(MATCH('Dash Feed'!$B$10,Lists!$A$3:$A$7,0),Hip!$E$55,Hamstring!$E$55,Knee!$E$55,'Ankle-Foot'!$E$55,Shoulder!$E$55)),CHOOSE(MATCH('Dash Feed'!$B$10,Lists!$A$3:$A$7,0),Hip!$E$55,Hamstring!$E$55,Knee!$E$55,'Ankle-Foot'!$E$55,Shoulder!$E$55),NA())</f>
        <v>0.806122448979592</v>
      </c>
      <c r="C21" s="105" t="n">
        <f aca="false">IF(ISNUMBER(CHOOSE(MATCH('Dash Feed'!$B$10,Lists!$A$3:$A$7,0),Hip!$H$55,Hamstring!$H$55,Knee!$H$55,'Ankle-Foot'!$H$55,Shoulder!$H$55)),CHOOSE(MATCH('Dash Feed'!$B$10,Lists!$A$3:$A$7,0),Hip!$H$55,Hamstring!$H$55,Knee!$H$55,'Ankle-Foot'!$H$55,Shoulder!$H$55),NA())</f>
        <v>0.921311475409836</v>
      </c>
      <c r="D21" s="105" t="n">
        <f aca="false">IF(ISNUMBER(CHOOSE(MATCH('Dash Feed'!$B$10,Lists!$A$3:$A$7,0),Hip!$K$55,Hamstring!$K$55,Knee!$K$55,'Ankle-Foot'!$K$55,Shoulder!$K$55)),CHOOSE(MATCH('Dash Feed'!$B$10,Lists!$A$3:$A$7,0),Hip!$K$55,Hamstring!$K$55,Knee!$K$55,'Ankle-Foot'!$K$55,Shoulder!$K$55),NA())</f>
        <v>0.907894736842105</v>
      </c>
      <c r="E21" s="105" t="n">
        <f aca="false">IF(ISNUMBER(CHOOSE(MATCH('Dash Feed'!$B$10,Lists!$A$3:$A$7,0),Hip!$N$55,Hamstring!$N$55,Knee!$N$55,'Ankle-Foot'!$N$55,Shoulder!$N$55)),CHOOSE(MATCH('Dash Feed'!$B$10,Lists!$A$3:$A$7,0),Hip!$N$55,Hamstring!$N$55,Knee!$N$55,'Ankle-Foot'!$N$55,Shoulder!$N$55),NA())</f>
        <v>0.954385964912281</v>
      </c>
      <c r="F21" s="105" t="e">
        <f aca="false">IF(ISNUMBER(CHOOSE(MATCH('Dash Feed'!$B$10,Lists!$A$3:$A$7,0),Hip!$Q$55,Hamstring!$Q$55,Knee!$Q$55,'Ankle-Foot'!$Q$55,Shoulder!$Q$55)),CHOOSE(MATCH('Dash Feed'!$B$10,Lists!$A$3:$A$7,0),Hip!$Q$55,Hamstring!$Q$55,Knee!$Q$55,'Ankle-Foot'!$Q$55,Shoulder!$Q$55),NA())</f>
        <v>#N/A</v>
      </c>
      <c r="G21" s="105" t="e">
        <f aca="false">IF(ISNUMBER(CHOOSE(MATCH('Dash Feed'!$B$10,Lists!$A$3:$A$7,0),Hip!$T$55,Hamstring!$T$55,Knee!$T$55,'Ankle-Foot'!$T$55,Shoulder!$T$55)),CHOOSE(MATCH('Dash Feed'!$B$10,Lists!$A$3:$A$7,0),Hip!$T$55,Hamstring!$T$55,Knee!$T$55,'Ankle-Foot'!$T$55,Shoulder!$T$55),NA())</f>
        <v>#N/A</v>
      </c>
      <c r="H21" s="105" t="e">
        <f aca="false">IF(ISNUMBER(CHOOSE(MATCH('Dash Feed'!$B$10,Lists!$A$3:$A$7,0),Hip!$W$55,Hamstring!$W$55,Knee!$W$55,'Ankle-Foot'!$W$55,Shoulder!$W$55)),CHOOSE(MATCH('Dash Feed'!$B$10,Lists!$A$3:$A$7,0),Hip!$W$55,Hamstring!$W$55,Knee!$W$55,'Ankle-Foot'!$W$55,Shoulder!$W$55),NA())</f>
        <v>#N/A</v>
      </c>
      <c r="I21" s="105" t="e">
        <f aca="false">IF(ISNUMBER(CHOOSE(MATCH('Dash Feed'!$B$10,Lists!$A$3:$A$7,0),Hip!$Z$55,Hamstring!$Z$55,Knee!$Z$55,'Ankle-Foot'!$Z$55,Shoulder!$Z$55)),CHOOSE(MATCH('Dash Feed'!$B$10,Lists!$A$3:$A$7,0),Hip!$Z$55,Hamstring!$Z$55,Knee!$Z$55,'Ankle-Foot'!$Z$55,Shoulder!$Z$55),NA())</f>
        <v>#N/A</v>
      </c>
    </row>
    <row r="22" customFormat="false" ht="15" hidden="false" customHeight="false" outlineLevel="0" collapsed="false">
      <c r="A22" s="102" t="str">
        <f aca="false">IF(CHOOSE(MATCH('Dash Feed'!$B$10,Lists!$A$3:$A$7,0),Hip!$B$56,Hamstring!$B$56,Knee!$B$56,'Ankle-Foot'!$B$56,Shoulder!$B$56)="","",CHOOSE(MATCH('Dash Feed'!$B$10,Lists!$A$3:$A$7,0),Hip!$B$56,Hamstring!$B$56,Knee!$B$56,'Ankle-Foot'!$B$56,Shoulder!$B$56))</f>
        <v/>
      </c>
      <c r="B22" s="105" t="e">
        <f aca="false">IF(ISNUMBER(CHOOSE(MATCH('Dash Feed'!$B$10,Lists!$A$3:$A$7,0),Hip!$E$56,Hamstring!$E$56,Knee!$E$56,'Ankle-Foot'!$E$56,Shoulder!$E$56)),CHOOSE(MATCH('Dash Feed'!$B$10,Lists!$A$3:$A$7,0),Hip!$E$56,Hamstring!$E$56,Knee!$E$56,'Ankle-Foot'!$E$56,Shoulder!$E$56),NA())</f>
        <v>#N/A</v>
      </c>
      <c r="C22" s="105" t="e">
        <f aca="false">IF(ISNUMBER(CHOOSE(MATCH('Dash Feed'!$B$10,Lists!$A$3:$A$7,0),Hip!$H$56,Hamstring!$H$56,Knee!$H$56,'Ankle-Foot'!$H$56,Shoulder!$H$56)),CHOOSE(MATCH('Dash Feed'!$B$10,Lists!$A$3:$A$7,0),Hip!$H$56,Hamstring!$H$56,Knee!$H$56,'Ankle-Foot'!$H$56,Shoulder!$H$56),NA())</f>
        <v>#N/A</v>
      </c>
      <c r="D22" s="105" t="e">
        <f aca="false">IF(ISNUMBER(CHOOSE(MATCH('Dash Feed'!$B$10,Lists!$A$3:$A$7,0),Hip!$K$56,Hamstring!$K$56,Knee!$K$56,'Ankle-Foot'!$K$56,Shoulder!$K$56)),CHOOSE(MATCH('Dash Feed'!$B$10,Lists!$A$3:$A$7,0),Hip!$K$56,Hamstring!$K$56,Knee!$K$56,'Ankle-Foot'!$K$56,Shoulder!$K$56),NA())</f>
        <v>#N/A</v>
      </c>
      <c r="E22" s="105" t="e">
        <f aca="false">IF(ISNUMBER(CHOOSE(MATCH('Dash Feed'!$B$10,Lists!$A$3:$A$7,0),Hip!$N$56,Hamstring!$N$56,Knee!$N$56,'Ankle-Foot'!$N$56,Shoulder!$N$56)),CHOOSE(MATCH('Dash Feed'!$B$10,Lists!$A$3:$A$7,0),Hip!$N$56,Hamstring!$N$56,Knee!$N$56,'Ankle-Foot'!$N$56,Shoulder!$N$56),NA())</f>
        <v>#N/A</v>
      </c>
      <c r="F22" s="105" t="e">
        <f aca="false">IF(ISNUMBER(CHOOSE(MATCH('Dash Feed'!$B$10,Lists!$A$3:$A$7,0),Hip!$Q$56,Hamstring!$Q$56,Knee!$Q$56,'Ankle-Foot'!$Q$56,Shoulder!$Q$56)),CHOOSE(MATCH('Dash Feed'!$B$10,Lists!$A$3:$A$7,0),Hip!$Q$56,Hamstring!$Q$56,Knee!$Q$56,'Ankle-Foot'!$Q$56,Shoulder!$Q$56),NA())</f>
        <v>#N/A</v>
      </c>
      <c r="G22" s="105" t="e">
        <f aca="false">IF(ISNUMBER(CHOOSE(MATCH('Dash Feed'!$B$10,Lists!$A$3:$A$7,0),Hip!$T$56,Hamstring!$T$56,Knee!$T$56,'Ankle-Foot'!$T$56,Shoulder!$T$56)),CHOOSE(MATCH('Dash Feed'!$B$10,Lists!$A$3:$A$7,0),Hip!$T$56,Hamstring!$T$56,Knee!$T$56,'Ankle-Foot'!$T$56,Shoulder!$T$56),NA())</f>
        <v>#N/A</v>
      </c>
      <c r="H22" s="105" t="e">
        <f aca="false">IF(ISNUMBER(CHOOSE(MATCH('Dash Feed'!$B$10,Lists!$A$3:$A$7,0),Hip!$W$56,Hamstring!$W$56,Knee!$W$56,'Ankle-Foot'!$W$56,Shoulder!$W$56)),CHOOSE(MATCH('Dash Feed'!$B$10,Lists!$A$3:$A$7,0),Hip!$W$56,Hamstring!$W$56,Knee!$W$56,'Ankle-Foot'!$W$56,Shoulder!$W$56),NA())</f>
        <v>#N/A</v>
      </c>
      <c r="I22" s="105" t="e">
        <f aca="false">IF(ISNUMBER(CHOOSE(MATCH('Dash Feed'!$B$10,Lists!$A$3:$A$7,0),Hip!$Z$56,Hamstring!$Z$56,Knee!$Z$56,'Ankle-Foot'!$Z$56,Shoulder!$Z$56)),CHOOSE(MATCH('Dash Feed'!$B$10,Lists!$A$3:$A$7,0),Hip!$Z$56,Hamstring!$Z$56,Knee!$Z$56,'Ankle-Foot'!$Z$56,Shoulder!$Z$56),NA())</f>
        <v>#N/A</v>
      </c>
    </row>
    <row r="23" customFormat="false" ht="15" hidden="false" customHeight="false" outlineLevel="0" collapsed="false">
      <c r="A23" s="102" t="str">
        <f aca="false">IF(CHOOSE(MATCH('Dash Feed'!$B$10,Lists!$A$3:$A$7,0),Hip!$B$57,Hamstring!$B$57,Knee!$B$57,'Ankle-Foot'!$B$57,Shoulder!$B$57)="","",CHOOSE(MATCH('Dash Feed'!$B$10,Lists!$A$3:$A$7,0),Hip!$B$57,Hamstring!$B$57,Knee!$B$57,'Ankle-Foot'!$B$57,Shoulder!$B$57))</f>
        <v/>
      </c>
      <c r="B23" s="105" t="e">
        <f aca="false">IF(ISNUMBER(CHOOSE(MATCH('Dash Feed'!$B$10,Lists!$A$3:$A$7,0),Hip!$E$57,Hamstring!$E$57,Knee!$E$57,'Ankle-Foot'!$E$57,Shoulder!$E$57)),CHOOSE(MATCH('Dash Feed'!$B$10,Lists!$A$3:$A$7,0),Hip!$E$57,Hamstring!$E$57,Knee!$E$57,'Ankle-Foot'!$E$57,Shoulder!$E$57),NA())</f>
        <v>#N/A</v>
      </c>
      <c r="C23" s="105" t="e">
        <f aca="false">IF(ISNUMBER(CHOOSE(MATCH('Dash Feed'!$B$10,Lists!$A$3:$A$7,0),Hip!$H$57,Hamstring!$H$57,Knee!$H$57,'Ankle-Foot'!$H$57,Shoulder!$H$57)),CHOOSE(MATCH('Dash Feed'!$B$10,Lists!$A$3:$A$7,0),Hip!$H$57,Hamstring!$H$57,Knee!$H$57,'Ankle-Foot'!$H$57,Shoulder!$H$57),NA())</f>
        <v>#N/A</v>
      </c>
      <c r="D23" s="105" t="e">
        <f aca="false">IF(ISNUMBER(CHOOSE(MATCH('Dash Feed'!$B$10,Lists!$A$3:$A$7,0),Hip!$K$57,Hamstring!$K$57,Knee!$K$57,'Ankle-Foot'!$K$57,Shoulder!$K$57)),CHOOSE(MATCH('Dash Feed'!$B$10,Lists!$A$3:$A$7,0),Hip!$K$57,Hamstring!$K$57,Knee!$K$57,'Ankle-Foot'!$K$57,Shoulder!$K$57),NA())</f>
        <v>#N/A</v>
      </c>
      <c r="E23" s="105" t="e">
        <f aca="false">IF(ISNUMBER(CHOOSE(MATCH('Dash Feed'!$B$10,Lists!$A$3:$A$7,0),Hip!$N$57,Hamstring!$N$57,Knee!$N$57,'Ankle-Foot'!$N$57,Shoulder!$N$57)),CHOOSE(MATCH('Dash Feed'!$B$10,Lists!$A$3:$A$7,0),Hip!$N$57,Hamstring!$N$57,Knee!$N$57,'Ankle-Foot'!$N$57,Shoulder!$N$57),NA())</f>
        <v>#N/A</v>
      </c>
      <c r="F23" s="105" t="e">
        <f aca="false">IF(ISNUMBER(CHOOSE(MATCH('Dash Feed'!$B$10,Lists!$A$3:$A$7,0),Hip!$Q$57,Hamstring!$Q$57,Knee!$Q$57,'Ankle-Foot'!$Q$57,Shoulder!$Q$57)),CHOOSE(MATCH('Dash Feed'!$B$10,Lists!$A$3:$A$7,0),Hip!$Q$57,Hamstring!$Q$57,Knee!$Q$57,'Ankle-Foot'!$Q$57,Shoulder!$Q$57),NA())</f>
        <v>#N/A</v>
      </c>
      <c r="G23" s="105" t="e">
        <f aca="false">IF(ISNUMBER(CHOOSE(MATCH('Dash Feed'!$B$10,Lists!$A$3:$A$7,0),Hip!$T$57,Hamstring!$T$57,Knee!$T$57,'Ankle-Foot'!$T$57,Shoulder!$T$57)),CHOOSE(MATCH('Dash Feed'!$B$10,Lists!$A$3:$A$7,0),Hip!$T$57,Hamstring!$T$57,Knee!$T$57,'Ankle-Foot'!$T$57,Shoulder!$T$57),NA())</f>
        <v>#N/A</v>
      </c>
      <c r="H23" s="105" t="e">
        <f aca="false">IF(ISNUMBER(CHOOSE(MATCH('Dash Feed'!$B$10,Lists!$A$3:$A$7,0),Hip!$W$57,Hamstring!$W$57,Knee!$W$57,'Ankle-Foot'!$W$57,Shoulder!$W$57)),CHOOSE(MATCH('Dash Feed'!$B$10,Lists!$A$3:$A$7,0),Hip!$W$57,Hamstring!$W$57,Knee!$W$57,'Ankle-Foot'!$W$57,Shoulder!$W$57),NA())</f>
        <v>#N/A</v>
      </c>
      <c r="I23" s="105" t="e">
        <f aca="false">IF(ISNUMBER(CHOOSE(MATCH('Dash Feed'!$B$10,Lists!$A$3:$A$7,0),Hip!$Z$57,Hamstring!$Z$57,Knee!$Z$57,'Ankle-Foot'!$Z$57,Shoulder!$Z$57)),CHOOSE(MATCH('Dash Feed'!$B$10,Lists!$A$3:$A$7,0),Hip!$Z$57,Hamstring!$Z$57,Knee!$Z$57,'Ankle-Foot'!$Z$57,Shoulder!$Z$57),NA())</f>
        <v>#N/A</v>
      </c>
    </row>
    <row r="24" customFormat="false" ht="15" hidden="false" customHeight="false" outlineLevel="0" collapsed="false">
      <c r="A24" s="102" t="str">
        <f aca="false">IF(CHOOSE(MATCH('Dash Feed'!$B$10,Lists!$A$3:$A$7,0),Hip!$B$58,Hamstring!$B$58,Knee!$B$58,'Ankle-Foot'!$B$58,Shoulder!$B$58)="","",CHOOSE(MATCH('Dash Feed'!$B$10,Lists!$A$3:$A$7,0),Hip!$B$58,Hamstring!$B$58,Knee!$B$58,'Ankle-Foot'!$B$58,Shoulder!$B$58))</f>
        <v/>
      </c>
      <c r="B24" s="105" t="e">
        <f aca="false">IF(ISNUMBER(CHOOSE(MATCH('Dash Feed'!$B$10,Lists!$A$3:$A$7,0),Hip!$E$58,Hamstring!$E$58,Knee!$E$58,'Ankle-Foot'!$E$58,Shoulder!$E$58)),CHOOSE(MATCH('Dash Feed'!$B$10,Lists!$A$3:$A$7,0),Hip!$E$58,Hamstring!$E$58,Knee!$E$58,'Ankle-Foot'!$E$58,Shoulder!$E$58),NA())</f>
        <v>#N/A</v>
      </c>
      <c r="C24" s="105" t="e">
        <f aca="false">IF(ISNUMBER(CHOOSE(MATCH('Dash Feed'!$B$10,Lists!$A$3:$A$7,0),Hip!$H$58,Hamstring!$H$58,Knee!$H$58,'Ankle-Foot'!$H$58,Shoulder!$H$58)),CHOOSE(MATCH('Dash Feed'!$B$10,Lists!$A$3:$A$7,0),Hip!$H$58,Hamstring!$H$58,Knee!$H$58,'Ankle-Foot'!$H$58,Shoulder!$H$58),NA())</f>
        <v>#N/A</v>
      </c>
      <c r="D24" s="105" t="e">
        <f aca="false">IF(ISNUMBER(CHOOSE(MATCH('Dash Feed'!$B$10,Lists!$A$3:$A$7,0),Hip!$K$58,Hamstring!$K$58,Knee!$K$58,'Ankle-Foot'!$K$58,Shoulder!$K$58)),CHOOSE(MATCH('Dash Feed'!$B$10,Lists!$A$3:$A$7,0),Hip!$K$58,Hamstring!$K$58,Knee!$K$58,'Ankle-Foot'!$K$58,Shoulder!$K$58),NA())</f>
        <v>#N/A</v>
      </c>
      <c r="E24" s="105" t="e">
        <f aca="false">IF(ISNUMBER(CHOOSE(MATCH('Dash Feed'!$B$10,Lists!$A$3:$A$7,0),Hip!$N$58,Hamstring!$N$58,Knee!$N$58,'Ankle-Foot'!$N$58,Shoulder!$N$58)),CHOOSE(MATCH('Dash Feed'!$B$10,Lists!$A$3:$A$7,0),Hip!$N$58,Hamstring!$N$58,Knee!$N$58,'Ankle-Foot'!$N$58,Shoulder!$N$58),NA())</f>
        <v>#N/A</v>
      </c>
      <c r="F24" s="105" t="e">
        <f aca="false">IF(ISNUMBER(CHOOSE(MATCH('Dash Feed'!$B$10,Lists!$A$3:$A$7,0),Hip!$Q$58,Hamstring!$Q$58,Knee!$Q$58,'Ankle-Foot'!$Q$58,Shoulder!$Q$58)),CHOOSE(MATCH('Dash Feed'!$B$10,Lists!$A$3:$A$7,0),Hip!$Q$58,Hamstring!$Q$58,Knee!$Q$58,'Ankle-Foot'!$Q$58,Shoulder!$Q$58),NA())</f>
        <v>#N/A</v>
      </c>
      <c r="G24" s="105" t="e">
        <f aca="false">IF(ISNUMBER(CHOOSE(MATCH('Dash Feed'!$B$10,Lists!$A$3:$A$7,0),Hip!$T$58,Hamstring!$T$58,Knee!$T$58,'Ankle-Foot'!$T$58,Shoulder!$T$58)),CHOOSE(MATCH('Dash Feed'!$B$10,Lists!$A$3:$A$7,0),Hip!$T$58,Hamstring!$T$58,Knee!$T$58,'Ankle-Foot'!$T$58,Shoulder!$T$58),NA())</f>
        <v>#N/A</v>
      </c>
      <c r="H24" s="105" t="e">
        <f aca="false">IF(ISNUMBER(CHOOSE(MATCH('Dash Feed'!$B$10,Lists!$A$3:$A$7,0),Hip!$W$58,Hamstring!$W$58,Knee!$W$58,'Ankle-Foot'!$W$58,Shoulder!$W$58)),CHOOSE(MATCH('Dash Feed'!$B$10,Lists!$A$3:$A$7,0),Hip!$W$58,Hamstring!$W$58,Knee!$W$58,'Ankle-Foot'!$W$58,Shoulder!$W$58),NA())</f>
        <v>#N/A</v>
      </c>
      <c r="I24" s="105" t="e">
        <f aca="false">IF(ISNUMBER(CHOOSE(MATCH('Dash Feed'!$B$10,Lists!$A$3:$A$7,0),Hip!$Z$58,Hamstring!$Z$58,Knee!$Z$58,'Ankle-Foot'!$Z$58,Shoulder!$Z$58)),CHOOSE(MATCH('Dash Feed'!$B$10,Lists!$A$3:$A$7,0),Hip!$Z$58,Hamstring!$Z$58,Knee!$Z$58,'Ankle-Foot'!$Z$58,Shoulder!$Z$58),NA())</f>
        <v>#N/A</v>
      </c>
    </row>
    <row r="25" customFormat="false" ht="15" hidden="false" customHeight="false" outlineLevel="0" collapsed="false">
      <c r="A25" s="102" t="str">
        <f aca="false">IF(CHOOSE(MATCH('Dash Feed'!$B$10,Lists!$A$3:$A$7,0),Hip!$B$59,Hamstring!$B$59,Knee!$B$59,'Ankle-Foot'!$B$59,Shoulder!$B$59)="","",CHOOSE(MATCH('Dash Feed'!$B$10,Lists!$A$3:$A$7,0),Hip!$B$59,Hamstring!$B$59,Knee!$B$59,'Ankle-Foot'!$B$59,Shoulder!$B$59))</f>
        <v/>
      </c>
      <c r="B25" s="105" t="e">
        <f aca="false">IF(ISNUMBER(CHOOSE(MATCH('Dash Feed'!$B$10,Lists!$A$3:$A$7,0),Hip!$E$59,Hamstring!$E$59,Knee!$E$59,'Ankle-Foot'!$E$59,Shoulder!$E$59)),CHOOSE(MATCH('Dash Feed'!$B$10,Lists!$A$3:$A$7,0),Hip!$E$59,Hamstring!$E$59,Knee!$E$59,'Ankle-Foot'!$E$59,Shoulder!$E$59),NA())</f>
        <v>#N/A</v>
      </c>
      <c r="C25" s="105" t="e">
        <f aca="false">IF(ISNUMBER(CHOOSE(MATCH('Dash Feed'!$B$10,Lists!$A$3:$A$7,0),Hip!$H$59,Hamstring!$H$59,Knee!$H$59,'Ankle-Foot'!$H$59,Shoulder!$H$59)),CHOOSE(MATCH('Dash Feed'!$B$10,Lists!$A$3:$A$7,0),Hip!$H$59,Hamstring!$H$59,Knee!$H$59,'Ankle-Foot'!$H$59,Shoulder!$H$59),NA())</f>
        <v>#N/A</v>
      </c>
      <c r="D25" s="105" t="e">
        <f aca="false">IF(ISNUMBER(CHOOSE(MATCH('Dash Feed'!$B$10,Lists!$A$3:$A$7,0),Hip!$K$59,Hamstring!$K$59,Knee!$K$59,'Ankle-Foot'!$K$59,Shoulder!$K$59)),CHOOSE(MATCH('Dash Feed'!$B$10,Lists!$A$3:$A$7,0),Hip!$K$59,Hamstring!$K$59,Knee!$K$59,'Ankle-Foot'!$K$59,Shoulder!$K$59),NA())</f>
        <v>#N/A</v>
      </c>
      <c r="E25" s="105" t="e">
        <f aca="false">IF(ISNUMBER(CHOOSE(MATCH('Dash Feed'!$B$10,Lists!$A$3:$A$7,0),Hip!$N$59,Hamstring!$N$59,Knee!$N$59,'Ankle-Foot'!$N$59,Shoulder!$N$59)),CHOOSE(MATCH('Dash Feed'!$B$10,Lists!$A$3:$A$7,0),Hip!$N$59,Hamstring!$N$59,Knee!$N$59,'Ankle-Foot'!$N$59,Shoulder!$N$59),NA())</f>
        <v>#N/A</v>
      </c>
      <c r="F25" s="105" t="e">
        <f aca="false">IF(ISNUMBER(CHOOSE(MATCH('Dash Feed'!$B$10,Lists!$A$3:$A$7,0),Hip!$Q$59,Hamstring!$Q$59,Knee!$Q$59,'Ankle-Foot'!$Q$59,Shoulder!$Q$59)),CHOOSE(MATCH('Dash Feed'!$B$10,Lists!$A$3:$A$7,0),Hip!$Q$59,Hamstring!$Q$59,Knee!$Q$59,'Ankle-Foot'!$Q$59,Shoulder!$Q$59),NA())</f>
        <v>#N/A</v>
      </c>
      <c r="G25" s="105" t="e">
        <f aca="false">IF(ISNUMBER(CHOOSE(MATCH('Dash Feed'!$B$10,Lists!$A$3:$A$7,0),Hip!$T$59,Hamstring!$T$59,Knee!$T$59,'Ankle-Foot'!$T$59,Shoulder!$T$59)),CHOOSE(MATCH('Dash Feed'!$B$10,Lists!$A$3:$A$7,0),Hip!$T$59,Hamstring!$T$59,Knee!$T$59,'Ankle-Foot'!$T$59,Shoulder!$T$59),NA())</f>
        <v>#N/A</v>
      </c>
      <c r="H25" s="105" t="e">
        <f aca="false">IF(ISNUMBER(CHOOSE(MATCH('Dash Feed'!$B$10,Lists!$A$3:$A$7,0),Hip!$W$59,Hamstring!$W$59,Knee!$W$59,'Ankle-Foot'!$W$59,Shoulder!$W$59)),CHOOSE(MATCH('Dash Feed'!$B$10,Lists!$A$3:$A$7,0),Hip!$W$59,Hamstring!$W$59,Knee!$W$59,'Ankle-Foot'!$W$59,Shoulder!$W$59),NA())</f>
        <v>#N/A</v>
      </c>
      <c r="I25" s="105" t="e">
        <f aca="false">IF(ISNUMBER(CHOOSE(MATCH('Dash Feed'!$B$10,Lists!$A$3:$A$7,0),Hip!$Z$59,Hamstring!$Z$59,Knee!$Z$59,'Ankle-Foot'!$Z$59,Shoulder!$Z$59)),CHOOSE(MATCH('Dash Feed'!$B$10,Lists!$A$3:$A$7,0),Hip!$Z$59,Hamstring!$Z$59,Knee!$Z$59,'Ankle-Foot'!$Z$59,Shoulder!$Z$59),NA())</f>
        <v>#N/A</v>
      </c>
    </row>
    <row r="26" customFormat="false" ht="15" hidden="false" customHeight="false" outlineLevel="0" collapsed="false">
      <c r="A26" s="102" t="str">
        <f aca="false">IF(CHOOSE(MATCH('Dash Feed'!$B$10,Lists!$A$3:$A$7,0),Hip!$B$60,Hamstring!$B$60,Knee!$B$60,'Ankle-Foot'!$B$60,Shoulder!$B$60)="","",CHOOSE(MATCH('Dash Feed'!$B$10,Lists!$A$3:$A$7,0),Hip!$B$60,Hamstring!$B$60,Knee!$B$60,'Ankle-Foot'!$B$60,Shoulder!$B$60))</f>
        <v/>
      </c>
      <c r="B26" s="105" t="e">
        <f aca="false">IF(ISNUMBER(CHOOSE(MATCH('Dash Feed'!$B$10,Lists!$A$3:$A$7,0),Hip!$E$60,Hamstring!$E$60,Knee!$E$60,'Ankle-Foot'!$E$60,Shoulder!$E$60)),CHOOSE(MATCH('Dash Feed'!$B$10,Lists!$A$3:$A$7,0),Hip!$E$60,Hamstring!$E$60,Knee!$E$60,'Ankle-Foot'!$E$60,Shoulder!$E$60),NA())</f>
        <v>#N/A</v>
      </c>
      <c r="C26" s="105" t="e">
        <f aca="false">IF(ISNUMBER(CHOOSE(MATCH('Dash Feed'!$B$10,Lists!$A$3:$A$7,0),Hip!$H$60,Hamstring!$H$60,Knee!$H$60,'Ankle-Foot'!$H$60,Shoulder!$H$60)),CHOOSE(MATCH('Dash Feed'!$B$10,Lists!$A$3:$A$7,0),Hip!$H$60,Hamstring!$H$60,Knee!$H$60,'Ankle-Foot'!$H$60,Shoulder!$H$60),NA())</f>
        <v>#N/A</v>
      </c>
      <c r="D26" s="105" t="e">
        <f aca="false">IF(ISNUMBER(CHOOSE(MATCH('Dash Feed'!$B$10,Lists!$A$3:$A$7,0),Hip!$K$60,Hamstring!$K$60,Knee!$K$60,'Ankle-Foot'!$K$60,Shoulder!$K$60)),CHOOSE(MATCH('Dash Feed'!$B$10,Lists!$A$3:$A$7,0),Hip!$K$60,Hamstring!$K$60,Knee!$K$60,'Ankle-Foot'!$K$60,Shoulder!$K$60),NA())</f>
        <v>#N/A</v>
      </c>
      <c r="E26" s="105" t="e">
        <f aca="false">IF(ISNUMBER(CHOOSE(MATCH('Dash Feed'!$B$10,Lists!$A$3:$A$7,0),Hip!$N$60,Hamstring!$N$60,Knee!$N$60,'Ankle-Foot'!$N$60,Shoulder!$N$60)),CHOOSE(MATCH('Dash Feed'!$B$10,Lists!$A$3:$A$7,0),Hip!$N$60,Hamstring!$N$60,Knee!$N$60,'Ankle-Foot'!$N$60,Shoulder!$N$60),NA())</f>
        <v>#N/A</v>
      </c>
      <c r="F26" s="105" t="e">
        <f aca="false">IF(ISNUMBER(CHOOSE(MATCH('Dash Feed'!$B$10,Lists!$A$3:$A$7,0),Hip!$Q$60,Hamstring!$Q$60,Knee!$Q$60,'Ankle-Foot'!$Q$60,Shoulder!$Q$60)),CHOOSE(MATCH('Dash Feed'!$B$10,Lists!$A$3:$A$7,0),Hip!$Q$60,Hamstring!$Q$60,Knee!$Q$60,'Ankle-Foot'!$Q$60,Shoulder!$Q$60),NA())</f>
        <v>#N/A</v>
      </c>
      <c r="G26" s="105" t="e">
        <f aca="false">IF(ISNUMBER(CHOOSE(MATCH('Dash Feed'!$B$10,Lists!$A$3:$A$7,0),Hip!$T$60,Hamstring!$T$60,Knee!$T$60,'Ankle-Foot'!$T$60,Shoulder!$T$60)),CHOOSE(MATCH('Dash Feed'!$B$10,Lists!$A$3:$A$7,0),Hip!$T$60,Hamstring!$T$60,Knee!$T$60,'Ankle-Foot'!$T$60,Shoulder!$T$60),NA())</f>
        <v>#N/A</v>
      </c>
      <c r="H26" s="105" t="e">
        <f aca="false">IF(ISNUMBER(CHOOSE(MATCH('Dash Feed'!$B$10,Lists!$A$3:$A$7,0),Hip!$W$60,Hamstring!$W$60,Knee!$W$60,'Ankle-Foot'!$W$60,Shoulder!$W$60)),CHOOSE(MATCH('Dash Feed'!$B$10,Lists!$A$3:$A$7,0),Hip!$W$60,Hamstring!$W$60,Knee!$W$60,'Ankle-Foot'!$W$60,Shoulder!$W$60),NA())</f>
        <v>#N/A</v>
      </c>
      <c r="I26" s="105" t="e">
        <f aca="false">IF(ISNUMBER(CHOOSE(MATCH('Dash Feed'!$B$10,Lists!$A$3:$A$7,0),Hip!$Z$60,Hamstring!$Z$60,Knee!$Z$60,'Ankle-Foot'!$Z$60,Shoulder!$Z$60)),CHOOSE(MATCH('Dash Feed'!$B$10,Lists!$A$3:$A$7,0),Hip!$Z$60,Hamstring!$Z$60,Knee!$Z$60,'Ankle-Foot'!$Z$60,Shoulder!$Z$60),NA())</f>
        <v>#N/A</v>
      </c>
    </row>
    <row r="27" customFormat="false" ht="15" hidden="false" customHeight="false" outlineLevel="0" collapsed="false">
      <c r="A27" s="102" t="str">
        <f aca="false">IF(CHOOSE(MATCH('Dash Feed'!$B$10,Lists!$A$3:$A$7,0),Hip!$B$61,Hamstring!$B$61,Knee!$B$61,'Ankle-Foot'!$B$61,Shoulder!$B$61)="","",CHOOSE(MATCH('Dash Feed'!$B$10,Lists!$A$3:$A$7,0),Hip!$B$61,Hamstring!$B$61,Knee!$B$61,'Ankle-Foot'!$B$61,Shoulder!$B$61))</f>
        <v/>
      </c>
      <c r="B27" s="105" t="e">
        <f aca="false">IF(ISNUMBER(CHOOSE(MATCH('Dash Feed'!$B$10,Lists!$A$3:$A$7,0),Hip!$E$61,Hamstring!$E$61,Knee!$E$61,'Ankle-Foot'!$E$61,Shoulder!$E$61)),CHOOSE(MATCH('Dash Feed'!$B$10,Lists!$A$3:$A$7,0),Hip!$E$61,Hamstring!$E$61,Knee!$E$61,'Ankle-Foot'!$E$61,Shoulder!$E$61),NA())</f>
        <v>#N/A</v>
      </c>
      <c r="C27" s="105" t="e">
        <f aca="false">IF(ISNUMBER(CHOOSE(MATCH('Dash Feed'!$B$10,Lists!$A$3:$A$7,0),Hip!$H$61,Hamstring!$H$61,Knee!$H$61,'Ankle-Foot'!$H$61,Shoulder!$H$61)),CHOOSE(MATCH('Dash Feed'!$B$10,Lists!$A$3:$A$7,0),Hip!$H$61,Hamstring!$H$61,Knee!$H$61,'Ankle-Foot'!$H$61,Shoulder!$H$61),NA())</f>
        <v>#N/A</v>
      </c>
      <c r="D27" s="105" t="e">
        <f aca="false">IF(ISNUMBER(CHOOSE(MATCH('Dash Feed'!$B$10,Lists!$A$3:$A$7,0),Hip!$K$61,Hamstring!$K$61,Knee!$K$61,'Ankle-Foot'!$K$61,Shoulder!$K$61)),CHOOSE(MATCH('Dash Feed'!$B$10,Lists!$A$3:$A$7,0),Hip!$K$61,Hamstring!$K$61,Knee!$K$61,'Ankle-Foot'!$K$61,Shoulder!$K$61),NA())</f>
        <v>#N/A</v>
      </c>
      <c r="E27" s="105" t="e">
        <f aca="false">IF(ISNUMBER(CHOOSE(MATCH('Dash Feed'!$B$10,Lists!$A$3:$A$7,0),Hip!$N$61,Hamstring!$N$61,Knee!$N$61,'Ankle-Foot'!$N$61,Shoulder!$N$61)),CHOOSE(MATCH('Dash Feed'!$B$10,Lists!$A$3:$A$7,0),Hip!$N$61,Hamstring!$N$61,Knee!$N$61,'Ankle-Foot'!$N$61,Shoulder!$N$61),NA())</f>
        <v>#N/A</v>
      </c>
      <c r="F27" s="105" t="e">
        <f aca="false">IF(ISNUMBER(CHOOSE(MATCH('Dash Feed'!$B$10,Lists!$A$3:$A$7,0),Hip!$Q$61,Hamstring!$Q$61,Knee!$Q$61,'Ankle-Foot'!$Q$61,Shoulder!$Q$61)),CHOOSE(MATCH('Dash Feed'!$B$10,Lists!$A$3:$A$7,0),Hip!$Q$61,Hamstring!$Q$61,Knee!$Q$61,'Ankle-Foot'!$Q$61,Shoulder!$Q$61),NA())</f>
        <v>#N/A</v>
      </c>
      <c r="G27" s="105" t="e">
        <f aca="false">IF(ISNUMBER(CHOOSE(MATCH('Dash Feed'!$B$10,Lists!$A$3:$A$7,0),Hip!$T$61,Hamstring!$T$61,Knee!$T$61,'Ankle-Foot'!$T$61,Shoulder!$T$61)),CHOOSE(MATCH('Dash Feed'!$B$10,Lists!$A$3:$A$7,0),Hip!$T$61,Hamstring!$T$61,Knee!$T$61,'Ankle-Foot'!$T$61,Shoulder!$T$61),NA())</f>
        <v>#N/A</v>
      </c>
      <c r="H27" s="105" t="e">
        <f aca="false">IF(ISNUMBER(CHOOSE(MATCH('Dash Feed'!$B$10,Lists!$A$3:$A$7,0),Hip!$W$61,Hamstring!$W$61,Knee!$W$61,'Ankle-Foot'!$W$61,Shoulder!$W$61)),CHOOSE(MATCH('Dash Feed'!$B$10,Lists!$A$3:$A$7,0),Hip!$W$61,Hamstring!$W$61,Knee!$W$61,'Ankle-Foot'!$W$61,Shoulder!$W$61),NA())</f>
        <v>#N/A</v>
      </c>
      <c r="I27" s="105" t="e">
        <f aca="false">IF(ISNUMBER(CHOOSE(MATCH('Dash Feed'!$B$10,Lists!$A$3:$A$7,0),Hip!$Z$61,Hamstring!$Z$61,Knee!$Z$61,'Ankle-Foot'!$Z$61,Shoulder!$Z$61)),CHOOSE(MATCH('Dash Feed'!$B$10,Lists!$A$3:$A$7,0),Hip!$Z$61,Hamstring!$Z$61,Knee!$Z$61,'Ankle-Foot'!$Z$61,Shoulder!$Z$61),NA())</f>
        <v>#N/A</v>
      </c>
    </row>
    <row r="28" customFormat="false" ht="15" hidden="false" customHeight="false" outlineLevel="0" collapsed="false">
      <c r="A28" s="102" t="str">
        <f aca="false">IF(CHOOSE(MATCH('Dash Feed'!$B$10,Lists!$A$3:$A$7,0),Hip!$B$62,Hamstring!$B$62,Knee!$B$62,'Ankle-Foot'!$B$62,Shoulder!$B$62)="","",CHOOSE(MATCH('Dash Feed'!$B$10,Lists!$A$3:$A$7,0),Hip!$B$62,Hamstring!$B$62,Knee!$B$62,'Ankle-Foot'!$B$62,Shoulder!$B$62))</f>
        <v/>
      </c>
      <c r="B28" s="105" t="e">
        <f aca="false">IF(ISNUMBER(CHOOSE(MATCH('Dash Feed'!$B$10,Lists!$A$3:$A$7,0),Hip!$E$62,Hamstring!$E$62,Knee!$E$62,'Ankle-Foot'!$E$62,Shoulder!$E$62)),CHOOSE(MATCH('Dash Feed'!$B$10,Lists!$A$3:$A$7,0),Hip!$E$62,Hamstring!$E$62,Knee!$E$62,'Ankle-Foot'!$E$62,Shoulder!$E$62),NA())</f>
        <v>#N/A</v>
      </c>
      <c r="C28" s="105" t="e">
        <f aca="false">IF(ISNUMBER(CHOOSE(MATCH('Dash Feed'!$B$10,Lists!$A$3:$A$7,0),Hip!$H$62,Hamstring!$H$62,Knee!$H$62,'Ankle-Foot'!$H$62,Shoulder!$H$62)),CHOOSE(MATCH('Dash Feed'!$B$10,Lists!$A$3:$A$7,0),Hip!$H$62,Hamstring!$H$62,Knee!$H$62,'Ankle-Foot'!$H$62,Shoulder!$H$62),NA())</f>
        <v>#N/A</v>
      </c>
      <c r="D28" s="105" t="e">
        <f aca="false">IF(ISNUMBER(CHOOSE(MATCH('Dash Feed'!$B$10,Lists!$A$3:$A$7,0),Hip!$K$62,Hamstring!$K$62,Knee!$K$62,'Ankle-Foot'!$K$62,Shoulder!$K$62)),CHOOSE(MATCH('Dash Feed'!$B$10,Lists!$A$3:$A$7,0),Hip!$K$62,Hamstring!$K$62,Knee!$K$62,'Ankle-Foot'!$K$62,Shoulder!$K$62),NA())</f>
        <v>#N/A</v>
      </c>
      <c r="E28" s="105" t="e">
        <f aca="false">IF(ISNUMBER(CHOOSE(MATCH('Dash Feed'!$B$10,Lists!$A$3:$A$7,0),Hip!$N$62,Hamstring!$N$62,Knee!$N$62,'Ankle-Foot'!$N$62,Shoulder!$N$62)),CHOOSE(MATCH('Dash Feed'!$B$10,Lists!$A$3:$A$7,0),Hip!$N$62,Hamstring!$N$62,Knee!$N$62,'Ankle-Foot'!$N$62,Shoulder!$N$62),NA())</f>
        <v>#N/A</v>
      </c>
      <c r="F28" s="105" t="e">
        <f aca="false">IF(ISNUMBER(CHOOSE(MATCH('Dash Feed'!$B$10,Lists!$A$3:$A$7,0),Hip!$Q$62,Hamstring!$Q$62,Knee!$Q$62,'Ankle-Foot'!$Q$62,Shoulder!$Q$62)),CHOOSE(MATCH('Dash Feed'!$B$10,Lists!$A$3:$A$7,0),Hip!$Q$62,Hamstring!$Q$62,Knee!$Q$62,'Ankle-Foot'!$Q$62,Shoulder!$Q$62),NA())</f>
        <v>#N/A</v>
      </c>
      <c r="G28" s="105" t="e">
        <f aca="false">IF(ISNUMBER(CHOOSE(MATCH('Dash Feed'!$B$10,Lists!$A$3:$A$7,0),Hip!$T$62,Hamstring!$T$62,Knee!$T$62,'Ankle-Foot'!$T$62,Shoulder!$T$62)),CHOOSE(MATCH('Dash Feed'!$B$10,Lists!$A$3:$A$7,0),Hip!$T$62,Hamstring!$T$62,Knee!$T$62,'Ankle-Foot'!$T$62,Shoulder!$T$62),NA())</f>
        <v>#N/A</v>
      </c>
      <c r="H28" s="105" t="e">
        <f aca="false">IF(ISNUMBER(CHOOSE(MATCH('Dash Feed'!$B$10,Lists!$A$3:$A$7,0),Hip!$W$62,Hamstring!$W$62,Knee!$W$62,'Ankle-Foot'!$W$62,Shoulder!$W$62)),CHOOSE(MATCH('Dash Feed'!$B$10,Lists!$A$3:$A$7,0),Hip!$W$62,Hamstring!$W$62,Knee!$W$62,'Ankle-Foot'!$W$62,Shoulder!$W$62),NA())</f>
        <v>#N/A</v>
      </c>
      <c r="I28" s="105" t="e">
        <f aca="false">IF(ISNUMBER(CHOOSE(MATCH('Dash Feed'!$B$10,Lists!$A$3:$A$7,0),Hip!$Z$62,Hamstring!$Z$62,Knee!$Z$62,'Ankle-Foot'!$Z$62,Shoulder!$Z$62)),CHOOSE(MATCH('Dash Feed'!$B$10,Lists!$A$3:$A$7,0),Hip!$Z$62,Hamstring!$Z$62,Knee!$Z$62,'Ankle-Foot'!$Z$62,Shoulder!$Z$62),NA())</f>
        <v>#N/A</v>
      </c>
    </row>
    <row r="29" customFormat="false" ht="15" hidden="false" customHeight="false" outlineLevel="0" collapsed="false">
      <c r="A29" s="102" t="str">
        <f aca="false">IF(CHOOSE(MATCH('Dash Feed'!$B$10,Lists!$A$3:$A$7,0),Hip!$B$63,Hamstring!$B$63,Knee!$B$63,'Ankle-Foot'!$B$63,Shoulder!$B$63)="","",CHOOSE(MATCH('Dash Feed'!$B$10,Lists!$A$3:$A$7,0),Hip!$B$63,Hamstring!$B$63,Knee!$B$63,'Ankle-Foot'!$B$63,Shoulder!$B$63))</f>
        <v/>
      </c>
      <c r="B29" s="105" t="e">
        <f aca="false">IF(ISNUMBER(CHOOSE(MATCH('Dash Feed'!$B$10,Lists!$A$3:$A$7,0),Hip!$E$63,Hamstring!$E$63,Knee!$E$63,'Ankle-Foot'!$E$63,Shoulder!$E$63)),CHOOSE(MATCH('Dash Feed'!$B$10,Lists!$A$3:$A$7,0),Hip!$E$63,Hamstring!$E$63,Knee!$E$63,'Ankle-Foot'!$E$63,Shoulder!$E$63),NA())</f>
        <v>#N/A</v>
      </c>
      <c r="C29" s="105" t="e">
        <f aca="false">IF(ISNUMBER(CHOOSE(MATCH('Dash Feed'!$B$10,Lists!$A$3:$A$7,0),Hip!$H$63,Hamstring!$H$63,Knee!$H$63,'Ankle-Foot'!$H$63,Shoulder!$H$63)),CHOOSE(MATCH('Dash Feed'!$B$10,Lists!$A$3:$A$7,0),Hip!$H$63,Hamstring!$H$63,Knee!$H$63,'Ankle-Foot'!$H$63,Shoulder!$H$63),NA())</f>
        <v>#N/A</v>
      </c>
      <c r="D29" s="105" t="e">
        <f aca="false">IF(ISNUMBER(CHOOSE(MATCH('Dash Feed'!$B$10,Lists!$A$3:$A$7,0),Hip!$K$63,Hamstring!$K$63,Knee!$K$63,'Ankle-Foot'!$K$63,Shoulder!$K$63)),CHOOSE(MATCH('Dash Feed'!$B$10,Lists!$A$3:$A$7,0),Hip!$K$63,Hamstring!$K$63,Knee!$K$63,'Ankle-Foot'!$K$63,Shoulder!$K$63),NA())</f>
        <v>#N/A</v>
      </c>
      <c r="E29" s="105" t="e">
        <f aca="false">IF(ISNUMBER(CHOOSE(MATCH('Dash Feed'!$B$10,Lists!$A$3:$A$7,0),Hip!$N$63,Hamstring!$N$63,Knee!$N$63,'Ankle-Foot'!$N$63,Shoulder!$N$63)),CHOOSE(MATCH('Dash Feed'!$B$10,Lists!$A$3:$A$7,0),Hip!$N$63,Hamstring!$N$63,Knee!$N$63,'Ankle-Foot'!$N$63,Shoulder!$N$63),NA())</f>
        <v>#N/A</v>
      </c>
      <c r="F29" s="105" t="e">
        <f aca="false">IF(ISNUMBER(CHOOSE(MATCH('Dash Feed'!$B$10,Lists!$A$3:$A$7,0),Hip!$Q$63,Hamstring!$Q$63,Knee!$Q$63,'Ankle-Foot'!$Q$63,Shoulder!$Q$63)),CHOOSE(MATCH('Dash Feed'!$B$10,Lists!$A$3:$A$7,0),Hip!$Q$63,Hamstring!$Q$63,Knee!$Q$63,'Ankle-Foot'!$Q$63,Shoulder!$Q$63),NA())</f>
        <v>#N/A</v>
      </c>
      <c r="G29" s="105" t="e">
        <f aca="false">IF(ISNUMBER(CHOOSE(MATCH('Dash Feed'!$B$10,Lists!$A$3:$A$7,0),Hip!$T$63,Hamstring!$T$63,Knee!$T$63,'Ankle-Foot'!$T$63,Shoulder!$T$63)),CHOOSE(MATCH('Dash Feed'!$B$10,Lists!$A$3:$A$7,0),Hip!$T$63,Hamstring!$T$63,Knee!$T$63,'Ankle-Foot'!$T$63,Shoulder!$T$63),NA())</f>
        <v>#N/A</v>
      </c>
      <c r="H29" s="105" t="e">
        <f aca="false">IF(ISNUMBER(CHOOSE(MATCH('Dash Feed'!$B$10,Lists!$A$3:$A$7,0),Hip!$W$63,Hamstring!$W$63,Knee!$W$63,'Ankle-Foot'!$W$63,Shoulder!$W$63)),CHOOSE(MATCH('Dash Feed'!$B$10,Lists!$A$3:$A$7,0),Hip!$W$63,Hamstring!$W$63,Knee!$W$63,'Ankle-Foot'!$W$63,Shoulder!$W$63),NA())</f>
        <v>#N/A</v>
      </c>
      <c r="I29" s="105" t="e">
        <f aca="false">IF(ISNUMBER(CHOOSE(MATCH('Dash Feed'!$B$10,Lists!$A$3:$A$7,0),Hip!$Z$63,Hamstring!$Z$63,Knee!$Z$63,'Ankle-Foot'!$Z$63,Shoulder!$Z$63)),CHOOSE(MATCH('Dash Feed'!$B$10,Lists!$A$3:$A$7,0),Hip!$Z$63,Hamstring!$Z$63,Knee!$Z$63,'Ankle-Foot'!$Z$63,Shoulder!$Z$63),NA())</f>
        <v>#N/A</v>
      </c>
    </row>
    <row r="30" customFormat="false" ht="15" hidden="false" customHeight="false" outlineLevel="0" collapsed="false">
      <c r="A30" s="102" t="str">
        <f aca="false">IF(CHOOSE(MATCH('Dash Feed'!$B$10,Lists!$A$3:$A$7,0),Hip!$B$64,Hamstring!$B$64,Knee!$B$64,'Ankle-Foot'!$B$64,Shoulder!$B$64)="","",CHOOSE(MATCH('Dash Feed'!$B$10,Lists!$A$3:$A$7,0),Hip!$B$64,Hamstring!$B$64,Knee!$B$64,'Ankle-Foot'!$B$64,Shoulder!$B$64))</f>
        <v/>
      </c>
      <c r="B30" s="105" t="e">
        <f aca="false">IF(ISNUMBER(CHOOSE(MATCH('Dash Feed'!$B$10,Lists!$A$3:$A$7,0),Hip!$E$64,Hamstring!$E$64,Knee!$E$64,'Ankle-Foot'!$E$64,Shoulder!$E$64)),CHOOSE(MATCH('Dash Feed'!$B$10,Lists!$A$3:$A$7,0),Hip!$E$64,Hamstring!$E$64,Knee!$E$64,'Ankle-Foot'!$E$64,Shoulder!$E$64),NA())</f>
        <v>#N/A</v>
      </c>
      <c r="C30" s="105" t="e">
        <f aca="false">IF(ISNUMBER(CHOOSE(MATCH('Dash Feed'!$B$10,Lists!$A$3:$A$7,0),Hip!$H$64,Hamstring!$H$64,Knee!$H$64,'Ankle-Foot'!$H$64,Shoulder!$H$64)),CHOOSE(MATCH('Dash Feed'!$B$10,Lists!$A$3:$A$7,0),Hip!$H$64,Hamstring!$H$64,Knee!$H$64,'Ankle-Foot'!$H$64,Shoulder!$H$64),NA())</f>
        <v>#N/A</v>
      </c>
      <c r="D30" s="105" t="e">
        <f aca="false">IF(ISNUMBER(CHOOSE(MATCH('Dash Feed'!$B$10,Lists!$A$3:$A$7,0),Hip!$K$64,Hamstring!$K$64,Knee!$K$64,'Ankle-Foot'!$K$64,Shoulder!$K$64)),CHOOSE(MATCH('Dash Feed'!$B$10,Lists!$A$3:$A$7,0),Hip!$K$64,Hamstring!$K$64,Knee!$K$64,'Ankle-Foot'!$K$64,Shoulder!$K$64),NA())</f>
        <v>#N/A</v>
      </c>
      <c r="E30" s="105" t="e">
        <f aca="false">IF(ISNUMBER(CHOOSE(MATCH('Dash Feed'!$B$10,Lists!$A$3:$A$7,0),Hip!$N$64,Hamstring!$N$64,Knee!$N$64,'Ankle-Foot'!$N$64,Shoulder!$N$64)),CHOOSE(MATCH('Dash Feed'!$B$10,Lists!$A$3:$A$7,0),Hip!$N$64,Hamstring!$N$64,Knee!$N$64,'Ankle-Foot'!$N$64,Shoulder!$N$64),NA())</f>
        <v>#N/A</v>
      </c>
      <c r="F30" s="105" t="e">
        <f aca="false">IF(ISNUMBER(CHOOSE(MATCH('Dash Feed'!$B$10,Lists!$A$3:$A$7,0),Hip!$Q$64,Hamstring!$Q$64,Knee!$Q$64,'Ankle-Foot'!$Q$64,Shoulder!$Q$64)),CHOOSE(MATCH('Dash Feed'!$B$10,Lists!$A$3:$A$7,0),Hip!$Q$64,Hamstring!$Q$64,Knee!$Q$64,'Ankle-Foot'!$Q$64,Shoulder!$Q$64),NA())</f>
        <v>#N/A</v>
      </c>
      <c r="G30" s="105" t="e">
        <f aca="false">IF(ISNUMBER(CHOOSE(MATCH('Dash Feed'!$B$10,Lists!$A$3:$A$7,0),Hip!$T$64,Hamstring!$T$64,Knee!$T$64,'Ankle-Foot'!$T$64,Shoulder!$T$64)),CHOOSE(MATCH('Dash Feed'!$B$10,Lists!$A$3:$A$7,0),Hip!$T$64,Hamstring!$T$64,Knee!$T$64,'Ankle-Foot'!$T$64,Shoulder!$T$64),NA())</f>
        <v>#N/A</v>
      </c>
      <c r="H30" s="105" t="e">
        <f aca="false">IF(ISNUMBER(CHOOSE(MATCH('Dash Feed'!$B$10,Lists!$A$3:$A$7,0),Hip!$W$64,Hamstring!$W$64,Knee!$W$64,'Ankle-Foot'!$W$64,Shoulder!$W$64)),CHOOSE(MATCH('Dash Feed'!$B$10,Lists!$A$3:$A$7,0),Hip!$W$64,Hamstring!$W$64,Knee!$W$64,'Ankle-Foot'!$W$64,Shoulder!$W$64),NA())</f>
        <v>#N/A</v>
      </c>
      <c r="I30" s="105" t="e">
        <f aca="false">IF(ISNUMBER(CHOOSE(MATCH('Dash Feed'!$B$10,Lists!$A$3:$A$7,0),Hip!$Z$64,Hamstring!$Z$64,Knee!$Z$64,'Ankle-Foot'!$Z$64,Shoulder!$Z$64)),CHOOSE(MATCH('Dash Feed'!$B$10,Lists!$A$3:$A$7,0),Hip!$Z$64,Hamstring!$Z$64,Knee!$Z$64,'Ankle-Foot'!$Z$64,Shoulder!$Z$64),NA())</f>
        <v>#N/A</v>
      </c>
    </row>
    <row r="31" customFormat="false" ht="15" hidden="false" customHeight="false" outlineLevel="0" collapsed="false">
      <c r="A31" s="102" t="str">
        <f aca="false">IF(CHOOSE(MATCH('Dash Feed'!$B$10,Lists!$A$3:$A$7,0),Hip!$B$65,Hamstring!$B$65,Knee!$B$65,'Ankle-Foot'!$B$65,Shoulder!$B$65)="","",CHOOSE(MATCH('Dash Feed'!$B$10,Lists!$A$3:$A$7,0),Hip!$B$65,Hamstring!$B$65,Knee!$B$65,'Ankle-Foot'!$B$65,Shoulder!$B$65))</f>
        <v/>
      </c>
      <c r="B31" s="105" t="e">
        <f aca="false">IF(ISNUMBER(CHOOSE(MATCH('Dash Feed'!$B$10,Lists!$A$3:$A$7,0),Hip!$E$65,Hamstring!$E$65,Knee!$E$65,'Ankle-Foot'!$E$65,Shoulder!$E$65)),CHOOSE(MATCH('Dash Feed'!$B$10,Lists!$A$3:$A$7,0),Hip!$E$65,Hamstring!$E$65,Knee!$E$65,'Ankle-Foot'!$E$65,Shoulder!$E$65),NA())</f>
        <v>#N/A</v>
      </c>
      <c r="C31" s="105" t="e">
        <f aca="false">IF(ISNUMBER(CHOOSE(MATCH('Dash Feed'!$B$10,Lists!$A$3:$A$7,0),Hip!$H$65,Hamstring!$H$65,Knee!$H$65,'Ankle-Foot'!$H$65,Shoulder!$H$65)),CHOOSE(MATCH('Dash Feed'!$B$10,Lists!$A$3:$A$7,0),Hip!$H$65,Hamstring!$H$65,Knee!$H$65,'Ankle-Foot'!$H$65,Shoulder!$H$65),NA())</f>
        <v>#N/A</v>
      </c>
      <c r="D31" s="105" t="e">
        <f aca="false">IF(ISNUMBER(CHOOSE(MATCH('Dash Feed'!$B$10,Lists!$A$3:$A$7,0),Hip!$K$65,Hamstring!$K$65,Knee!$K$65,'Ankle-Foot'!$K$65,Shoulder!$K$65)),CHOOSE(MATCH('Dash Feed'!$B$10,Lists!$A$3:$A$7,0),Hip!$K$65,Hamstring!$K$65,Knee!$K$65,'Ankle-Foot'!$K$65,Shoulder!$K$65),NA())</f>
        <v>#N/A</v>
      </c>
      <c r="E31" s="105" t="e">
        <f aca="false">IF(ISNUMBER(CHOOSE(MATCH('Dash Feed'!$B$10,Lists!$A$3:$A$7,0),Hip!$N$65,Hamstring!$N$65,Knee!$N$65,'Ankle-Foot'!$N$65,Shoulder!$N$65)),CHOOSE(MATCH('Dash Feed'!$B$10,Lists!$A$3:$A$7,0),Hip!$N$65,Hamstring!$N$65,Knee!$N$65,'Ankle-Foot'!$N$65,Shoulder!$N$65),NA())</f>
        <v>#N/A</v>
      </c>
      <c r="F31" s="105" t="e">
        <f aca="false">IF(ISNUMBER(CHOOSE(MATCH('Dash Feed'!$B$10,Lists!$A$3:$A$7,0),Hip!$Q$65,Hamstring!$Q$65,Knee!$Q$65,'Ankle-Foot'!$Q$65,Shoulder!$Q$65)),CHOOSE(MATCH('Dash Feed'!$B$10,Lists!$A$3:$A$7,0),Hip!$Q$65,Hamstring!$Q$65,Knee!$Q$65,'Ankle-Foot'!$Q$65,Shoulder!$Q$65),NA())</f>
        <v>#N/A</v>
      </c>
      <c r="G31" s="105" t="e">
        <f aca="false">IF(ISNUMBER(CHOOSE(MATCH('Dash Feed'!$B$10,Lists!$A$3:$A$7,0),Hip!$T$65,Hamstring!$T$65,Knee!$T$65,'Ankle-Foot'!$T$65,Shoulder!$T$65)),CHOOSE(MATCH('Dash Feed'!$B$10,Lists!$A$3:$A$7,0),Hip!$T$65,Hamstring!$T$65,Knee!$T$65,'Ankle-Foot'!$T$65,Shoulder!$T$65),NA())</f>
        <v>#N/A</v>
      </c>
      <c r="H31" s="105" t="e">
        <f aca="false">IF(ISNUMBER(CHOOSE(MATCH('Dash Feed'!$B$10,Lists!$A$3:$A$7,0),Hip!$W$65,Hamstring!$W$65,Knee!$W$65,'Ankle-Foot'!$W$65,Shoulder!$W$65)),CHOOSE(MATCH('Dash Feed'!$B$10,Lists!$A$3:$A$7,0),Hip!$W$65,Hamstring!$W$65,Knee!$W$65,'Ankle-Foot'!$W$65,Shoulder!$W$65),NA())</f>
        <v>#N/A</v>
      </c>
      <c r="I31" s="105" t="e">
        <f aca="false">IF(ISNUMBER(CHOOSE(MATCH('Dash Feed'!$B$10,Lists!$A$3:$A$7,0),Hip!$Z$65,Hamstring!$Z$65,Knee!$Z$65,'Ankle-Foot'!$Z$65,Shoulder!$Z$65)),CHOOSE(MATCH('Dash Feed'!$B$10,Lists!$A$3:$A$7,0),Hip!$Z$65,Hamstring!$Z$65,Knee!$Z$65,'Ankle-Foot'!$Z$65,Shoulder!$Z$65),NA())</f>
        <v>#N/A</v>
      </c>
    </row>
    <row r="33" customFormat="false" ht="19.5" hidden="false" customHeight="true" outlineLevel="0" collapsed="false">
      <c r="A33" s="62" t="s">
        <v>365</v>
      </c>
      <c r="B33" s="62"/>
      <c r="C33" s="62"/>
      <c r="D33" s="62"/>
      <c r="E33" s="62"/>
      <c r="F33" s="62"/>
      <c r="G33" s="62"/>
      <c r="H33" s="62"/>
      <c r="I33" s="62"/>
    </row>
    <row r="34" customFormat="false" ht="22.35" hidden="false" customHeight="false" outlineLevel="0" collapsed="false">
      <c r="A34" s="33" t="s">
        <v>363</v>
      </c>
      <c r="B34" s="33" t="str">
        <f aca="false">IF(OR(LEFT(CHOOSE(MATCH('Dash Feed'!$B$10,Lists!$A$3:$A$7,0),Hip!$C$70,Hamstring!$C$70,Knee!$C$70,'Ankle-Foot'!$C$70,Shoulder!$C$70),1)="(",CHOOSE(MATCH('Dash Feed'!$B$10,Lists!$A$3:$A$7,0),Hip!$C$71,Hamstring!$C$71,Knee!$C$71,'Ankle-Foot'!$C$71,Shoulder!$C$71)="Score")," ",CHOOSE(MATCH('Dash Feed'!$B$10,Lists!$A$3:$A$7,0),Hip!$C$70,Hamstring!$C$70,Knee!$C$70,'Ankle-Foot'!$C$70,Shoulder!$C$70))</f>
        <v> </v>
      </c>
      <c r="C34" s="33" t="str">
        <f aca="false">IF(OR(LEFT(CHOOSE(MATCH('Dash Feed'!$B$10,Lists!$A$3:$A$7,0),Hip!$F$70,Hamstring!$F$70,Knee!$F$70,'Ankle-Foot'!$F$70,Shoulder!$F$70),1)="(",CHOOSE(MATCH('Dash Feed'!$B$10,Lists!$A$3:$A$7,0),Hip!$F$71,Hamstring!$F$71,Knee!$F$71,'Ankle-Foot'!$F$71,Shoulder!$F$71)="Score")," ",CHOOSE(MATCH('Dash Feed'!$B$10,Lists!$A$3:$A$7,0),Hip!$F$70,Hamstring!$F$70,Knee!$F$70,'Ankle-Foot'!$F$70,Shoulder!$F$70))</f>
        <v>SL CMJ Height (cm)</v>
      </c>
      <c r="D34" s="33" t="str">
        <f aca="false">IF(OR(LEFT(CHOOSE(MATCH('Dash Feed'!$B$10,Lists!$A$3:$A$7,0),Hip!$I$70,Hamstring!$I$70,Knee!$I$70,'Ankle-Foot'!$I$70,Shoulder!$I$70),1)="(",CHOOSE(MATCH('Dash Feed'!$B$10,Lists!$A$3:$A$7,0),Hip!$I$71,Hamstring!$I$71,Knee!$I$71,'Ankle-Foot'!$I$71,Shoulder!$I$71)="Score")," ",CHOOSE(MATCH('Dash Feed'!$B$10,Lists!$A$3:$A$7,0),Hip!$I$70,Hamstring!$I$70,Knee!$I$70,'Ankle-Foot'!$I$70,Shoulder!$I$70))</f>
        <v>SL Hop Distance (cm)</v>
      </c>
      <c r="E34" s="33" t="str">
        <f aca="false">IF(OR(LEFT(CHOOSE(MATCH('Dash Feed'!$B$10,Lists!$A$3:$A$7,0),Hip!$L$70,Hamstring!$L$70,Knee!$L$70,'Ankle-Foot'!$L$70,Shoulder!$L$70),1)="(",CHOOSE(MATCH('Dash Feed'!$B$10,Lists!$A$3:$A$7,0),Hip!$L$71,Hamstring!$L$71,Knee!$L$71,'Ankle-Foot'!$L$71,Shoulder!$L$71)="Score")," ",CHOOSE(MATCH('Dash Feed'!$B$10,Lists!$A$3:$A$7,0),Hip!$L$70,Hamstring!$L$70,Knee!$L$70,'Ankle-Foot'!$L$70,Shoulder!$L$70))</f>
        <v>Triple Hop Distance (cm)</v>
      </c>
      <c r="F34" s="33" t="str">
        <f aca="false">IF(OR(LEFT(CHOOSE(MATCH('Dash Feed'!$B$10,Lists!$A$3:$A$7,0),Hip!$O$70,Hamstring!$O$70,Knee!$O$70,'Ankle-Foot'!$O$70,Shoulder!$O$70),1)="(",CHOOSE(MATCH('Dash Feed'!$B$10,Lists!$A$3:$A$7,0),Hip!$O$71,Hamstring!$O$71,Knee!$O$71,'Ankle-Foot'!$O$71,Shoulder!$O$71)="Score")," ",CHOOSE(MATCH('Dash Feed'!$B$10,Lists!$A$3:$A$7,0),Hip!$O$70,Hamstring!$O$70,Knee!$O$70,'Ankle-Foot'!$O$70,Shoulder!$O$70))</f>
        <v>Lateral Capacity</v>
      </c>
      <c r="G34" s="33" t="str">
        <f aca="false">IF(OR(LEFT(CHOOSE(MATCH('Dash Feed'!$B$10,Lists!$A$3:$A$7,0),Hip!$R$70,Hamstring!$R$70,Knee!$R$70,'Ankle-Foot'!$R$70,Shoulder!$R$70),1)="(",CHOOSE(MATCH('Dash Feed'!$B$10,Lists!$A$3:$A$7,0),Hip!$R$71,Hamstring!$R$71,Knee!$R$71,'Ankle-Foot'!$R$71,Shoulder!$R$71)="Score")," ",CHOOSE(MATCH('Dash Feed'!$B$10,Lists!$A$3:$A$7,0),Hip!$R$70,Hamstring!$R$70,Knee!$R$70,'Ankle-Foot'!$R$70,Shoulder!$R$70))</f>
        <v> </v>
      </c>
      <c r="H34" s="33" t="str">
        <f aca="false">IF(OR(LEFT(CHOOSE(MATCH('Dash Feed'!$B$10,Lists!$A$3:$A$7,0),Hip!$U$70,Hamstring!$U$70,Knee!$U$70,'Ankle-Foot'!$U$70,Shoulder!$U$70),1)="(",CHOOSE(MATCH('Dash Feed'!$B$10,Lists!$A$3:$A$7,0),Hip!$U$71,Hamstring!$U$71,Knee!$U$71,'Ankle-Foot'!$U$71,Shoulder!$U$71)="Score")," ",CHOOSE(MATCH('Dash Feed'!$B$10,Lists!$A$3:$A$7,0),Hip!$U$70,Hamstring!$U$70,Knee!$U$70,'Ankle-Foot'!$U$70,Shoulder!$U$70))</f>
        <v>SL Drop Jump RSI</v>
      </c>
      <c r="I34" s="33" t="str">
        <f aca="false">IF(OR(LEFT(CHOOSE(MATCH('Dash Feed'!$B$10,Lists!$A$3:$A$7,0),Hip!$X$70,Hamstring!$X$70,Knee!$X$70,'Ankle-Foot'!$X$70,Shoulder!$X$70),1)="(",CHOOSE(MATCH('Dash Feed'!$B$10,Lists!$A$3:$A$7,0),Hip!$X$71,Hamstring!$X$71,Knee!$X$71,'Ankle-Foot'!$X$71,Shoulder!$X$71)="Score")," ",CHOOSE(MATCH('Dash Feed'!$B$10,Lists!$A$3:$A$7,0),Hip!$X$70,Hamstring!$X$70,Knee!$X$70,'Ankle-Foot'!$X$70,Shoulder!$X$70))</f>
        <v> </v>
      </c>
    </row>
    <row r="35" customFormat="false" ht="15" hidden="false" customHeight="false" outlineLevel="0" collapsed="false">
      <c r="A35" s="102" t="n">
        <f aca="false">IF(CHOOSE(MATCH('Dash Feed'!$B$10,Lists!$A$3:$A$7,0),Hip!$B$72,Hamstring!$B$72,Knee!$B$72,'Ankle-Foot'!$B$72,Shoulder!$B$72)="","",CHOOSE(MATCH('Dash Feed'!$B$10,Lists!$A$3:$A$7,0),Hip!$B$72,Hamstring!$B$72,Knee!$B$72,'Ankle-Foot'!$B$72,Shoulder!$B$72))</f>
        <v>10</v>
      </c>
      <c r="B35" s="105" t="e">
        <f aca="false">IF(ISNUMBER(CHOOSE(MATCH('Dash Feed'!$B$10,Lists!$A$3:$A$7,0),Hip!$E$72,Hamstring!$E$72,Knee!$E$72,'Ankle-Foot'!$E$72,Shoulder!$E$72)),CHOOSE(MATCH('Dash Feed'!$B$10,Lists!$A$3:$A$7,0),Hip!$E$72,Hamstring!$E$72,Knee!$E$72,'Ankle-Foot'!$E$72,Shoulder!$E$72),NA())</f>
        <v>#N/A</v>
      </c>
      <c r="C35" s="105" t="n">
        <f aca="false">IF(ISNUMBER(CHOOSE(MATCH('Dash Feed'!$B$10,Lists!$A$3:$A$7,0),Hip!$H$72,Hamstring!$H$72,Knee!$H$72,'Ankle-Foot'!$H$72,Shoulder!$H$72)),CHOOSE(MATCH('Dash Feed'!$B$10,Lists!$A$3:$A$7,0),Hip!$H$72,Hamstring!$H$72,Knee!$H$72,'Ankle-Foot'!$H$72,Shoulder!$H$72),NA())</f>
        <v>0.747368421052632</v>
      </c>
      <c r="D35" s="105" t="n">
        <f aca="false">IF(ISNUMBER(CHOOSE(MATCH('Dash Feed'!$B$10,Lists!$A$3:$A$7,0),Hip!$K$72,Hamstring!$K$72,Knee!$K$72,'Ankle-Foot'!$K$72,Shoulder!$K$72)),CHOOSE(MATCH('Dash Feed'!$B$10,Lists!$A$3:$A$7,0),Hip!$K$72,Hamstring!$K$72,Knee!$K$72,'Ankle-Foot'!$K$72,Shoulder!$K$72),NA())</f>
        <v>0.8</v>
      </c>
      <c r="E35" s="105" t="e">
        <f aca="false">IF(ISNUMBER(CHOOSE(MATCH('Dash Feed'!$B$10,Lists!$A$3:$A$7,0),Hip!$N$72,Hamstring!$N$72,Knee!$N$72,'Ankle-Foot'!$N$72,Shoulder!$N$72)),CHOOSE(MATCH('Dash Feed'!$B$10,Lists!$A$3:$A$7,0),Hip!$N$72,Hamstring!$N$72,Knee!$N$72,'Ankle-Foot'!$N$72,Shoulder!$N$72),NA())</f>
        <v>#N/A</v>
      </c>
      <c r="F35" s="105" t="e">
        <f aca="false">IF(ISNUMBER(CHOOSE(MATCH('Dash Feed'!$B$10,Lists!$A$3:$A$7,0),Hip!$Q$72,Hamstring!$Q$72,Knee!$Q$72,'Ankle-Foot'!$Q$72,Shoulder!$Q$72)),CHOOSE(MATCH('Dash Feed'!$B$10,Lists!$A$3:$A$7,0),Hip!$Q$72,Hamstring!$Q$72,Knee!$Q$72,'Ankle-Foot'!$Q$72,Shoulder!$Q$72),NA())</f>
        <v>#N/A</v>
      </c>
      <c r="G35" s="105" t="e">
        <f aca="false">IF(ISNUMBER(CHOOSE(MATCH('Dash Feed'!$B$10,Lists!$A$3:$A$7,0),Hip!$T$72,Hamstring!$T$72,Knee!$T$72,'Ankle-Foot'!$T$72,Shoulder!$T$72)),CHOOSE(MATCH('Dash Feed'!$B$10,Lists!$A$3:$A$7,0),Hip!$T$72,Hamstring!$T$72,Knee!$T$72,'Ankle-Foot'!$T$72,Shoulder!$T$72),NA())</f>
        <v>#N/A</v>
      </c>
      <c r="H35" s="105" t="e">
        <f aca="false">IF(ISNUMBER(CHOOSE(MATCH('Dash Feed'!$B$10,Lists!$A$3:$A$7,0),Hip!$W$72,Hamstring!$W$72,Knee!$W$72,'Ankle-Foot'!$W$72,Shoulder!$W$72)),CHOOSE(MATCH('Dash Feed'!$B$10,Lists!$A$3:$A$7,0),Hip!$W$72,Hamstring!$W$72,Knee!$W$72,'Ankle-Foot'!$W$72,Shoulder!$W$72),NA())</f>
        <v>#N/A</v>
      </c>
      <c r="I35" s="105" t="e">
        <f aca="false">IF(ISNUMBER(CHOOSE(MATCH('Dash Feed'!$B$10,Lists!$A$3:$A$7,0),Hip!$Z$72,Hamstring!$Z$72,Knee!$Z$72,'Ankle-Foot'!$Z$72,Shoulder!$Z$72)),CHOOSE(MATCH('Dash Feed'!$B$10,Lists!$A$3:$A$7,0),Hip!$Z$72,Hamstring!$Z$72,Knee!$Z$72,'Ankle-Foot'!$Z$72,Shoulder!$Z$72),NA())</f>
        <v>#N/A</v>
      </c>
    </row>
    <row r="36" customFormat="false" ht="15" hidden="false" customHeight="false" outlineLevel="0" collapsed="false">
      <c r="A36" s="102" t="str">
        <f aca="false">IF(CHOOSE(MATCH('Dash Feed'!$B$10,Lists!$A$3:$A$7,0),Hip!$B$73,Hamstring!$B$73,Knee!$B$73,'Ankle-Foot'!$B$73,Shoulder!$B$73)="","",CHOOSE(MATCH('Dash Feed'!$B$10,Lists!$A$3:$A$7,0),Hip!$B$73,Hamstring!$B$73,Knee!$B$73,'Ankle-Foot'!$B$73,Shoulder!$B$73))</f>
        <v/>
      </c>
      <c r="B36" s="105" t="e">
        <f aca="false">IF(ISNUMBER(CHOOSE(MATCH('Dash Feed'!$B$10,Lists!$A$3:$A$7,0),Hip!$E$73,Hamstring!$E$73,Knee!$E$73,'Ankle-Foot'!$E$73,Shoulder!$E$73)),CHOOSE(MATCH('Dash Feed'!$B$10,Lists!$A$3:$A$7,0),Hip!$E$73,Hamstring!$E$73,Knee!$E$73,'Ankle-Foot'!$E$73,Shoulder!$E$73),NA())</f>
        <v>#N/A</v>
      </c>
      <c r="C36" s="105" t="e">
        <f aca="false">IF(ISNUMBER(CHOOSE(MATCH('Dash Feed'!$B$10,Lists!$A$3:$A$7,0),Hip!$H$73,Hamstring!$H$73,Knee!$H$73,'Ankle-Foot'!$H$73,Shoulder!$H$73)),CHOOSE(MATCH('Dash Feed'!$B$10,Lists!$A$3:$A$7,0),Hip!$H$73,Hamstring!$H$73,Knee!$H$73,'Ankle-Foot'!$H$73,Shoulder!$H$73),NA())</f>
        <v>#N/A</v>
      </c>
      <c r="D36" s="105" t="e">
        <f aca="false">IF(ISNUMBER(CHOOSE(MATCH('Dash Feed'!$B$10,Lists!$A$3:$A$7,0),Hip!$K$73,Hamstring!$K$73,Knee!$K$73,'Ankle-Foot'!$K$73,Shoulder!$K$73)),CHOOSE(MATCH('Dash Feed'!$B$10,Lists!$A$3:$A$7,0),Hip!$K$73,Hamstring!$K$73,Knee!$K$73,'Ankle-Foot'!$K$73,Shoulder!$K$73),NA())</f>
        <v>#N/A</v>
      </c>
      <c r="E36" s="105" t="e">
        <f aca="false">IF(ISNUMBER(CHOOSE(MATCH('Dash Feed'!$B$10,Lists!$A$3:$A$7,0),Hip!$N$73,Hamstring!$N$73,Knee!$N$73,'Ankle-Foot'!$N$73,Shoulder!$N$73)),CHOOSE(MATCH('Dash Feed'!$B$10,Lists!$A$3:$A$7,0),Hip!$N$73,Hamstring!$N$73,Knee!$N$73,'Ankle-Foot'!$N$73,Shoulder!$N$73),NA())</f>
        <v>#N/A</v>
      </c>
      <c r="F36" s="105" t="e">
        <f aca="false">IF(ISNUMBER(CHOOSE(MATCH('Dash Feed'!$B$10,Lists!$A$3:$A$7,0),Hip!$Q$73,Hamstring!$Q$73,Knee!$Q$73,'Ankle-Foot'!$Q$73,Shoulder!$Q$73)),CHOOSE(MATCH('Dash Feed'!$B$10,Lists!$A$3:$A$7,0),Hip!$Q$73,Hamstring!$Q$73,Knee!$Q$73,'Ankle-Foot'!$Q$73,Shoulder!$Q$73),NA())</f>
        <v>#N/A</v>
      </c>
      <c r="G36" s="105" t="e">
        <f aca="false">IF(ISNUMBER(CHOOSE(MATCH('Dash Feed'!$B$10,Lists!$A$3:$A$7,0),Hip!$T$73,Hamstring!$T$73,Knee!$T$73,'Ankle-Foot'!$T$73,Shoulder!$T$73)),CHOOSE(MATCH('Dash Feed'!$B$10,Lists!$A$3:$A$7,0),Hip!$T$73,Hamstring!$T$73,Knee!$T$73,'Ankle-Foot'!$T$73,Shoulder!$T$73),NA())</f>
        <v>#N/A</v>
      </c>
      <c r="H36" s="105" t="e">
        <f aca="false">IF(ISNUMBER(CHOOSE(MATCH('Dash Feed'!$B$10,Lists!$A$3:$A$7,0),Hip!$W$73,Hamstring!$W$73,Knee!$W$73,'Ankle-Foot'!$W$73,Shoulder!$W$73)),CHOOSE(MATCH('Dash Feed'!$B$10,Lists!$A$3:$A$7,0),Hip!$W$73,Hamstring!$W$73,Knee!$W$73,'Ankle-Foot'!$W$73,Shoulder!$W$73),NA())</f>
        <v>#N/A</v>
      </c>
      <c r="I36" s="105" t="e">
        <f aca="false">IF(ISNUMBER(CHOOSE(MATCH('Dash Feed'!$B$10,Lists!$A$3:$A$7,0),Hip!$Z$73,Hamstring!$Z$73,Knee!$Z$73,'Ankle-Foot'!$Z$73,Shoulder!$Z$73)),CHOOSE(MATCH('Dash Feed'!$B$10,Lists!$A$3:$A$7,0),Hip!$Z$73,Hamstring!$Z$73,Knee!$Z$73,'Ankle-Foot'!$Z$73,Shoulder!$Z$73),NA())</f>
        <v>#N/A</v>
      </c>
    </row>
    <row r="37" customFormat="false" ht="15" hidden="false" customHeight="false" outlineLevel="0" collapsed="false">
      <c r="A37" s="102" t="str">
        <f aca="false">IF(CHOOSE(MATCH('Dash Feed'!$B$10,Lists!$A$3:$A$7,0),Hip!$B$74,Hamstring!$B$74,Knee!$B$74,'Ankle-Foot'!$B$74,Shoulder!$B$74)="","",CHOOSE(MATCH('Dash Feed'!$B$10,Lists!$A$3:$A$7,0),Hip!$B$74,Hamstring!$B$74,Knee!$B$74,'Ankle-Foot'!$B$74,Shoulder!$B$74))</f>
        <v/>
      </c>
      <c r="B37" s="105" t="e">
        <f aca="false">IF(ISNUMBER(CHOOSE(MATCH('Dash Feed'!$B$10,Lists!$A$3:$A$7,0),Hip!$E$74,Hamstring!$E$74,Knee!$E$74,'Ankle-Foot'!$E$74,Shoulder!$E$74)),CHOOSE(MATCH('Dash Feed'!$B$10,Lists!$A$3:$A$7,0),Hip!$E$74,Hamstring!$E$74,Knee!$E$74,'Ankle-Foot'!$E$74,Shoulder!$E$74),NA())</f>
        <v>#N/A</v>
      </c>
      <c r="C37" s="105" t="e">
        <f aca="false">IF(ISNUMBER(CHOOSE(MATCH('Dash Feed'!$B$10,Lists!$A$3:$A$7,0),Hip!$H$74,Hamstring!$H$74,Knee!$H$74,'Ankle-Foot'!$H$74,Shoulder!$H$74)),CHOOSE(MATCH('Dash Feed'!$B$10,Lists!$A$3:$A$7,0),Hip!$H$74,Hamstring!$H$74,Knee!$H$74,'Ankle-Foot'!$H$74,Shoulder!$H$74),NA())</f>
        <v>#N/A</v>
      </c>
      <c r="D37" s="105" t="e">
        <f aca="false">IF(ISNUMBER(CHOOSE(MATCH('Dash Feed'!$B$10,Lists!$A$3:$A$7,0),Hip!$K$74,Hamstring!$K$74,Knee!$K$74,'Ankle-Foot'!$K$74,Shoulder!$K$74)),CHOOSE(MATCH('Dash Feed'!$B$10,Lists!$A$3:$A$7,0),Hip!$K$74,Hamstring!$K$74,Knee!$K$74,'Ankle-Foot'!$K$74,Shoulder!$K$74),NA())</f>
        <v>#N/A</v>
      </c>
      <c r="E37" s="105" t="e">
        <f aca="false">IF(ISNUMBER(CHOOSE(MATCH('Dash Feed'!$B$10,Lists!$A$3:$A$7,0),Hip!$N$74,Hamstring!$N$74,Knee!$N$74,'Ankle-Foot'!$N$74,Shoulder!$N$74)),CHOOSE(MATCH('Dash Feed'!$B$10,Lists!$A$3:$A$7,0),Hip!$N$74,Hamstring!$N$74,Knee!$N$74,'Ankle-Foot'!$N$74,Shoulder!$N$74),NA())</f>
        <v>#N/A</v>
      </c>
      <c r="F37" s="105" t="e">
        <f aca="false">IF(ISNUMBER(CHOOSE(MATCH('Dash Feed'!$B$10,Lists!$A$3:$A$7,0),Hip!$Q$74,Hamstring!$Q$74,Knee!$Q$74,'Ankle-Foot'!$Q$74,Shoulder!$Q$74)),CHOOSE(MATCH('Dash Feed'!$B$10,Lists!$A$3:$A$7,0),Hip!$Q$74,Hamstring!$Q$74,Knee!$Q$74,'Ankle-Foot'!$Q$74,Shoulder!$Q$74),NA())</f>
        <v>#N/A</v>
      </c>
      <c r="G37" s="105" t="e">
        <f aca="false">IF(ISNUMBER(CHOOSE(MATCH('Dash Feed'!$B$10,Lists!$A$3:$A$7,0),Hip!$T$74,Hamstring!$T$74,Knee!$T$74,'Ankle-Foot'!$T$74,Shoulder!$T$74)),CHOOSE(MATCH('Dash Feed'!$B$10,Lists!$A$3:$A$7,0),Hip!$T$74,Hamstring!$T$74,Knee!$T$74,'Ankle-Foot'!$T$74,Shoulder!$T$74),NA())</f>
        <v>#N/A</v>
      </c>
      <c r="H37" s="105" t="e">
        <f aca="false">IF(ISNUMBER(CHOOSE(MATCH('Dash Feed'!$B$10,Lists!$A$3:$A$7,0),Hip!$W$74,Hamstring!$W$74,Knee!$W$74,'Ankle-Foot'!$W$74,Shoulder!$W$74)),CHOOSE(MATCH('Dash Feed'!$B$10,Lists!$A$3:$A$7,0),Hip!$W$74,Hamstring!$W$74,Knee!$W$74,'Ankle-Foot'!$W$74,Shoulder!$W$74),NA())</f>
        <v>#N/A</v>
      </c>
      <c r="I37" s="105" t="e">
        <f aca="false">IF(ISNUMBER(CHOOSE(MATCH('Dash Feed'!$B$10,Lists!$A$3:$A$7,0),Hip!$Z$74,Hamstring!$Z$74,Knee!$Z$74,'Ankle-Foot'!$Z$74,Shoulder!$Z$74)),CHOOSE(MATCH('Dash Feed'!$B$10,Lists!$A$3:$A$7,0),Hip!$Z$74,Hamstring!$Z$74,Knee!$Z$74,'Ankle-Foot'!$Z$74,Shoulder!$Z$74),NA())</f>
        <v>#N/A</v>
      </c>
    </row>
    <row r="38" customFormat="false" ht="15" hidden="false" customHeight="false" outlineLevel="0" collapsed="false">
      <c r="A38" s="102" t="str">
        <f aca="false">IF(CHOOSE(MATCH('Dash Feed'!$B$10,Lists!$A$3:$A$7,0),Hip!$B$75,Hamstring!$B$75,Knee!$B$75,'Ankle-Foot'!$B$75,Shoulder!$B$75)="","",CHOOSE(MATCH('Dash Feed'!$B$10,Lists!$A$3:$A$7,0),Hip!$B$75,Hamstring!$B$75,Knee!$B$75,'Ankle-Foot'!$B$75,Shoulder!$B$75))</f>
        <v/>
      </c>
      <c r="B38" s="105" t="e">
        <f aca="false">IF(ISNUMBER(CHOOSE(MATCH('Dash Feed'!$B$10,Lists!$A$3:$A$7,0),Hip!$E$75,Hamstring!$E$75,Knee!$E$75,'Ankle-Foot'!$E$75,Shoulder!$E$75)),CHOOSE(MATCH('Dash Feed'!$B$10,Lists!$A$3:$A$7,0),Hip!$E$75,Hamstring!$E$75,Knee!$E$75,'Ankle-Foot'!$E$75,Shoulder!$E$75),NA())</f>
        <v>#N/A</v>
      </c>
      <c r="C38" s="105" t="e">
        <f aca="false">IF(ISNUMBER(CHOOSE(MATCH('Dash Feed'!$B$10,Lists!$A$3:$A$7,0),Hip!$H$75,Hamstring!$H$75,Knee!$H$75,'Ankle-Foot'!$H$75,Shoulder!$H$75)),CHOOSE(MATCH('Dash Feed'!$B$10,Lists!$A$3:$A$7,0),Hip!$H$75,Hamstring!$H$75,Knee!$H$75,'Ankle-Foot'!$H$75,Shoulder!$H$75),NA())</f>
        <v>#N/A</v>
      </c>
      <c r="D38" s="105" t="e">
        <f aca="false">IF(ISNUMBER(CHOOSE(MATCH('Dash Feed'!$B$10,Lists!$A$3:$A$7,0),Hip!$K$75,Hamstring!$K$75,Knee!$K$75,'Ankle-Foot'!$K$75,Shoulder!$K$75)),CHOOSE(MATCH('Dash Feed'!$B$10,Lists!$A$3:$A$7,0),Hip!$K$75,Hamstring!$K$75,Knee!$K$75,'Ankle-Foot'!$K$75,Shoulder!$K$75),NA())</f>
        <v>#N/A</v>
      </c>
      <c r="E38" s="105" t="e">
        <f aca="false">IF(ISNUMBER(CHOOSE(MATCH('Dash Feed'!$B$10,Lists!$A$3:$A$7,0),Hip!$N$75,Hamstring!$N$75,Knee!$N$75,'Ankle-Foot'!$N$75,Shoulder!$N$75)),CHOOSE(MATCH('Dash Feed'!$B$10,Lists!$A$3:$A$7,0),Hip!$N$75,Hamstring!$N$75,Knee!$N$75,'Ankle-Foot'!$N$75,Shoulder!$N$75),NA())</f>
        <v>#N/A</v>
      </c>
      <c r="F38" s="105" t="e">
        <f aca="false">IF(ISNUMBER(CHOOSE(MATCH('Dash Feed'!$B$10,Lists!$A$3:$A$7,0),Hip!$Q$75,Hamstring!$Q$75,Knee!$Q$75,'Ankle-Foot'!$Q$75,Shoulder!$Q$75)),CHOOSE(MATCH('Dash Feed'!$B$10,Lists!$A$3:$A$7,0),Hip!$Q$75,Hamstring!$Q$75,Knee!$Q$75,'Ankle-Foot'!$Q$75,Shoulder!$Q$75),NA())</f>
        <v>#N/A</v>
      </c>
      <c r="G38" s="105" t="e">
        <f aca="false">IF(ISNUMBER(CHOOSE(MATCH('Dash Feed'!$B$10,Lists!$A$3:$A$7,0),Hip!$T$75,Hamstring!$T$75,Knee!$T$75,'Ankle-Foot'!$T$75,Shoulder!$T$75)),CHOOSE(MATCH('Dash Feed'!$B$10,Lists!$A$3:$A$7,0),Hip!$T$75,Hamstring!$T$75,Knee!$T$75,'Ankle-Foot'!$T$75,Shoulder!$T$75),NA())</f>
        <v>#N/A</v>
      </c>
      <c r="H38" s="105" t="e">
        <f aca="false">IF(ISNUMBER(CHOOSE(MATCH('Dash Feed'!$B$10,Lists!$A$3:$A$7,0),Hip!$W$75,Hamstring!$W$75,Knee!$W$75,'Ankle-Foot'!$W$75,Shoulder!$W$75)),CHOOSE(MATCH('Dash Feed'!$B$10,Lists!$A$3:$A$7,0),Hip!$W$75,Hamstring!$W$75,Knee!$W$75,'Ankle-Foot'!$W$75,Shoulder!$W$75),NA())</f>
        <v>#N/A</v>
      </c>
      <c r="I38" s="105" t="e">
        <f aca="false">IF(ISNUMBER(CHOOSE(MATCH('Dash Feed'!$B$10,Lists!$A$3:$A$7,0),Hip!$Z$75,Hamstring!$Z$75,Knee!$Z$75,'Ankle-Foot'!$Z$75,Shoulder!$Z$75)),CHOOSE(MATCH('Dash Feed'!$B$10,Lists!$A$3:$A$7,0),Hip!$Z$75,Hamstring!$Z$75,Knee!$Z$75,'Ankle-Foot'!$Z$75,Shoulder!$Z$75),NA())</f>
        <v>#N/A</v>
      </c>
    </row>
    <row r="39" customFormat="false" ht="15" hidden="false" customHeight="false" outlineLevel="0" collapsed="false">
      <c r="A39" s="102" t="str">
        <f aca="false">IF(CHOOSE(MATCH('Dash Feed'!$B$10,Lists!$A$3:$A$7,0),Hip!$B$76,Hamstring!$B$76,Knee!$B$76,'Ankle-Foot'!$B$76,Shoulder!$B$76)="","",CHOOSE(MATCH('Dash Feed'!$B$10,Lists!$A$3:$A$7,0),Hip!$B$76,Hamstring!$B$76,Knee!$B$76,'Ankle-Foot'!$B$76,Shoulder!$B$76))</f>
        <v/>
      </c>
      <c r="B39" s="105" t="e">
        <f aca="false">IF(ISNUMBER(CHOOSE(MATCH('Dash Feed'!$B$10,Lists!$A$3:$A$7,0),Hip!$E$76,Hamstring!$E$76,Knee!$E$76,'Ankle-Foot'!$E$76,Shoulder!$E$76)),CHOOSE(MATCH('Dash Feed'!$B$10,Lists!$A$3:$A$7,0),Hip!$E$76,Hamstring!$E$76,Knee!$E$76,'Ankle-Foot'!$E$76,Shoulder!$E$76),NA())</f>
        <v>#N/A</v>
      </c>
      <c r="C39" s="105" t="e">
        <f aca="false">IF(ISNUMBER(CHOOSE(MATCH('Dash Feed'!$B$10,Lists!$A$3:$A$7,0),Hip!$H$76,Hamstring!$H$76,Knee!$H$76,'Ankle-Foot'!$H$76,Shoulder!$H$76)),CHOOSE(MATCH('Dash Feed'!$B$10,Lists!$A$3:$A$7,0),Hip!$H$76,Hamstring!$H$76,Knee!$H$76,'Ankle-Foot'!$H$76,Shoulder!$H$76),NA())</f>
        <v>#N/A</v>
      </c>
      <c r="D39" s="105" t="e">
        <f aca="false">IF(ISNUMBER(CHOOSE(MATCH('Dash Feed'!$B$10,Lists!$A$3:$A$7,0),Hip!$K$76,Hamstring!$K$76,Knee!$K$76,'Ankle-Foot'!$K$76,Shoulder!$K$76)),CHOOSE(MATCH('Dash Feed'!$B$10,Lists!$A$3:$A$7,0),Hip!$K$76,Hamstring!$K$76,Knee!$K$76,'Ankle-Foot'!$K$76,Shoulder!$K$76),NA())</f>
        <v>#N/A</v>
      </c>
      <c r="E39" s="105" t="e">
        <f aca="false">IF(ISNUMBER(CHOOSE(MATCH('Dash Feed'!$B$10,Lists!$A$3:$A$7,0),Hip!$N$76,Hamstring!$N$76,Knee!$N$76,'Ankle-Foot'!$N$76,Shoulder!$N$76)),CHOOSE(MATCH('Dash Feed'!$B$10,Lists!$A$3:$A$7,0),Hip!$N$76,Hamstring!$N$76,Knee!$N$76,'Ankle-Foot'!$N$76,Shoulder!$N$76),NA())</f>
        <v>#N/A</v>
      </c>
      <c r="F39" s="105" t="e">
        <f aca="false">IF(ISNUMBER(CHOOSE(MATCH('Dash Feed'!$B$10,Lists!$A$3:$A$7,0),Hip!$Q$76,Hamstring!$Q$76,Knee!$Q$76,'Ankle-Foot'!$Q$76,Shoulder!$Q$76)),CHOOSE(MATCH('Dash Feed'!$B$10,Lists!$A$3:$A$7,0),Hip!$Q$76,Hamstring!$Q$76,Knee!$Q$76,'Ankle-Foot'!$Q$76,Shoulder!$Q$76),NA())</f>
        <v>#N/A</v>
      </c>
      <c r="G39" s="105" t="e">
        <f aca="false">IF(ISNUMBER(CHOOSE(MATCH('Dash Feed'!$B$10,Lists!$A$3:$A$7,0),Hip!$T$76,Hamstring!$T$76,Knee!$T$76,'Ankle-Foot'!$T$76,Shoulder!$T$76)),CHOOSE(MATCH('Dash Feed'!$B$10,Lists!$A$3:$A$7,0),Hip!$T$76,Hamstring!$T$76,Knee!$T$76,'Ankle-Foot'!$T$76,Shoulder!$T$76),NA())</f>
        <v>#N/A</v>
      </c>
      <c r="H39" s="105" t="e">
        <f aca="false">IF(ISNUMBER(CHOOSE(MATCH('Dash Feed'!$B$10,Lists!$A$3:$A$7,0),Hip!$W$76,Hamstring!$W$76,Knee!$W$76,'Ankle-Foot'!$W$76,Shoulder!$W$76)),CHOOSE(MATCH('Dash Feed'!$B$10,Lists!$A$3:$A$7,0),Hip!$W$76,Hamstring!$W$76,Knee!$W$76,'Ankle-Foot'!$W$76,Shoulder!$W$76),NA())</f>
        <v>#N/A</v>
      </c>
      <c r="I39" s="105" t="e">
        <f aca="false">IF(ISNUMBER(CHOOSE(MATCH('Dash Feed'!$B$10,Lists!$A$3:$A$7,0),Hip!$Z$76,Hamstring!$Z$76,Knee!$Z$76,'Ankle-Foot'!$Z$76,Shoulder!$Z$76)),CHOOSE(MATCH('Dash Feed'!$B$10,Lists!$A$3:$A$7,0),Hip!$Z$76,Hamstring!$Z$76,Knee!$Z$76,'Ankle-Foot'!$Z$76,Shoulder!$Z$76),NA())</f>
        <v>#N/A</v>
      </c>
    </row>
    <row r="40" customFormat="false" ht="15" hidden="false" customHeight="false" outlineLevel="0" collapsed="false">
      <c r="A40" s="102" t="str">
        <f aca="false">IF(CHOOSE(MATCH('Dash Feed'!$B$10,Lists!$A$3:$A$7,0),Hip!$B$77,Hamstring!$B$77,Knee!$B$77,'Ankle-Foot'!$B$77,Shoulder!$B$77)="","",CHOOSE(MATCH('Dash Feed'!$B$10,Lists!$A$3:$A$7,0),Hip!$B$77,Hamstring!$B$77,Knee!$B$77,'Ankle-Foot'!$B$77,Shoulder!$B$77))</f>
        <v/>
      </c>
      <c r="B40" s="105" t="e">
        <f aca="false">IF(ISNUMBER(CHOOSE(MATCH('Dash Feed'!$B$10,Lists!$A$3:$A$7,0),Hip!$E$77,Hamstring!$E$77,Knee!$E$77,'Ankle-Foot'!$E$77,Shoulder!$E$77)),CHOOSE(MATCH('Dash Feed'!$B$10,Lists!$A$3:$A$7,0),Hip!$E$77,Hamstring!$E$77,Knee!$E$77,'Ankle-Foot'!$E$77,Shoulder!$E$77),NA())</f>
        <v>#N/A</v>
      </c>
      <c r="C40" s="105" t="e">
        <f aca="false">IF(ISNUMBER(CHOOSE(MATCH('Dash Feed'!$B$10,Lists!$A$3:$A$7,0),Hip!$H$77,Hamstring!$H$77,Knee!$H$77,'Ankle-Foot'!$H$77,Shoulder!$H$77)),CHOOSE(MATCH('Dash Feed'!$B$10,Lists!$A$3:$A$7,0),Hip!$H$77,Hamstring!$H$77,Knee!$H$77,'Ankle-Foot'!$H$77,Shoulder!$H$77),NA())</f>
        <v>#N/A</v>
      </c>
      <c r="D40" s="105" t="e">
        <f aca="false">IF(ISNUMBER(CHOOSE(MATCH('Dash Feed'!$B$10,Lists!$A$3:$A$7,0),Hip!$K$77,Hamstring!$K$77,Knee!$K$77,'Ankle-Foot'!$K$77,Shoulder!$K$77)),CHOOSE(MATCH('Dash Feed'!$B$10,Lists!$A$3:$A$7,0),Hip!$K$77,Hamstring!$K$77,Knee!$K$77,'Ankle-Foot'!$K$77,Shoulder!$K$77),NA())</f>
        <v>#N/A</v>
      </c>
      <c r="E40" s="105" t="e">
        <f aca="false">IF(ISNUMBER(CHOOSE(MATCH('Dash Feed'!$B$10,Lists!$A$3:$A$7,0),Hip!$N$77,Hamstring!$N$77,Knee!$N$77,'Ankle-Foot'!$N$77,Shoulder!$N$77)),CHOOSE(MATCH('Dash Feed'!$B$10,Lists!$A$3:$A$7,0),Hip!$N$77,Hamstring!$N$77,Knee!$N$77,'Ankle-Foot'!$N$77,Shoulder!$N$77),NA())</f>
        <v>#N/A</v>
      </c>
      <c r="F40" s="105" t="e">
        <f aca="false">IF(ISNUMBER(CHOOSE(MATCH('Dash Feed'!$B$10,Lists!$A$3:$A$7,0),Hip!$Q$77,Hamstring!$Q$77,Knee!$Q$77,'Ankle-Foot'!$Q$77,Shoulder!$Q$77)),CHOOSE(MATCH('Dash Feed'!$B$10,Lists!$A$3:$A$7,0),Hip!$Q$77,Hamstring!$Q$77,Knee!$Q$77,'Ankle-Foot'!$Q$77,Shoulder!$Q$77),NA())</f>
        <v>#N/A</v>
      </c>
      <c r="G40" s="105" t="e">
        <f aca="false">IF(ISNUMBER(CHOOSE(MATCH('Dash Feed'!$B$10,Lists!$A$3:$A$7,0),Hip!$T$77,Hamstring!$T$77,Knee!$T$77,'Ankle-Foot'!$T$77,Shoulder!$T$77)),CHOOSE(MATCH('Dash Feed'!$B$10,Lists!$A$3:$A$7,0),Hip!$T$77,Hamstring!$T$77,Knee!$T$77,'Ankle-Foot'!$T$77,Shoulder!$T$77),NA())</f>
        <v>#N/A</v>
      </c>
      <c r="H40" s="105" t="e">
        <f aca="false">IF(ISNUMBER(CHOOSE(MATCH('Dash Feed'!$B$10,Lists!$A$3:$A$7,0),Hip!$W$77,Hamstring!$W$77,Knee!$W$77,'Ankle-Foot'!$W$77,Shoulder!$W$77)),CHOOSE(MATCH('Dash Feed'!$B$10,Lists!$A$3:$A$7,0),Hip!$W$77,Hamstring!$W$77,Knee!$W$77,'Ankle-Foot'!$W$77,Shoulder!$W$77),NA())</f>
        <v>#N/A</v>
      </c>
      <c r="I40" s="105" t="e">
        <f aca="false">IF(ISNUMBER(CHOOSE(MATCH('Dash Feed'!$B$10,Lists!$A$3:$A$7,0),Hip!$Z$77,Hamstring!$Z$77,Knee!$Z$77,'Ankle-Foot'!$Z$77,Shoulder!$Z$77)),CHOOSE(MATCH('Dash Feed'!$B$10,Lists!$A$3:$A$7,0),Hip!$Z$77,Hamstring!$Z$77,Knee!$Z$77,'Ankle-Foot'!$Z$77,Shoulder!$Z$77),NA())</f>
        <v>#N/A</v>
      </c>
    </row>
    <row r="41" customFormat="false" ht="15" hidden="false" customHeight="false" outlineLevel="0" collapsed="false">
      <c r="A41" s="102" t="str">
        <f aca="false">IF(CHOOSE(MATCH('Dash Feed'!$B$10,Lists!$A$3:$A$7,0),Hip!$B$78,Hamstring!$B$78,Knee!$B$78,'Ankle-Foot'!$B$78,Shoulder!$B$78)="","",CHOOSE(MATCH('Dash Feed'!$B$10,Lists!$A$3:$A$7,0),Hip!$B$78,Hamstring!$B$78,Knee!$B$78,'Ankle-Foot'!$B$78,Shoulder!$B$78))</f>
        <v/>
      </c>
      <c r="B41" s="105" t="e">
        <f aca="false">IF(ISNUMBER(CHOOSE(MATCH('Dash Feed'!$B$10,Lists!$A$3:$A$7,0),Hip!$E$78,Hamstring!$E$78,Knee!$E$78,'Ankle-Foot'!$E$78,Shoulder!$E$78)),CHOOSE(MATCH('Dash Feed'!$B$10,Lists!$A$3:$A$7,0),Hip!$E$78,Hamstring!$E$78,Knee!$E$78,'Ankle-Foot'!$E$78,Shoulder!$E$78),NA())</f>
        <v>#N/A</v>
      </c>
      <c r="C41" s="105" t="e">
        <f aca="false">IF(ISNUMBER(CHOOSE(MATCH('Dash Feed'!$B$10,Lists!$A$3:$A$7,0),Hip!$H$78,Hamstring!$H$78,Knee!$H$78,'Ankle-Foot'!$H$78,Shoulder!$H$78)),CHOOSE(MATCH('Dash Feed'!$B$10,Lists!$A$3:$A$7,0),Hip!$H$78,Hamstring!$H$78,Knee!$H$78,'Ankle-Foot'!$H$78,Shoulder!$H$78),NA())</f>
        <v>#N/A</v>
      </c>
      <c r="D41" s="105" t="e">
        <f aca="false">IF(ISNUMBER(CHOOSE(MATCH('Dash Feed'!$B$10,Lists!$A$3:$A$7,0),Hip!$K$78,Hamstring!$K$78,Knee!$K$78,'Ankle-Foot'!$K$78,Shoulder!$K$78)),CHOOSE(MATCH('Dash Feed'!$B$10,Lists!$A$3:$A$7,0),Hip!$K$78,Hamstring!$K$78,Knee!$K$78,'Ankle-Foot'!$K$78,Shoulder!$K$78),NA())</f>
        <v>#N/A</v>
      </c>
      <c r="E41" s="105" t="e">
        <f aca="false">IF(ISNUMBER(CHOOSE(MATCH('Dash Feed'!$B$10,Lists!$A$3:$A$7,0),Hip!$N$78,Hamstring!$N$78,Knee!$N$78,'Ankle-Foot'!$N$78,Shoulder!$N$78)),CHOOSE(MATCH('Dash Feed'!$B$10,Lists!$A$3:$A$7,0),Hip!$N$78,Hamstring!$N$78,Knee!$N$78,'Ankle-Foot'!$N$78,Shoulder!$N$78),NA())</f>
        <v>#N/A</v>
      </c>
      <c r="F41" s="105" t="e">
        <f aca="false">IF(ISNUMBER(CHOOSE(MATCH('Dash Feed'!$B$10,Lists!$A$3:$A$7,0),Hip!$Q$78,Hamstring!$Q$78,Knee!$Q$78,'Ankle-Foot'!$Q$78,Shoulder!$Q$78)),CHOOSE(MATCH('Dash Feed'!$B$10,Lists!$A$3:$A$7,0),Hip!$Q$78,Hamstring!$Q$78,Knee!$Q$78,'Ankle-Foot'!$Q$78,Shoulder!$Q$78),NA())</f>
        <v>#N/A</v>
      </c>
      <c r="G41" s="105" t="e">
        <f aca="false">IF(ISNUMBER(CHOOSE(MATCH('Dash Feed'!$B$10,Lists!$A$3:$A$7,0),Hip!$T$78,Hamstring!$T$78,Knee!$T$78,'Ankle-Foot'!$T$78,Shoulder!$T$78)),CHOOSE(MATCH('Dash Feed'!$B$10,Lists!$A$3:$A$7,0),Hip!$T$78,Hamstring!$T$78,Knee!$T$78,'Ankle-Foot'!$T$78,Shoulder!$T$78),NA())</f>
        <v>#N/A</v>
      </c>
      <c r="H41" s="105" t="e">
        <f aca="false">IF(ISNUMBER(CHOOSE(MATCH('Dash Feed'!$B$10,Lists!$A$3:$A$7,0),Hip!$W$78,Hamstring!$W$78,Knee!$W$78,'Ankle-Foot'!$W$78,Shoulder!$W$78)),CHOOSE(MATCH('Dash Feed'!$B$10,Lists!$A$3:$A$7,0),Hip!$W$78,Hamstring!$W$78,Knee!$W$78,'Ankle-Foot'!$W$78,Shoulder!$W$78),NA())</f>
        <v>#N/A</v>
      </c>
      <c r="I41" s="105" t="e">
        <f aca="false">IF(ISNUMBER(CHOOSE(MATCH('Dash Feed'!$B$10,Lists!$A$3:$A$7,0),Hip!$Z$78,Hamstring!$Z$78,Knee!$Z$78,'Ankle-Foot'!$Z$78,Shoulder!$Z$78)),CHOOSE(MATCH('Dash Feed'!$B$10,Lists!$A$3:$A$7,0),Hip!$Z$78,Hamstring!$Z$78,Knee!$Z$78,'Ankle-Foot'!$Z$78,Shoulder!$Z$78),NA())</f>
        <v>#N/A</v>
      </c>
    </row>
    <row r="42" customFormat="false" ht="15" hidden="false" customHeight="false" outlineLevel="0" collapsed="false">
      <c r="A42" s="102" t="str">
        <f aca="false">IF(CHOOSE(MATCH('Dash Feed'!$B$10,Lists!$A$3:$A$7,0),Hip!$B$79,Hamstring!$B$79,Knee!$B$79,'Ankle-Foot'!$B$79,Shoulder!$B$79)="","",CHOOSE(MATCH('Dash Feed'!$B$10,Lists!$A$3:$A$7,0),Hip!$B$79,Hamstring!$B$79,Knee!$B$79,'Ankle-Foot'!$B$79,Shoulder!$B$79))</f>
        <v/>
      </c>
      <c r="B42" s="105" t="e">
        <f aca="false">IF(ISNUMBER(CHOOSE(MATCH('Dash Feed'!$B$10,Lists!$A$3:$A$7,0),Hip!$E$79,Hamstring!$E$79,Knee!$E$79,'Ankle-Foot'!$E$79,Shoulder!$E$79)),CHOOSE(MATCH('Dash Feed'!$B$10,Lists!$A$3:$A$7,0),Hip!$E$79,Hamstring!$E$79,Knee!$E$79,'Ankle-Foot'!$E$79,Shoulder!$E$79),NA())</f>
        <v>#N/A</v>
      </c>
      <c r="C42" s="105" t="e">
        <f aca="false">IF(ISNUMBER(CHOOSE(MATCH('Dash Feed'!$B$10,Lists!$A$3:$A$7,0),Hip!$H$79,Hamstring!$H$79,Knee!$H$79,'Ankle-Foot'!$H$79,Shoulder!$H$79)),CHOOSE(MATCH('Dash Feed'!$B$10,Lists!$A$3:$A$7,0),Hip!$H$79,Hamstring!$H$79,Knee!$H$79,'Ankle-Foot'!$H$79,Shoulder!$H$79),NA())</f>
        <v>#N/A</v>
      </c>
      <c r="D42" s="105" t="e">
        <f aca="false">IF(ISNUMBER(CHOOSE(MATCH('Dash Feed'!$B$10,Lists!$A$3:$A$7,0),Hip!$K$79,Hamstring!$K$79,Knee!$K$79,'Ankle-Foot'!$K$79,Shoulder!$K$79)),CHOOSE(MATCH('Dash Feed'!$B$10,Lists!$A$3:$A$7,0),Hip!$K$79,Hamstring!$K$79,Knee!$K$79,'Ankle-Foot'!$K$79,Shoulder!$K$79),NA())</f>
        <v>#N/A</v>
      </c>
      <c r="E42" s="105" t="e">
        <f aca="false">IF(ISNUMBER(CHOOSE(MATCH('Dash Feed'!$B$10,Lists!$A$3:$A$7,0),Hip!$N$79,Hamstring!$N$79,Knee!$N$79,'Ankle-Foot'!$N$79,Shoulder!$N$79)),CHOOSE(MATCH('Dash Feed'!$B$10,Lists!$A$3:$A$7,0),Hip!$N$79,Hamstring!$N$79,Knee!$N$79,'Ankle-Foot'!$N$79,Shoulder!$N$79),NA())</f>
        <v>#N/A</v>
      </c>
      <c r="F42" s="105" t="e">
        <f aca="false">IF(ISNUMBER(CHOOSE(MATCH('Dash Feed'!$B$10,Lists!$A$3:$A$7,0),Hip!$Q$79,Hamstring!$Q$79,Knee!$Q$79,'Ankle-Foot'!$Q$79,Shoulder!$Q$79)),CHOOSE(MATCH('Dash Feed'!$B$10,Lists!$A$3:$A$7,0),Hip!$Q$79,Hamstring!$Q$79,Knee!$Q$79,'Ankle-Foot'!$Q$79,Shoulder!$Q$79),NA())</f>
        <v>#N/A</v>
      </c>
      <c r="G42" s="105" t="e">
        <f aca="false">IF(ISNUMBER(CHOOSE(MATCH('Dash Feed'!$B$10,Lists!$A$3:$A$7,0),Hip!$T$79,Hamstring!$T$79,Knee!$T$79,'Ankle-Foot'!$T$79,Shoulder!$T$79)),CHOOSE(MATCH('Dash Feed'!$B$10,Lists!$A$3:$A$7,0),Hip!$T$79,Hamstring!$T$79,Knee!$T$79,'Ankle-Foot'!$T$79,Shoulder!$T$79),NA())</f>
        <v>#N/A</v>
      </c>
      <c r="H42" s="105" t="e">
        <f aca="false">IF(ISNUMBER(CHOOSE(MATCH('Dash Feed'!$B$10,Lists!$A$3:$A$7,0),Hip!$W$79,Hamstring!$W$79,Knee!$W$79,'Ankle-Foot'!$W$79,Shoulder!$W$79)),CHOOSE(MATCH('Dash Feed'!$B$10,Lists!$A$3:$A$7,0),Hip!$W$79,Hamstring!$W$79,Knee!$W$79,'Ankle-Foot'!$W$79,Shoulder!$W$79),NA())</f>
        <v>#N/A</v>
      </c>
      <c r="I42" s="105" t="e">
        <f aca="false">IF(ISNUMBER(CHOOSE(MATCH('Dash Feed'!$B$10,Lists!$A$3:$A$7,0),Hip!$Z$79,Hamstring!$Z$79,Knee!$Z$79,'Ankle-Foot'!$Z$79,Shoulder!$Z$79)),CHOOSE(MATCH('Dash Feed'!$B$10,Lists!$A$3:$A$7,0),Hip!$Z$79,Hamstring!$Z$79,Knee!$Z$79,'Ankle-Foot'!$Z$79,Shoulder!$Z$79),NA())</f>
        <v>#N/A</v>
      </c>
    </row>
    <row r="43" customFormat="false" ht="15" hidden="false" customHeight="false" outlineLevel="0" collapsed="false">
      <c r="A43" s="102" t="str">
        <f aca="false">IF(CHOOSE(MATCH('Dash Feed'!$B$10,Lists!$A$3:$A$7,0),Hip!$B$80,Hamstring!$B$80,Knee!$B$80,'Ankle-Foot'!$B$80,Shoulder!$B$80)="","",CHOOSE(MATCH('Dash Feed'!$B$10,Lists!$A$3:$A$7,0),Hip!$B$80,Hamstring!$B$80,Knee!$B$80,'Ankle-Foot'!$B$80,Shoulder!$B$80))</f>
        <v/>
      </c>
      <c r="B43" s="105" t="e">
        <f aca="false">IF(ISNUMBER(CHOOSE(MATCH('Dash Feed'!$B$10,Lists!$A$3:$A$7,0),Hip!$E$80,Hamstring!$E$80,Knee!$E$80,'Ankle-Foot'!$E$80,Shoulder!$E$80)),CHOOSE(MATCH('Dash Feed'!$B$10,Lists!$A$3:$A$7,0),Hip!$E$80,Hamstring!$E$80,Knee!$E$80,'Ankle-Foot'!$E$80,Shoulder!$E$80),NA())</f>
        <v>#N/A</v>
      </c>
      <c r="C43" s="105" t="e">
        <f aca="false">IF(ISNUMBER(CHOOSE(MATCH('Dash Feed'!$B$10,Lists!$A$3:$A$7,0),Hip!$H$80,Hamstring!$H$80,Knee!$H$80,'Ankle-Foot'!$H$80,Shoulder!$H$80)),CHOOSE(MATCH('Dash Feed'!$B$10,Lists!$A$3:$A$7,0),Hip!$H$80,Hamstring!$H$80,Knee!$H$80,'Ankle-Foot'!$H$80,Shoulder!$H$80),NA())</f>
        <v>#N/A</v>
      </c>
      <c r="D43" s="105" t="e">
        <f aca="false">IF(ISNUMBER(CHOOSE(MATCH('Dash Feed'!$B$10,Lists!$A$3:$A$7,0),Hip!$K$80,Hamstring!$K$80,Knee!$K$80,'Ankle-Foot'!$K$80,Shoulder!$K$80)),CHOOSE(MATCH('Dash Feed'!$B$10,Lists!$A$3:$A$7,0),Hip!$K$80,Hamstring!$K$80,Knee!$K$80,'Ankle-Foot'!$K$80,Shoulder!$K$80),NA())</f>
        <v>#N/A</v>
      </c>
      <c r="E43" s="105" t="e">
        <f aca="false">IF(ISNUMBER(CHOOSE(MATCH('Dash Feed'!$B$10,Lists!$A$3:$A$7,0),Hip!$N$80,Hamstring!$N$80,Knee!$N$80,'Ankle-Foot'!$N$80,Shoulder!$N$80)),CHOOSE(MATCH('Dash Feed'!$B$10,Lists!$A$3:$A$7,0),Hip!$N$80,Hamstring!$N$80,Knee!$N$80,'Ankle-Foot'!$N$80,Shoulder!$N$80),NA())</f>
        <v>#N/A</v>
      </c>
      <c r="F43" s="105" t="e">
        <f aca="false">IF(ISNUMBER(CHOOSE(MATCH('Dash Feed'!$B$10,Lists!$A$3:$A$7,0),Hip!$Q$80,Hamstring!$Q$80,Knee!$Q$80,'Ankle-Foot'!$Q$80,Shoulder!$Q$80)),CHOOSE(MATCH('Dash Feed'!$B$10,Lists!$A$3:$A$7,0),Hip!$Q$80,Hamstring!$Q$80,Knee!$Q$80,'Ankle-Foot'!$Q$80,Shoulder!$Q$80),NA())</f>
        <v>#N/A</v>
      </c>
      <c r="G43" s="105" t="e">
        <f aca="false">IF(ISNUMBER(CHOOSE(MATCH('Dash Feed'!$B$10,Lists!$A$3:$A$7,0),Hip!$T$80,Hamstring!$T$80,Knee!$T$80,'Ankle-Foot'!$T$80,Shoulder!$T$80)),CHOOSE(MATCH('Dash Feed'!$B$10,Lists!$A$3:$A$7,0),Hip!$T$80,Hamstring!$T$80,Knee!$T$80,'Ankle-Foot'!$T$80,Shoulder!$T$80),NA())</f>
        <v>#N/A</v>
      </c>
      <c r="H43" s="105" t="e">
        <f aca="false">IF(ISNUMBER(CHOOSE(MATCH('Dash Feed'!$B$10,Lists!$A$3:$A$7,0),Hip!$W$80,Hamstring!$W$80,Knee!$W$80,'Ankle-Foot'!$W$80,Shoulder!$W$80)),CHOOSE(MATCH('Dash Feed'!$B$10,Lists!$A$3:$A$7,0),Hip!$W$80,Hamstring!$W$80,Knee!$W$80,'Ankle-Foot'!$W$80,Shoulder!$W$80),NA())</f>
        <v>#N/A</v>
      </c>
      <c r="I43" s="105" t="e">
        <f aca="false">IF(ISNUMBER(CHOOSE(MATCH('Dash Feed'!$B$10,Lists!$A$3:$A$7,0),Hip!$Z$80,Hamstring!$Z$80,Knee!$Z$80,'Ankle-Foot'!$Z$80,Shoulder!$Z$80)),CHOOSE(MATCH('Dash Feed'!$B$10,Lists!$A$3:$A$7,0),Hip!$Z$80,Hamstring!$Z$80,Knee!$Z$80,'Ankle-Foot'!$Z$80,Shoulder!$Z$80),NA())</f>
        <v>#N/A</v>
      </c>
    </row>
    <row r="44" customFormat="false" ht="15" hidden="false" customHeight="false" outlineLevel="0" collapsed="false">
      <c r="A44" s="102" t="str">
        <f aca="false">IF(CHOOSE(MATCH('Dash Feed'!$B$10,Lists!$A$3:$A$7,0),Hip!$B$81,Hamstring!$B$81,Knee!$B$81,'Ankle-Foot'!$B$81,Shoulder!$B$81)="","",CHOOSE(MATCH('Dash Feed'!$B$10,Lists!$A$3:$A$7,0),Hip!$B$81,Hamstring!$B$81,Knee!$B$81,'Ankle-Foot'!$B$81,Shoulder!$B$81))</f>
        <v/>
      </c>
      <c r="B44" s="105" t="e">
        <f aca="false">IF(ISNUMBER(CHOOSE(MATCH('Dash Feed'!$B$10,Lists!$A$3:$A$7,0),Hip!$E$81,Hamstring!$E$81,Knee!$E$81,'Ankle-Foot'!$E$81,Shoulder!$E$81)),CHOOSE(MATCH('Dash Feed'!$B$10,Lists!$A$3:$A$7,0),Hip!$E$81,Hamstring!$E$81,Knee!$E$81,'Ankle-Foot'!$E$81,Shoulder!$E$81),NA())</f>
        <v>#N/A</v>
      </c>
      <c r="C44" s="105" t="e">
        <f aca="false">IF(ISNUMBER(CHOOSE(MATCH('Dash Feed'!$B$10,Lists!$A$3:$A$7,0),Hip!$H$81,Hamstring!$H$81,Knee!$H$81,'Ankle-Foot'!$H$81,Shoulder!$H$81)),CHOOSE(MATCH('Dash Feed'!$B$10,Lists!$A$3:$A$7,0),Hip!$H$81,Hamstring!$H$81,Knee!$H$81,'Ankle-Foot'!$H$81,Shoulder!$H$81),NA())</f>
        <v>#N/A</v>
      </c>
      <c r="D44" s="105" t="e">
        <f aca="false">IF(ISNUMBER(CHOOSE(MATCH('Dash Feed'!$B$10,Lists!$A$3:$A$7,0),Hip!$K$81,Hamstring!$K$81,Knee!$K$81,'Ankle-Foot'!$K$81,Shoulder!$K$81)),CHOOSE(MATCH('Dash Feed'!$B$10,Lists!$A$3:$A$7,0),Hip!$K$81,Hamstring!$K$81,Knee!$K$81,'Ankle-Foot'!$K$81,Shoulder!$K$81),NA())</f>
        <v>#N/A</v>
      </c>
      <c r="E44" s="105" t="e">
        <f aca="false">IF(ISNUMBER(CHOOSE(MATCH('Dash Feed'!$B$10,Lists!$A$3:$A$7,0),Hip!$N$81,Hamstring!$N$81,Knee!$N$81,'Ankle-Foot'!$N$81,Shoulder!$N$81)),CHOOSE(MATCH('Dash Feed'!$B$10,Lists!$A$3:$A$7,0),Hip!$N$81,Hamstring!$N$81,Knee!$N$81,'Ankle-Foot'!$N$81,Shoulder!$N$81),NA())</f>
        <v>#N/A</v>
      </c>
      <c r="F44" s="105" t="e">
        <f aca="false">IF(ISNUMBER(CHOOSE(MATCH('Dash Feed'!$B$10,Lists!$A$3:$A$7,0),Hip!$Q$81,Hamstring!$Q$81,Knee!$Q$81,'Ankle-Foot'!$Q$81,Shoulder!$Q$81)),CHOOSE(MATCH('Dash Feed'!$B$10,Lists!$A$3:$A$7,0),Hip!$Q$81,Hamstring!$Q$81,Knee!$Q$81,'Ankle-Foot'!$Q$81,Shoulder!$Q$81),NA())</f>
        <v>#N/A</v>
      </c>
      <c r="G44" s="105" t="e">
        <f aca="false">IF(ISNUMBER(CHOOSE(MATCH('Dash Feed'!$B$10,Lists!$A$3:$A$7,0),Hip!$T$81,Hamstring!$T$81,Knee!$T$81,'Ankle-Foot'!$T$81,Shoulder!$T$81)),CHOOSE(MATCH('Dash Feed'!$B$10,Lists!$A$3:$A$7,0),Hip!$T$81,Hamstring!$T$81,Knee!$T$81,'Ankle-Foot'!$T$81,Shoulder!$T$81),NA())</f>
        <v>#N/A</v>
      </c>
      <c r="H44" s="105" t="e">
        <f aca="false">IF(ISNUMBER(CHOOSE(MATCH('Dash Feed'!$B$10,Lists!$A$3:$A$7,0),Hip!$W$81,Hamstring!$W$81,Knee!$W$81,'Ankle-Foot'!$W$81,Shoulder!$W$81)),CHOOSE(MATCH('Dash Feed'!$B$10,Lists!$A$3:$A$7,0),Hip!$W$81,Hamstring!$W$81,Knee!$W$81,'Ankle-Foot'!$W$81,Shoulder!$W$81),NA())</f>
        <v>#N/A</v>
      </c>
      <c r="I44" s="105" t="e">
        <f aca="false">IF(ISNUMBER(CHOOSE(MATCH('Dash Feed'!$B$10,Lists!$A$3:$A$7,0),Hip!$Z$81,Hamstring!$Z$81,Knee!$Z$81,'Ankle-Foot'!$Z$81,Shoulder!$Z$81)),CHOOSE(MATCH('Dash Feed'!$B$10,Lists!$A$3:$A$7,0),Hip!$Z$81,Hamstring!$Z$81,Knee!$Z$81,'Ankle-Foot'!$Z$81,Shoulder!$Z$81),NA())</f>
        <v>#N/A</v>
      </c>
    </row>
    <row r="45" customFormat="false" ht="15" hidden="false" customHeight="false" outlineLevel="0" collapsed="false">
      <c r="A45" s="102" t="str">
        <f aca="false">IF(CHOOSE(MATCH('Dash Feed'!$B$10,Lists!$A$3:$A$7,0),Hip!$B$82,Hamstring!$B$82,Knee!$B$82,'Ankle-Foot'!$B$82,Shoulder!$B$82)="","",CHOOSE(MATCH('Dash Feed'!$B$10,Lists!$A$3:$A$7,0),Hip!$B$82,Hamstring!$B$82,Knee!$B$82,'Ankle-Foot'!$B$82,Shoulder!$B$82))</f>
        <v/>
      </c>
      <c r="B45" s="105" t="e">
        <f aca="false">IF(ISNUMBER(CHOOSE(MATCH('Dash Feed'!$B$10,Lists!$A$3:$A$7,0),Hip!$E$82,Hamstring!$E$82,Knee!$E$82,'Ankle-Foot'!$E$82,Shoulder!$E$82)),CHOOSE(MATCH('Dash Feed'!$B$10,Lists!$A$3:$A$7,0),Hip!$E$82,Hamstring!$E$82,Knee!$E$82,'Ankle-Foot'!$E$82,Shoulder!$E$82),NA())</f>
        <v>#N/A</v>
      </c>
      <c r="C45" s="105" t="e">
        <f aca="false">IF(ISNUMBER(CHOOSE(MATCH('Dash Feed'!$B$10,Lists!$A$3:$A$7,0),Hip!$H$82,Hamstring!$H$82,Knee!$H$82,'Ankle-Foot'!$H$82,Shoulder!$H$82)),CHOOSE(MATCH('Dash Feed'!$B$10,Lists!$A$3:$A$7,0),Hip!$H$82,Hamstring!$H$82,Knee!$H$82,'Ankle-Foot'!$H$82,Shoulder!$H$82),NA())</f>
        <v>#N/A</v>
      </c>
      <c r="D45" s="105" t="e">
        <f aca="false">IF(ISNUMBER(CHOOSE(MATCH('Dash Feed'!$B$10,Lists!$A$3:$A$7,0),Hip!$K$82,Hamstring!$K$82,Knee!$K$82,'Ankle-Foot'!$K$82,Shoulder!$K$82)),CHOOSE(MATCH('Dash Feed'!$B$10,Lists!$A$3:$A$7,0),Hip!$K$82,Hamstring!$K$82,Knee!$K$82,'Ankle-Foot'!$K$82,Shoulder!$K$82),NA())</f>
        <v>#N/A</v>
      </c>
      <c r="E45" s="105" t="e">
        <f aca="false">IF(ISNUMBER(CHOOSE(MATCH('Dash Feed'!$B$10,Lists!$A$3:$A$7,0),Hip!$N$82,Hamstring!$N$82,Knee!$N$82,'Ankle-Foot'!$N$82,Shoulder!$N$82)),CHOOSE(MATCH('Dash Feed'!$B$10,Lists!$A$3:$A$7,0),Hip!$N$82,Hamstring!$N$82,Knee!$N$82,'Ankle-Foot'!$N$82,Shoulder!$N$82),NA())</f>
        <v>#N/A</v>
      </c>
      <c r="F45" s="105" t="e">
        <f aca="false">IF(ISNUMBER(CHOOSE(MATCH('Dash Feed'!$B$10,Lists!$A$3:$A$7,0),Hip!$Q$82,Hamstring!$Q$82,Knee!$Q$82,'Ankle-Foot'!$Q$82,Shoulder!$Q$82)),CHOOSE(MATCH('Dash Feed'!$B$10,Lists!$A$3:$A$7,0),Hip!$Q$82,Hamstring!$Q$82,Knee!$Q$82,'Ankle-Foot'!$Q$82,Shoulder!$Q$82),NA())</f>
        <v>#N/A</v>
      </c>
      <c r="G45" s="105" t="e">
        <f aca="false">IF(ISNUMBER(CHOOSE(MATCH('Dash Feed'!$B$10,Lists!$A$3:$A$7,0),Hip!$T$82,Hamstring!$T$82,Knee!$T$82,'Ankle-Foot'!$T$82,Shoulder!$T$82)),CHOOSE(MATCH('Dash Feed'!$B$10,Lists!$A$3:$A$7,0),Hip!$T$82,Hamstring!$T$82,Knee!$T$82,'Ankle-Foot'!$T$82,Shoulder!$T$82),NA())</f>
        <v>#N/A</v>
      </c>
      <c r="H45" s="105" t="e">
        <f aca="false">IF(ISNUMBER(CHOOSE(MATCH('Dash Feed'!$B$10,Lists!$A$3:$A$7,0),Hip!$W$82,Hamstring!$W$82,Knee!$W$82,'Ankle-Foot'!$W$82,Shoulder!$W$82)),CHOOSE(MATCH('Dash Feed'!$B$10,Lists!$A$3:$A$7,0),Hip!$W$82,Hamstring!$W$82,Knee!$W$82,'Ankle-Foot'!$W$82,Shoulder!$W$82),NA())</f>
        <v>#N/A</v>
      </c>
      <c r="I45" s="105" t="e">
        <f aca="false">IF(ISNUMBER(CHOOSE(MATCH('Dash Feed'!$B$10,Lists!$A$3:$A$7,0),Hip!$Z$82,Hamstring!$Z$82,Knee!$Z$82,'Ankle-Foot'!$Z$82,Shoulder!$Z$82)),CHOOSE(MATCH('Dash Feed'!$B$10,Lists!$A$3:$A$7,0),Hip!$Z$82,Hamstring!$Z$82,Knee!$Z$82,'Ankle-Foot'!$Z$82,Shoulder!$Z$82),NA())</f>
        <v>#N/A</v>
      </c>
    </row>
    <row r="46" customFormat="false" ht="15" hidden="false" customHeight="false" outlineLevel="0" collapsed="false">
      <c r="A46" s="102" t="str">
        <f aca="false">IF(CHOOSE(MATCH('Dash Feed'!$B$10,Lists!$A$3:$A$7,0),Hip!$B$83,Hamstring!$B$83,Knee!$B$83,'Ankle-Foot'!$B$83,Shoulder!$B$83)="","",CHOOSE(MATCH('Dash Feed'!$B$10,Lists!$A$3:$A$7,0),Hip!$B$83,Hamstring!$B$83,Knee!$B$83,'Ankle-Foot'!$B$83,Shoulder!$B$83))</f>
        <v/>
      </c>
      <c r="B46" s="105" t="e">
        <f aca="false">IF(ISNUMBER(CHOOSE(MATCH('Dash Feed'!$B$10,Lists!$A$3:$A$7,0),Hip!$E$83,Hamstring!$E$83,Knee!$E$83,'Ankle-Foot'!$E$83,Shoulder!$E$83)),CHOOSE(MATCH('Dash Feed'!$B$10,Lists!$A$3:$A$7,0),Hip!$E$83,Hamstring!$E$83,Knee!$E$83,'Ankle-Foot'!$E$83,Shoulder!$E$83),NA())</f>
        <v>#N/A</v>
      </c>
      <c r="C46" s="105" t="e">
        <f aca="false">IF(ISNUMBER(CHOOSE(MATCH('Dash Feed'!$B$10,Lists!$A$3:$A$7,0),Hip!$H$83,Hamstring!$H$83,Knee!$H$83,'Ankle-Foot'!$H$83,Shoulder!$H$83)),CHOOSE(MATCH('Dash Feed'!$B$10,Lists!$A$3:$A$7,0),Hip!$H$83,Hamstring!$H$83,Knee!$H$83,'Ankle-Foot'!$H$83,Shoulder!$H$83),NA())</f>
        <v>#N/A</v>
      </c>
      <c r="D46" s="105" t="e">
        <f aca="false">IF(ISNUMBER(CHOOSE(MATCH('Dash Feed'!$B$10,Lists!$A$3:$A$7,0),Hip!$K$83,Hamstring!$K$83,Knee!$K$83,'Ankle-Foot'!$K$83,Shoulder!$K$83)),CHOOSE(MATCH('Dash Feed'!$B$10,Lists!$A$3:$A$7,0),Hip!$K$83,Hamstring!$K$83,Knee!$K$83,'Ankle-Foot'!$K$83,Shoulder!$K$83),NA())</f>
        <v>#N/A</v>
      </c>
      <c r="E46" s="105" t="e">
        <f aca="false">IF(ISNUMBER(CHOOSE(MATCH('Dash Feed'!$B$10,Lists!$A$3:$A$7,0),Hip!$N$83,Hamstring!$N$83,Knee!$N$83,'Ankle-Foot'!$N$83,Shoulder!$N$83)),CHOOSE(MATCH('Dash Feed'!$B$10,Lists!$A$3:$A$7,0),Hip!$N$83,Hamstring!$N$83,Knee!$N$83,'Ankle-Foot'!$N$83,Shoulder!$N$83),NA())</f>
        <v>#N/A</v>
      </c>
      <c r="F46" s="105" t="e">
        <f aca="false">IF(ISNUMBER(CHOOSE(MATCH('Dash Feed'!$B$10,Lists!$A$3:$A$7,0),Hip!$Q$83,Hamstring!$Q$83,Knee!$Q$83,'Ankle-Foot'!$Q$83,Shoulder!$Q$83)),CHOOSE(MATCH('Dash Feed'!$B$10,Lists!$A$3:$A$7,0),Hip!$Q$83,Hamstring!$Q$83,Knee!$Q$83,'Ankle-Foot'!$Q$83,Shoulder!$Q$83),NA())</f>
        <v>#N/A</v>
      </c>
      <c r="G46" s="105" t="e">
        <f aca="false">IF(ISNUMBER(CHOOSE(MATCH('Dash Feed'!$B$10,Lists!$A$3:$A$7,0),Hip!$T$83,Hamstring!$T$83,Knee!$T$83,'Ankle-Foot'!$T$83,Shoulder!$T$83)),CHOOSE(MATCH('Dash Feed'!$B$10,Lists!$A$3:$A$7,0),Hip!$T$83,Hamstring!$T$83,Knee!$T$83,'Ankle-Foot'!$T$83,Shoulder!$T$83),NA())</f>
        <v>#N/A</v>
      </c>
      <c r="H46" s="105" t="e">
        <f aca="false">IF(ISNUMBER(CHOOSE(MATCH('Dash Feed'!$B$10,Lists!$A$3:$A$7,0),Hip!$W$83,Hamstring!$W$83,Knee!$W$83,'Ankle-Foot'!$W$83,Shoulder!$W$83)),CHOOSE(MATCH('Dash Feed'!$B$10,Lists!$A$3:$A$7,0),Hip!$W$83,Hamstring!$W$83,Knee!$W$83,'Ankle-Foot'!$W$83,Shoulder!$W$83),NA())</f>
        <v>#N/A</v>
      </c>
      <c r="I46" s="105" t="e">
        <f aca="false">IF(ISNUMBER(CHOOSE(MATCH('Dash Feed'!$B$10,Lists!$A$3:$A$7,0),Hip!$Z$83,Hamstring!$Z$83,Knee!$Z$83,'Ankle-Foot'!$Z$83,Shoulder!$Z$83)),CHOOSE(MATCH('Dash Feed'!$B$10,Lists!$A$3:$A$7,0),Hip!$Z$83,Hamstring!$Z$83,Knee!$Z$83,'Ankle-Foot'!$Z$83,Shoulder!$Z$83),NA())</f>
        <v>#N/A</v>
      </c>
    </row>
    <row r="48" customFormat="false" ht="19.5" hidden="false" customHeight="true" outlineLevel="0" collapsed="false">
      <c r="A48" s="62" t="s">
        <v>366</v>
      </c>
      <c r="B48" s="62"/>
      <c r="C48" s="62"/>
      <c r="D48" s="62"/>
      <c r="E48" s="62"/>
      <c r="F48" s="62"/>
    </row>
    <row r="49" customFormat="false" ht="22.35" hidden="false" customHeight="false" outlineLevel="0" collapsed="false">
      <c r="A49" s="33" t="s">
        <v>300</v>
      </c>
      <c r="B49" s="33" t="s">
        <v>53</v>
      </c>
      <c r="C49" s="33" t="s">
        <v>54</v>
      </c>
      <c r="D49" s="33" t="s">
        <v>55</v>
      </c>
      <c r="E49" s="33" t="s">
        <v>56</v>
      </c>
      <c r="F49" s="33" t="s">
        <v>58</v>
      </c>
      <c r="G49" s="33" t="s">
        <v>367</v>
      </c>
      <c r="H49" s="106" t="n">
        <f aca="false">SUMPRODUCT(MAX((GPS!$B$20:$B$71&gt;0)*GPS!$A$20:$A$71))</f>
        <v>11</v>
      </c>
    </row>
    <row r="50" customFormat="false" ht="15" hidden="false" customHeight="false" outlineLevel="0" collapsed="false">
      <c r="A50" s="102" t="n">
        <f aca="false">GPS!A20</f>
        <v>1</v>
      </c>
      <c r="B50" s="107" t="n">
        <f aca="false">IF(GPS!$A20&gt;$H$49,NA(),IF(GPS!$B20=0,0,GPS!C20))</f>
        <v>0</v>
      </c>
      <c r="C50" s="107" t="n">
        <f aca="false">IF(GPS!$A20&gt;$H$49,NA(),IF(GPS!$B20=0,0,GPS!D20))</f>
        <v>0</v>
      </c>
      <c r="D50" s="107" t="n">
        <f aca="false">IF(GPS!$A20&gt;$H$49,NA(),IF(GPS!$B20=0,0,GPS!E20))</f>
        <v>0</v>
      </c>
      <c r="E50" s="107" t="n">
        <f aca="false">IF(GPS!$A20&gt;$H$49,NA(),IF(GPS!$B20=0,0,GPS!F20))</f>
        <v>0</v>
      </c>
      <c r="F50" s="108" t="e">
        <f aca="false">IF(GPS!$A20&gt;$H$49,NA(),IF(GPS!$B20=0,NA(),GPS!H20))</f>
        <v>#N/A</v>
      </c>
    </row>
    <row r="51" customFormat="false" ht="15" hidden="false" customHeight="false" outlineLevel="0" collapsed="false">
      <c r="A51" s="102" t="n">
        <f aca="false">GPS!A21</f>
        <v>2</v>
      </c>
      <c r="B51" s="107" t="n">
        <f aca="false">IF(GPS!$A21&gt;$H$49,NA(),IF(GPS!$B21=0,0,GPS!C21))</f>
        <v>0</v>
      </c>
      <c r="C51" s="107" t="n">
        <f aca="false">IF(GPS!$A21&gt;$H$49,NA(),IF(GPS!$B21=0,0,GPS!D21))</f>
        <v>0</v>
      </c>
      <c r="D51" s="107" t="n">
        <f aca="false">IF(GPS!$A21&gt;$H$49,NA(),IF(GPS!$B21=0,0,GPS!E21))</f>
        <v>0</v>
      </c>
      <c r="E51" s="107" t="n">
        <f aca="false">IF(GPS!$A21&gt;$H$49,NA(),IF(GPS!$B21=0,0,GPS!F21))</f>
        <v>0</v>
      </c>
      <c r="F51" s="108" t="e">
        <f aca="false">IF(GPS!$A21&gt;$H$49,NA(),IF(GPS!$B21=0,NA(),GPS!H21))</f>
        <v>#N/A</v>
      </c>
    </row>
    <row r="52" customFormat="false" ht="15" hidden="false" customHeight="false" outlineLevel="0" collapsed="false">
      <c r="A52" s="102" t="n">
        <f aca="false">GPS!A22</f>
        <v>3</v>
      </c>
      <c r="B52" s="107" t="n">
        <f aca="false">IF(GPS!$A22&gt;$H$49,NA(),IF(GPS!$B22=0,0,GPS!C22))</f>
        <v>0</v>
      </c>
      <c r="C52" s="107" t="n">
        <f aca="false">IF(GPS!$A22&gt;$H$49,NA(),IF(GPS!$B22=0,0,GPS!D22))</f>
        <v>0</v>
      </c>
      <c r="D52" s="107" t="n">
        <f aca="false">IF(GPS!$A22&gt;$H$49,NA(),IF(GPS!$B22=0,0,GPS!E22))</f>
        <v>0</v>
      </c>
      <c r="E52" s="107" t="n">
        <f aca="false">IF(GPS!$A22&gt;$H$49,NA(),IF(GPS!$B22=0,0,GPS!F22))</f>
        <v>0</v>
      </c>
      <c r="F52" s="108" t="e">
        <f aca="false">IF(GPS!$A22&gt;$H$49,NA(),IF(GPS!$B22=0,NA(),GPS!H22))</f>
        <v>#N/A</v>
      </c>
    </row>
    <row r="53" customFormat="false" ht="15" hidden="false" customHeight="false" outlineLevel="0" collapsed="false">
      <c r="A53" s="102" t="n">
        <f aca="false">GPS!A23</f>
        <v>4</v>
      </c>
      <c r="B53" s="107" t="n">
        <f aca="false">IF(GPS!$A23&gt;$H$49,NA(),IF(GPS!$B23=0,0,GPS!C23))</f>
        <v>0</v>
      </c>
      <c r="C53" s="107" t="n">
        <f aca="false">IF(GPS!$A23&gt;$H$49,NA(),IF(GPS!$B23=0,0,GPS!D23))</f>
        <v>0</v>
      </c>
      <c r="D53" s="107" t="n">
        <f aca="false">IF(GPS!$A23&gt;$H$49,NA(),IF(GPS!$B23=0,0,GPS!E23))</f>
        <v>0</v>
      </c>
      <c r="E53" s="107" t="n">
        <f aca="false">IF(GPS!$A23&gt;$H$49,NA(),IF(GPS!$B23=0,0,GPS!F23))</f>
        <v>0</v>
      </c>
      <c r="F53" s="108" t="e">
        <f aca="false">IF(GPS!$A23&gt;$H$49,NA(),IF(GPS!$B23=0,NA(),GPS!H23))</f>
        <v>#N/A</v>
      </c>
    </row>
    <row r="54" customFormat="false" ht="15" hidden="false" customHeight="false" outlineLevel="0" collapsed="false">
      <c r="A54" s="102" t="n">
        <f aca="false">GPS!A24</f>
        <v>5</v>
      </c>
      <c r="B54" s="107" t="n">
        <f aca="false">IF(GPS!$A24&gt;$H$49,NA(),IF(GPS!$B24=0,0,GPS!C24))</f>
        <v>0</v>
      </c>
      <c r="C54" s="107" t="n">
        <f aca="false">IF(GPS!$A24&gt;$H$49,NA(),IF(GPS!$B24=0,0,GPS!D24))</f>
        <v>0</v>
      </c>
      <c r="D54" s="107" t="n">
        <f aca="false">IF(GPS!$A24&gt;$H$49,NA(),IF(GPS!$B24=0,0,GPS!E24))</f>
        <v>0</v>
      </c>
      <c r="E54" s="107" t="n">
        <f aca="false">IF(GPS!$A24&gt;$H$49,NA(),IF(GPS!$B24=0,0,GPS!F24))</f>
        <v>0</v>
      </c>
      <c r="F54" s="108" t="e">
        <f aca="false">IF(GPS!$A24&gt;$H$49,NA(),IF(GPS!$B24=0,NA(),GPS!H24))</f>
        <v>#N/A</v>
      </c>
    </row>
    <row r="55" customFormat="false" ht="15" hidden="false" customHeight="false" outlineLevel="0" collapsed="false">
      <c r="A55" s="102" t="n">
        <f aca="false">GPS!A25</f>
        <v>6</v>
      </c>
      <c r="B55" s="107" t="n">
        <f aca="false">IF(GPS!$A25&gt;$H$49,NA(),IF(GPS!$B25=0,0,GPS!C25))</f>
        <v>0</v>
      </c>
      <c r="C55" s="107" t="n">
        <f aca="false">IF(GPS!$A25&gt;$H$49,NA(),IF(GPS!$B25=0,0,GPS!D25))</f>
        <v>0</v>
      </c>
      <c r="D55" s="107" t="n">
        <f aca="false">IF(GPS!$A25&gt;$H$49,NA(),IF(GPS!$B25=0,0,GPS!E25))</f>
        <v>0</v>
      </c>
      <c r="E55" s="107" t="n">
        <f aca="false">IF(GPS!$A25&gt;$H$49,NA(),IF(GPS!$B25=0,0,GPS!F25))</f>
        <v>0</v>
      </c>
      <c r="F55" s="108" t="e">
        <f aca="false">IF(GPS!$A25&gt;$H$49,NA(),IF(GPS!$B25=0,NA(),GPS!H25))</f>
        <v>#N/A</v>
      </c>
    </row>
    <row r="56" customFormat="false" ht="15" hidden="false" customHeight="false" outlineLevel="0" collapsed="false">
      <c r="A56" s="102" t="n">
        <f aca="false">GPS!A26</f>
        <v>7</v>
      </c>
      <c r="B56" s="107" t="n">
        <f aca="false">IF(GPS!$A26&gt;$H$49,NA(),IF(GPS!$B26=0,0,GPS!C26))</f>
        <v>0</v>
      </c>
      <c r="C56" s="107" t="n">
        <f aca="false">IF(GPS!$A26&gt;$H$49,NA(),IF(GPS!$B26=0,0,GPS!D26))</f>
        <v>0</v>
      </c>
      <c r="D56" s="107" t="n">
        <f aca="false">IF(GPS!$A26&gt;$H$49,NA(),IF(GPS!$B26=0,0,GPS!E26))</f>
        <v>0</v>
      </c>
      <c r="E56" s="107" t="n">
        <f aca="false">IF(GPS!$A26&gt;$H$49,NA(),IF(GPS!$B26=0,0,GPS!F26))</f>
        <v>0</v>
      </c>
      <c r="F56" s="108" t="e">
        <f aca="false">IF(GPS!$A26&gt;$H$49,NA(),IF(GPS!$B26=0,NA(),GPS!H26))</f>
        <v>#N/A</v>
      </c>
    </row>
    <row r="57" customFormat="false" ht="15" hidden="false" customHeight="false" outlineLevel="0" collapsed="false">
      <c r="A57" s="102" t="n">
        <f aca="false">GPS!A27</f>
        <v>8</v>
      </c>
      <c r="B57" s="107" t="n">
        <f aca="false">IF(GPS!$A27&gt;$H$49,NA(),IF(GPS!$B27=0,0,GPS!C27))</f>
        <v>0</v>
      </c>
      <c r="C57" s="107" t="n">
        <f aca="false">IF(GPS!$A27&gt;$H$49,NA(),IF(GPS!$B27=0,0,GPS!D27))</f>
        <v>0</v>
      </c>
      <c r="D57" s="107" t="n">
        <f aca="false">IF(GPS!$A27&gt;$H$49,NA(),IF(GPS!$B27=0,0,GPS!E27))</f>
        <v>0</v>
      </c>
      <c r="E57" s="107" t="n">
        <f aca="false">IF(GPS!$A27&gt;$H$49,NA(),IF(GPS!$B27=0,0,GPS!F27))</f>
        <v>0</v>
      </c>
      <c r="F57" s="108" t="e">
        <f aca="false">IF(GPS!$A27&gt;$H$49,NA(),IF(GPS!$B27=0,NA(),GPS!H27))</f>
        <v>#N/A</v>
      </c>
    </row>
    <row r="58" customFormat="false" ht="15" hidden="false" customHeight="false" outlineLevel="0" collapsed="false">
      <c r="A58" s="102" t="n">
        <f aca="false">GPS!A28</f>
        <v>9</v>
      </c>
      <c r="B58" s="107" t="n">
        <f aca="false">IF(GPS!$A28&gt;$H$49,NA(),IF(GPS!$B28=0,0,GPS!C28))</f>
        <v>0</v>
      </c>
      <c r="C58" s="107" t="n">
        <f aca="false">IF(GPS!$A28&gt;$H$49,NA(),IF(GPS!$B28=0,0,GPS!D28))</f>
        <v>0</v>
      </c>
      <c r="D58" s="107" t="n">
        <f aca="false">IF(GPS!$A28&gt;$H$49,NA(),IF(GPS!$B28=0,0,GPS!E28))</f>
        <v>0</v>
      </c>
      <c r="E58" s="107" t="n">
        <f aca="false">IF(GPS!$A28&gt;$H$49,NA(),IF(GPS!$B28=0,0,GPS!F28))</f>
        <v>0</v>
      </c>
      <c r="F58" s="108" t="e">
        <f aca="false">IF(GPS!$A28&gt;$H$49,NA(),IF(GPS!$B28=0,NA(),GPS!H28))</f>
        <v>#N/A</v>
      </c>
    </row>
    <row r="59" customFormat="false" ht="15" hidden="false" customHeight="false" outlineLevel="0" collapsed="false">
      <c r="A59" s="102" t="n">
        <f aca="false">GPS!A29</f>
        <v>10</v>
      </c>
      <c r="B59" s="107" t="n">
        <f aca="false">IF(GPS!$A29&gt;$H$49,NA(),IF(GPS!$B29=0,0,GPS!C29))</f>
        <v>10470</v>
      </c>
      <c r="C59" s="107" t="n">
        <f aca="false">IF(GPS!$A29&gt;$H$49,NA(),IF(GPS!$B29=0,0,GPS!D29))</f>
        <v>475</v>
      </c>
      <c r="D59" s="107" t="n">
        <f aca="false">IF(GPS!$A29&gt;$H$49,NA(),IF(GPS!$B29=0,0,GPS!E29))</f>
        <v>125</v>
      </c>
      <c r="E59" s="107" t="n">
        <f aca="false">IF(GPS!$A29&gt;$H$49,NA(),IF(GPS!$B29=0,0,GPS!F29))</f>
        <v>47</v>
      </c>
      <c r="F59" s="108" t="n">
        <f aca="false">IF(GPS!$A29&gt;$H$49,NA(),IF(GPS!$B29=0,NA(),GPS!H29))</f>
        <v>7.9</v>
      </c>
    </row>
    <row r="60" customFormat="false" ht="15" hidden="false" customHeight="false" outlineLevel="0" collapsed="false">
      <c r="A60" s="102" t="n">
        <f aca="false">GPS!A30</f>
        <v>11</v>
      </c>
      <c r="B60" s="107" t="n">
        <f aca="false">IF(GPS!$A30&gt;$H$49,NA(),IF(GPS!$B30=0,0,GPS!C30))</f>
        <v>3900</v>
      </c>
      <c r="C60" s="107" t="n">
        <f aca="false">IF(GPS!$A30&gt;$H$49,NA(),IF(GPS!$B30=0,0,GPS!D30))</f>
        <v>140</v>
      </c>
      <c r="D60" s="107" t="n">
        <f aca="false">IF(GPS!$A30&gt;$H$49,NA(),IF(GPS!$B30=0,0,GPS!E30))</f>
        <v>30</v>
      </c>
      <c r="E60" s="107" t="n">
        <f aca="false">IF(GPS!$A30&gt;$H$49,NA(),IF(GPS!$B30=0,0,GPS!F30))</f>
        <v>15</v>
      </c>
      <c r="F60" s="108" t="n">
        <f aca="false">IF(GPS!$A30&gt;$H$49,NA(),IF(GPS!$B30=0,NA(),GPS!H30))</f>
        <v>7.1</v>
      </c>
    </row>
    <row r="61" customFormat="false" ht="15" hidden="false" customHeight="false" outlineLevel="0" collapsed="false">
      <c r="A61" s="102" t="n">
        <f aca="false">GPS!A31</f>
        <v>12</v>
      </c>
      <c r="B61" s="107" t="e">
        <f aca="false">IF(GPS!$A31&gt;$H$49,NA(),IF(GPS!$B31=0,0,GPS!C31))</f>
        <v>#N/A</v>
      </c>
      <c r="C61" s="107" t="e">
        <f aca="false">IF(GPS!$A31&gt;$H$49,NA(),IF(GPS!$B31=0,0,GPS!D31))</f>
        <v>#N/A</v>
      </c>
      <c r="D61" s="107" t="e">
        <f aca="false">IF(GPS!$A31&gt;$H$49,NA(),IF(GPS!$B31=0,0,GPS!E31))</f>
        <v>#N/A</v>
      </c>
      <c r="E61" s="107" t="e">
        <f aca="false">IF(GPS!$A31&gt;$H$49,NA(),IF(GPS!$B31=0,0,GPS!F31))</f>
        <v>#N/A</v>
      </c>
      <c r="F61" s="108" t="e">
        <f aca="false">IF(GPS!$A31&gt;$H$49,NA(),IF(GPS!$B31=0,NA(),GPS!H31))</f>
        <v>#N/A</v>
      </c>
    </row>
    <row r="62" customFormat="false" ht="15" hidden="false" customHeight="false" outlineLevel="0" collapsed="false">
      <c r="A62" s="102" t="n">
        <f aca="false">GPS!A32</f>
        <v>13</v>
      </c>
      <c r="B62" s="107" t="e">
        <f aca="false">IF(GPS!$A32&gt;$H$49,NA(),IF(GPS!$B32=0,0,GPS!C32))</f>
        <v>#N/A</v>
      </c>
      <c r="C62" s="107" t="e">
        <f aca="false">IF(GPS!$A32&gt;$H$49,NA(),IF(GPS!$B32=0,0,GPS!D32))</f>
        <v>#N/A</v>
      </c>
      <c r="D62" s="107" t="e">
        <f aca="false">IF(GPS!$A32&gt;$H$49,NA(),IF(GPS!$B32=0,0,GPS!E32))</f>
        <v>#N/A</v>
      </c>
      <c r="E62" s="107" t="e">
        <f aca="false">IF(GPS!$A32&gt;$H$49,NA(),IF(GPS!$B32=0,0,GPS!F32))</f>
        <v>#N/A</v>
      </c>
      <c r="F62" s="108" t="e">
        <f aca="false">IF(GPS!$A32&gt;$H$49,NA(),IF(GPS!$B32=0,NA(),GPS!H32))</f>
        <v>#N/A</v>
      </c>
    </row>
    <row r="63" customFormat="false" ht="15" hidden="false" customHeight="false" outlineLevel="0" collapsed="false">
      <c r="A63" s="102" t="n">
        <f aca="false">GPS!A33</f>
        <v>14</v>
      </c>
      <c r="B63" s="107" t="e">
        <f aca="false">IF(GPS!$A33&gt;$H$49,NA(),IF(GPS!$B33=0,0,GPS!C33))</f>
        <v>#N/A</v>
      </c>
      <c r="C63" s="107" t="e">
        <f aca="false">IF(GPS!$A33&gt;$H$49,NA(),IF(GPS!$B33=0,0,GPS!D33))</f>
        <v>#N/A</v>
      </c>
      <c r="D63" s="107" t="e">
        <f aca="false">IF(GPS!$A33&gt;$H$49,NA(),IF(GPS!$B33=0,0,GPS!E33))</f>
        <v>#N/A</v>
      </c>
      <c r="E63" s="107" t="e">
        <f aca="false">IF(GPS!$A33&gt;$H$49,NA(),IF(GPS!$B33=0,0,GPS!F33))</f>
        <v>#N/A</v>
      </c>
      <c r="F63" s="108" t="e">
        <f aca="false">IF(GPS!$A33&gt;$H$49,NA(),IF(GPS!$B33=0,NA(),GPS!H33))</f>
        <v>#N/A</v>
      </c>
    </row>
    <row r="64" customFormat="false" ht="15" hidden="false" customHeight="false" outlineLevel="0" collapsed="false">
      <c r="A64" s="102" t="n">
        <f aca="false">GPS!A34</f>
        <v>15</v>
      </c>
      <c r="B64" s="107" t="e">
        <f aca="false">IF(GPS!$A34&gt;$H$49,NA(),IF(GPS!$B34=0,0,GPS!C34))</f>
        <v>#N/A</v>
      </c>
      <c r="C64" s="107" t="e">
        <f aca="false">IF(GPS!$A34&gt;$H$49,NA(),IF(GPS!$B34=0,0,GPS!D34))</f>
        <v>#N/A</v>
      </c>
      <c r="D64" s="107" t="e">
        <f aca="false">IF(GPS!$A34&gt;$H$49,NA(),IF(GPS!$B34=0,0,GPS!E34))</f>
        <v>#N/A</v>
      </c>
      <c r="E64" s="107" t="e">
        <f aca="false">IF(GPS!$A34&gt;$H$49,NA(),IF(GPS!$B34=0,0,GPS!F34))</f>
        <v>#N/A</v>
      </c>
      <c r="F64" s="108" t="e">
        <f aca="false">IF(GPS!$A34&gt;$H$49,NA(),IF(GPS!$B34=0,NA(),GPS!H34))</f>
        <v>#N/A</v>
      </c>
    </row>
    <row r="65" customFormat="false" ht="15" hidden="false" customHeight="false" outlineLevel="0" collapsed="false">
      <c r="A65" s="102" t="n">
        <f aca="false">GPS!A35</f>
        <v>16</v>
      </c>
      <c r="B65" s="107" t="e">
        <f aca="false">IF(GPS!$A35&gt;$H$49,NA(),IF(GPS!$B35=0,0,GPS!C35))</f>
        <v>#N/A</v>
      </c>
      <c r="C65" s="107" t="e">
        <f aca="false">IF(GPS!$A35&gt;$H$49,NA(),IF(GPS!$B35=0,0,GPS!D35))</f>
        <v>#N/A</v>
      </c>
      <c r="D65" s="107" t="e">
        <f aca="false">IF(GPS!$A35&gt;$H$49,NA(),IF(GPS!$B35=0,0,GPS!E35))</f>
        <v>#N/A</v>
      </c>
      <c r="E65" s="107" t="e">
        <f aca="false">IF(GPS!$A35&gt;$H$49,NA(),IF(GPS!$B35=0,0,GPS!F35))</f>
        <v>#N/A</v>
      </c>
      <c r="F65" s="108" t="e">
        <f aca="false">IF(GPS!$A35&gt;$H$49,NA(),IF(GPS!$B35=0,NA(),GPS!H35))</f>
        <v>#N/A</v>
      </c>
    </row>
    <row r="66" customFormat="false" ht="15" hidden="false" customHeight="false" outlineLevel="0" collapsed="false">
      <c r="A66" s="102" t="n">
        <f aca="false">GPS!A36</f>
        <v>17</v>
      </c>
      <c r="B66" s="107" t="e">
        <f aca="false">IF(GPS!$A36&gt;$H$49,NA(),IF(GPS!$B36=0,0,GPS!C36))</f>
        <v>#N/A</v>
      </c>
      <c r="C66" s="107" t="e">
        <f aca="false">IF(GPS!$A36&gt;$H$49,NA(),IF(GPS!$B36=0,0,GPS!D36))</f>
        <v>#N/A</v>
      </c>
      <c r="D66" s="107" t="e">
        <f aca="false">IF(GPS!$A36&gt;$H$49,NA(),IF(GPS!$B36=0,0,GPS!E36))</f>
        <v>#N/A</v>
      </c>
      <c r="E66" s="107" t="e">
        <f aca="false">IF(GPS!$A36&gt;$H$49,NA(),IF(GPS!$B36=0,0,GPS!F36))</f>
        <v>#N/A</v>
      </c>
      <c r="F66" s="108" t="e">
        <f aca="false">IF(GPS!$A36&gt;$H$49,NA(),IF(GPS!$B36=0,NA(),GPS!H36))</f>
        <v>#N/A</v>
      </c>
    </row>
    <row r="67" customFormat="false" ht="15" hidden="false" customHeight="false" outlineLevel="0" collapsed="false">
      <c r="A67" s="102" t="n">
        <f aca="false">GPS!A37</f>
        <v>18</v>
      </c>
      <c r="B67" s="107" t="e">
        <f aca="false">IF(GPS!$A37&gt;$H$49,NA(),IF(GPS!$B37=0,0,GPS!C37))</f>
        <v>#N/A</v>
      </c>
      <c r="C67" s="107" t="e">
        <f aca="false">IF(GPS!$A37&gt;$H$49,NA(),IF(GPS!$B37=0,0,GPS!D37))</f>
        <v>#N/A</v>
      </c>
      <c r="D67" s="107" t="e">
        <f aca="false">IF(GPS!$A37&gt;$H$49,NA(),IF(GPS!$B37=0,0,GPS!E37))</f>
        <v>#N/A</v>
      </c>
      <c r="E67" s="107" t="e">
        <f aca="false">IF(GPS!$A37&gt;$H$49,NA(),IF(GPS!$B37=0,0,GPS!F37))</f>
        <v>#N/A</v>
      </c>
      <c r="F67" s="108" t="e">
        <f aca="false">IF(GPS!$A37&gt;$H$49,NA(),IF(GPS!$B37=0,NA(),GPS!H37))</f>
        <v>#N/A</v>
      </c>
    </row>
    <row r="68" customFormat="false" ht="15" hidden="false" customHeight="false" outlineLevel="0" collapsed="false">
      <c r="A68" s="102" t="n">
        <f aca="false">GPS!A38</f>
        <v>19</v>
      </c>
      <c r="B68" s="107" t="e">
        <f aca="false">IF(GPS!$A38&gt;$H$49,NA(),IF(GPS!$B38=0,0,GPS!C38))</f>
        <v>#N/A</v>
      </c>
      <c r="C68" s="107" t="e">
        <f aca="false">IF(GPS!$A38&gt;$H$49,NA(),IF(GPS!$B38=0,0,GPS!D38))</f>
        <v>#N/A</v>
      </c>
      <c r="D68" s="107" t="e">
        <f aca="false">IF(GPS!$A38&gt;$H$49,NA(),IF(GPS!$B38=0,0,GPS!E38))</f>
        <v>#N/A</v>
      </c>
      <c r="E68" s="107" t="e">
        <f aca="false">IF(GPS!$A38&gt;$H$49,NA(),IF(GPS!$B38=0,0,GPS!F38))</f>
        <v>#N/A</v>
      </c>
      <c r="F68" s="108" t="e">
        <f aca="false">IF(GPS!$A38&gt;$H$49,NA(),IF(GPS!$B38=0,NA(),GPS!H38))</f>
        <v>#N/A</v>
      </c>
    </row>
    <row r="69" customFormat="false" ht="15" hidden="false" customHeight="false" outlineLevel="0" collapsed="false">
      <c r="A69" s="102" t="n">
        <f aca="false">GPS!A39</f>
        <v>20</v>
      </c>
      <c r="B69" s="107" t="e">
        <f aca="false">IF(GPS!$A39&gt;$H$49,NA(),IF(GPS!$B39=0,0,GPS!C39))</f>
        <v>#N/A</v>
      </c>
      <c r="C69" s="107" t="e">
        <f aca="false">IF(GPS!$A39&gt;$H$49,NA(),IF(GPS!$B39=0,0,GPS!D39))</f>
        <v>#N/A</v>
      </c>
      <c r="D69" s="107" t="e">
        <f aca="false">IF(GPS!$A39&gt;$H$49,NA(),IF(GPS!$B39=0,0,GPS!E39))</f>
        <v>#N/A</v>
      </c>
      <c r="E69" s="107" t="e">
        <f aca="false">IF(GPS!$A39&gt;$H$49,NA(),IF(GPS!$B39=0,0,GPS!F39))</f>
        <v>#N/A</v>
      </c>
      <c r="F69" s="108" t="e">
        <f aca="false">IF(GPS!$A39&gt;$H$49,NA(),IF(GPS!$B39=0,NA(),GPS!H39))</f>
        <v>#N/A</v>
      </c>
    </row>
    <row r="70" customFormat="false" ht="15" hidden="false" customHeight="false" outlineLevel="0" collapsed="false">
      <c r="A70" s="102" t="n">
        <f aca="false">GPS!A40</f>
        <v>21</v>
      </c>
      <c r="B70" s="107" t="e">
        <f aca="false">IF(GPS!$A40&gt;$H$49,NA(),IF(GPS!$B40=0,0,GPS!C40))</f>
        <v>#N/A</v>
      </c>
      <c r="C70" s="107" t="e">
        <f aca="false">IF(GPS!$A40&gt;$H$49,NA(),IF(GPS!$B40=0,0,GPS!D40))</f>
        <v>#N/A</v>
      </c>
      <c r="D70" s="107" t="e">
        <f aca="false">IF(GPS!$A40&gt;$H$49,NA(),IF(GPS!$B40=0,0,GPS!E40))</f>
        <v>#N/A</v>
      </c>
      <c r="E70" s="107" t="e">
        <f aca="false">IF(GPS!$A40&gt;$H$49,NA(),IF(GPS!$B40=0,0,GPS!F40))</f>
        <v>#N/A</v>
      </c>
      <c r="F70" s="108" t="e">
        <f aca="false">IF(GPS!$A40&gt;$H$49,NA(),IF(GPS!$B40=0,NA(),GPS!H40))</f>
        <v>#N/A</v>
      </c>
    </row>
    <row r="71" customFormat="false" ht="15" hidden="false" customHeight="false" outlineLevel="0" collapsed="false">
      <c r="A71" s="102" t="n">
        <f aca="false">GPS!A41</f>
        <v>22</v>
      </c>
      <c r="B71" s="107" t="e">
        <f aca="false">IF(GPS!$A41&gt;$H$49,NA(),IF(GPS!$B41=0,0,GPS!C41))</f>
        <v>#N/A</v>
      </c>
      <c r="C71" s="107" t="e">
        <f aca="false">IF(GPS!$A41&gt;$H$49,NA(),IF(GPS!$B41=0,0,GPS!D41))</f>
        <v>#N/A</v>
      </c>
      <c r="D71" s="107" t="e">
        <f aca="false">IF(GPS!$A41&gt;$H$49,NA(),IF(GPS!$B41=0,0,GPS!E41))</f>
        <v>#N/A</v>
      </c>
      <c r="E71" s="107" t="e">
        <f aca="false">IF(GPS!$A41&gt;$H$49,NA(),IF(GPS!$B41=0,0,GPS!F41))</f>
        <v>#N/A</v>
      </c>
      <c r="F71" s="108" t="e">
        <f aca="false">IF(GPS!$A41&gt;$H$49,NA(),IF(GPS!$B41=0,NA(),GPS!H41))</f>
        <v>#N/A</v>
      </c>
    </row>
    <row r="72" customFormat="false" ht="15" hidden="false" customHeight="false" outlineLevel="0" collapsed="false">
      <c r="A72" s="102" t="n">
        <f aca="false">GPS!A42</f>
        <v>23</v>
      </c>
      <c r="B72" s="107" t="e">
        <f aca="false">IF(GPS!$A42&gt;$H$49,NA(),IF(GPS!$B42=0,0,GPS!C42))</f>
        <v>#N/A</v>
      </c>
      <c r="C72" s="107" t="e">
        <f aca="false">IF(GPS!$A42&gt;$H$49,NA(),IF(GPS!$B42=0,0,GPS!D42))</f>
        <v>#N/A</v>
      </c>
      <c r="D72" s="107" t="e">
        <f aca="false">IF(GPS!$A42&gt;$H$49,NA(),IF(GPS!$B42=0,0,GPS!E42))</f>
        <v>#N/A</v>
      </c>
      <c r="E72" s="107" t="e">
        <f aca="false">IF(GPS!$A42&gt;$H$49,NA(),IF(GPS!$B42=0,0,GPS!F42))</f>
        <v>#N/A</v>
      </c>
      <c r="F72" s="108" t="e">
        <f aca="false">IF(GPS!$A42&gt;$H$49,NA(),IF(GPS!$B42=0,NA(),GPS!H42))</f>
        <v>#N/A</v>
      </c>
    </row>
    <row r="73" customFormat="false" ht="15" hidden="false" customHeight="false" outlineLevel="0" collapsed="false">
      <c r="A73" s="102" t="n">
        <f aca="false">GPS!A43</f>
        <v>24</v>
      </c>
      <c r="B73" s="107" t="e">
        <f aca="false">IF(GPS!$A43&gt;$H$49,NA(),IF(GPS!$B43=0,0,GPS!C43))</f>
        <v>#N/A</v>
      </c>
      <c r="C73" s="107" t="e">
        <f aca="false">IF(GPS!$A43&gt;$H$49,NA(),IF(GPS!$B43=0,0,GPS!D43))</f>
        <v>#N/A</v>
      </c>
      <c r="D73" s="107" t="e">
        <f aca="false">IF(GPS!$A43&gt;$H$49,NA(),IF(GPS!$B43=0,0,GPS!E43))</f>
        <v>#N/A</v>
      </c>
      <c r="E73" s="107" t="e">
        <f aca="false">IF(GPS!$A43&gt;$H$49,NA(),IF(GPS!$B43=0,0,GPS!F43))</f>
        <v>#N/A</v>
      </c>
      <c r="F73" s="108" t="e">
        <f aca="false">IF(GPS!$A43&gt;$H$49,NA(),IF(GPS!$B43=0,NA(),GPS!H43))</f>
        <v>#N/A</v>
      </c>
    </row>
    <row r="74" customFormat="false" ht="15" hidden="false" customHeight="false" outlineLevel="0" collapsed="false">
      <c r="A74" s="102" t="n">
        <f aca="false">GPS!A44</f>
        <v>25</v>
      </c>
      <c r="B74" s="107" t="e">
        <f aca="false">IF(GPS!$A44&gt;$H$49,NA(),IF(GPS!$B44=0,0,GPS!C44))</f>
        <v>#N/A</v>
      </c>
      <c r="C74" s="107" t="e">
        <f aca="false">IF(GPS!$A44&gt;$H$49,NA(),IF(GPS!$B44=0,0,GPS!D44))</f>
        <v>#N/A</v>
      </c>
      <c r="D74" s="107" t="e">
        <f aca="false">IF(GPS!$A44&gt;$H$49,NA(),IF(GPS!$B44=0,0,GPS!E44))</f>
        <v>#N/A</v>
      </c>
      <c r="E74" s="107" t="e">
        <f aca="false">IF(GPS!$A44&gt;$H$49,NA(),IF(GPS!$B44=0,0,GPS!F44))</f>
        <v>#N/A</v>
      </c>
      <c r="F74" s="108" t="e">
        <f aca="false">IF(GPS!$A44&gt;$H$49,NA(),IF(GPS!$B44=0,NA(),GPS!H44))</f>
        <v>#N/A</v>
      </c>
    </row>
    <row r="75" customFormat="false" ht="15" hidden="false" customHeight="false" outlineLevel="0" collapsed="false">
      <c r="A75" s="102" t="n">
        <f aca="false">GPS!A45</f>
        <v>26</v>
      </c>
      <c r="B75" s="107" t="e">
        <f aca="false">IF(GPS!$A45&gt;$H$49,NA(),IF(GPS!$B45=0,0,GPS!C45))</f>
        <v>#N/A</v>
      </c>
      <c r="C75" s="107" t="e">
        <f aca="false">IF(GPS!$A45&gt;$H$49,NA(),IF(GPS!$B45=0,0,GPS!D45))</f>
        <v>#N/A</v>
      </c>
      <c r="D75" s="107" t="e">
        <f aca="false">IF(GPS!$A45&gt;$H$49,NA(),IF(GPS!$B45=0,0,GPS!E45))</f>
        <v>#N/A</v>
      </c>
      <c r="E75" s="107" t="e">
        <f aca="false">IF(GPS!$A45&gt;$H$49,NA(),IF(GPS!$B45=0,0,GPS!F45))</f>
        <v>#N/A</v>
      </c>
      <c r="F75" s="108" t="e">
        <f aca="false">IF(GPS!$A45&gt;$H$49,NA(),IF(GPS!$B45=0,NA(),GPS!H45))</f>
        <v>#N/A</v>
      </c>
    </row>
    <row r="76" customFormat="false" ht="15" hidden="false" customHeight="false" outlineLevel="0" collapsed="false">
      <c r="A76" s="102" t="n">
        <f aca="false">GPS!A46</f>
        <v>27</v>
      </c>
      <c r="B76" s="107" t="e">
        <f aca="false">IF(GPS!$A46&gt;$H$49,NA(),IF(GPS!$B46=0,0,GPS!C46))</f>
        <v>#N/A</v>
      </c>
      <c r="C76" s="107" t="e">
        <f aca="false">IF(GPS!$A46&gt;$H$49,NA(),IF(GPS!$B46=0,0,GPS!D46))</f>
        <v>#N/A</v>
      </c>
      <c r="D76" s="107" t="e">
        <f aca="false">IF(GPS!$A46&gt;$H$49,NA(),IF(GPS!$B46=0,0,GPS!E46))</f>
        <v>#N/A</v>
      </c>
      <c r="E76" s="107" t="e">
        <f aca="false">IF(GPS!$A46&gt;$H$49,NA(),IF(GPS!$B46=0,0,GPS!F46))</f>
        <v>#N/A</v>
      </c>
      <c r="F76" s="108" t="e">
        <f aca="false">IF(GPS!$A46&gt;$H$49,NA(),IF(GPS!$B46=0,NA(),GPS!H46))</f>
        <v>#N/A</v>
      </c>
    </row>
    <row r="77" customFormat="false" ht="15" hidden="false" customHeight="false" outlineLevel="0" collapsed="false">
      <c r="A77" s="102" t="n">
        <f aca="false">GPS!A47</f>
        <v>28</v>
      </c>
      <c r="B77" s="107" t="e">
        <f aca="false">IF(GPS!$A47&gt;$H$49,NA(),IF(GPS!$B47=0,0,GPS!C47))</f>
        <v>#N/A</v>
      </c>
      <c r="C77" s="107" t="e">
        <f aca="false">IF(GPS!$A47&gt;$H$49,NA(),IF(GPS!$B47=0,0,GPS!D47))</f>
        <v>#N/A</v>
      </c>
      <c r="D77" s="107" t="e">
        <f aca="false">IF(GPS!$A47&gt;$H$49,NA(),IF(GPS!$B47=0,0,GPS!E47))</f>
        <v>#N/A</v>
      </c>
      <c r="E77" s="107" t="e">
        <f aca="false">IF(GPS!$A47&gt;$H$49,NA(),IF(GPS!$B47=0,0,GPS!F47))</f>
        <v>#N/A</v>
      </c>
      <c r="F77" s="108" t="e">
        <f aca="false">IF(GPS!$A47&gt;$H$49,NA(),IF(GPS!$B47=0,NA(),GPS!H47))</f>
        <v>#N/A</v>
      </c>
    </row>
    <row r="78" customFormat="false" ht="15" hidden="false" customHeight="false" outlineLevel="0" collapsed="false">
      <c r="A78" s="102" t="n">
        <f aca="false">GPS!A48</f>
        <v>29</v>
      </c>
      <c r="B78" s="107" t="e">
        <f aca="false">IF(GPS!$A48&gt;$H$49,NA(),IF(GPS!$B48=0,0,GPS!C48))</f>
        <v>#N/A</v>
      </c>
      <c r="C78" s="107" t="e">
        <f aca="false">IF(GPS!$A48&gt;$H$49,NA(),IF(GPS!$B48=0,0,GPS!D48))</f>
        <v>#N/A</v>
      </c>
      <c r="D78" s="107" t="e">
        <f aca="false">IF(GPS!$A48&gt;$H$49,NA(),IF(GPS!$B48=0,0,GPS!E48))</f>
        <v>#N/A</v>
      </c>
      <c r="E78" s="107" t="e">
        <f aca="false">IF(GPS!$A48&gt;$H$49,NA(),IF(GPS!$B48=0,0,GPS!F48))</f>
        <v>#N/A</v>
      </c>
      <c r="F78" s="108" t="e">
        <f aca="false">IF(GPS!$A48&gt;$H$49,NA(),IF(GPS!$B48=0,NA(),GPS!H48))</f>
        <v>#N/A</v>
      </c>
    </row>
    <row r="79" customFormat="false" ht="15" hidden="false" customHeight="false" outlineLevel="0" collapsed="false">
      <c r="A79" s="102" t="n">
        <f aca="false">GPS!A49</f>
        <v>30</v>
      </c>
      <c r="B79" s="107" t="e">
        <f aca="false">IF(GPS!$A49&gt;$H$49,NA(),IF(GPS!$B49=0,0,GPS!C49))</f>
        <v>#N/A</v>
      </c>
      <c r="C79" s="107" t="e">
        <f aca="false">IF(GPS!$A49&gt;$H$49,NA(),IF(GPS!$B49=0,0,GPS!D49))</f>
        <v>#N/A</v>
      </c>
      <c r="D79" s="107" t="e">
        <f aca="false">IF(GPS!$A49&gt;$H$49,NA(),IF(GPS!$B49=0,0,GPS!E49))</f>
        <v>#N/A</v>
      </c>
      <c r="E79" s="107" t="e">
        <f aca="false">IF(GPS!$A49&gt;$H$49,NA(),IF(GPS!$B49=0,0,GPS!F49))</f>
        <v>#N/A</v>
      </c>
      <c r="F79" s="108" t="e">
        <f aca="false">IF(GPS!$A49&gt;$H$49,NA(),IF(GPS!$B49=0,NA(),GPS!H49))</f>
        <v>#N/A</v>
      </c>
    </row>
    <row r="80" customFormat="false" ht="15" hidden="false" customHeight="false" outlineLevel="0" collapsed="false">
      <c r="A80" s="102" t="n">
        <f aca="false">GPS!A50</f>
        <v>31</v>
      </c>
      <c r="B80" s="107" t="e">
        <f aca="false">IF(GPS!$A50&gt;$H$49,NA(),IF(GPS!$B50=0,0,GPS!C50))</f>
        <v>#N/A</v>
      </c>
      <c r="C80" s="107" t="e">
        <f aca="false">IF(GPS!$A50&gt;$H$49,NA(),IF(GPS!$B50=0,0,GPS!D50))</f>
        <v>#N/A</v>
      </c>
      <c r="D80" s="107" t="e">
        <f aca="false">IF(GPS!$A50&gt;$H$49,NA(),IF(GPS!$B50=0,0,GPS!E50))</f>
        <v>#N/A</v>
      </c>
      <c r="E80" s="107" t="e">
        <f aca="false">IF(GPS!$A50&gt;$H$49,NA(),IF(GPS!$B50=0,0,GPS!F50))</f>
        <v>#N/A</v>
      </c>
      <c r="F80" s="108" t="e">
        <f aca="false">IF(GPS!$A50&gt;$H$49,NA(),IF(GPS!$B50=0,NA(),GPS!H50))</f>
        <v>#N/A</v>
      </c>
    </row>
    <row r="81" customFormat="false" ht="15" hidden="false" customHeight="false" outlineLevel="0" collapsed="false">
      <c r="A81" s="102" t="n">
        <f aca="false">GPS!A51</f>
        <v>32</v>
      </c>
      <c r="B81" s="107" t="e">
        <f aca="false">IF(GPS!$A51&gt;$H$49,NA(),IF(GPS!$B51=0,0,GPS!C51))</f>
        <v>#N/A</v>
      </c>
      <c r="C81" s="107" t="e">
        <f aca="false">IF(GPS!$A51&gt;$H$49,NA(),IF(GPS!$B51=0,0,GPS!D51))</f>
        <v>#N/A</v>
      </c>
      <c r="D81" s="107" t="e">
        <f aca="false">IF(GPS!$A51&gt;$H$49,NA(),IF(GPS!$B51=0,0,GPS!E51))</f>
        <v>#N/A</v>
      </c>
      <c r="E81" s="107" t="e">
        <f aca="false">IF(GPS!$A51&gt;$H$49,NA(),IF(GPS!$B51=0,0,GPS!F51))</f>
        <v>#N/A</v>
      </c>
      <c r="F81" s="108" t="e">
        <f aca="false">IF(GPS!$A51&gt;$H$49,NA(),IF(GPS!$B51=0,NA(),GPS!H51))</f>
        <v>#N/A</v>
      </c>
    </row>
    <row r="82" customFormat="false" ht="15" hidden="false" customHeight="false" outlineLevel="0" collapsed="false">
      <c r="A82" s="102" t="n">
        <f aca="false">GPS!A52</f>
        <v>33</v>
      </c>
      <c r="B82" s="107" t="e">
        <f aca="false">IF(GPS!$A52&gt;$H$49,NA(),IF(GPS!$B52=0,0,GPS!C52))</f>
        <v>#N/A</v>
      </c>
      <c r="C82" s="107" t="e">
        <f aca="false">IF(GPS!$A52&gt;$H$49,NA(),IF(GPS!$B52=0,0,GPS!D52))</f>
        <v>#N/A</v>
      </c>
      <c r="D82" s="107" t="e">
        <f aca="false">IF(GPS!$A52&gt;$H$49,NA(),IF(GPS!$B52=0,0,GPS!E52))</f>
        <v>#N/A</v>
      </c>
      <c r="E82" s="107" t="e">
        <f aca="false">IF(GPS!$A52&gt;$H$49,NA(),IF(GPS!$B52=0,0,GPS!F52))</f>
        <v>#N/A</v>
      </c>
      <c r="F82" s="108" t="e">
        <f aca="false">IF(GPS!$A52&gt;$H$49,NA(),IF(GPS!$B52=0,NA(),GPS!H52))</f>
        <v>#N/A</v>
      </c>
    </row>
    <row r="83" customFormat="false" ht="15" hidden="false" customHeight="false" outlineLevel="0" collapsed="false">
      <c r="A83" s="102" t="n">
        <f aca="false">GPS!A53</f>
        <v>34</v>
      </c>
      <c r="B83" s="107" t="e">
        <f aca="false">IF(GPS!$A53&gt;$H$49,NA(),IF(GPS!$B53=0,0,GPS!C53))</f>
        <v>#N/A</v>
      </c>
      <c r="C83" s="107" t="e">
        <f aca="false">IF(GPS!$A53&gt;$H$49,NA(),IF(GPS!$B53=0,0,GPS!D53))</f>
        <v>#N/A</v>
      </c>
      <c r="D83" s="107" t="e">
        <f aca="false">IF(GPS!$A53&gt;$H$49,NA(),IF(GPS!$B53=0,0,GPS!E53))</f>
        <v>#N/A</v>
      </c>
      <c r="E83" s="107" t="e">
        <f aca="false">IF(GPS!$A53&gt;$H$49,NA(),IF(GPS!$B53=0,0,GPS!F53))</f>
        <v>#N/A</v>
      </c>
      <c r="F83" s="108" t="e">
        <f aca="false">IF(GPS!$A53&gt;$H$49,NA(),IF(GPS!$B53=0,NA(),GPS!H53))</f>
        <v>#N/A</v>
      </c>
    </row>
    <row r="84" customFormat="false" ht="15" hidden="false" customHeight="false" outlineLevel="0" collapsed="false">
      <c r="A84" s="102" t="n">
        <f aca="false">GPS!A54</f>
        <v>35</v>
      </c>
      <c r="B84" s="107" t="e">
        <f aca="false">IF(GPS!$A54&gt;$H$49,NA(),IF(GPS!$B54=0,0,GPS!C54))</f>
        <v>#N/A</v>
      </c>
      <c r="C84" s="107" t="e">
        <f aca="false">IF(GPS!$A54&gt;$H$49,NA(),IF(GPS!$B54=0,0,GPS!D54))</f>
        <v>#N/A</v>
      </c>
      <c r="D84" s="107" t="e">
        <f aca="false">IF(GPS!$A54&gt;$H$49,NA(),IF(GPS!$B54=0,0,GPS!E54))</f>
        <v>#N/A</v>
      </c>
      <c r="E84" s="107" t="e">
        <f aca="false">IF(GPS!$A54&gt;$H$49,NA(),IF(GPS!$B54=0,0,GPS!F54))</f>
        <v>#N/A</v>
      </c>
      <c r="F84" s="108" t="e">
        <f aca="false">IF(GPS!$A54&gt;$H$49,NA(),IF(GPS!$B54=0,NA(),GPS!H54))</f>
        <v>#N/A</v>
      </c>
    </row>
    <row r="85" customFormat="false" ht="15" hidden="false" customHeight="false" outlineLevel="0" collapsed="false">
      <c r="A85" s="102" t="n">
        <f aca="false">GPS!A55</f>
        <v>36</v>
      </c>
      <c r="B85" s="107" t="e">
        <f aca="false">IF(GPS!$A55&gt;$H$49,NA(),IF(GPS!$B55=0,0,GPS!C55))</f>
        <v>#N/A</v>
      </c>
      <c r="C85" s="107" t="e">
        <f aca="false">IF(GPS!$A55&gt;$H$49,NA(),IF(GPS!$B55=0,0,GPS!D55))</f>
        <v>#N/A</v>
      </c>
      <c r="D85" s="107" t="e">
        <f aca="false">IF(GPS!$A55&gt;$H$49,NA(),IF(GPS!$B55=0,0,GPS!E55))</f>
        <v>#N/A</v>
      </c>
      <c r="E85" s="107" t="e">
        <f aca="false">IF(GPS!$A55&gt;$H$49,NA(),IF(GPS!$B55=0,0,GPS!F55))</f>
        <v>#N/A</v>
      </c>
      <c r="F85" s="108" t="e">
        <f aca="false">IF(GPS!$A55&gt;$H$49,NA(),IF(GPS!$B55=0,NA(),GPS!H55))</f>
        <v>#N/A</v>
      </c>
    </row>
    <row r="86" customFormat="false" ht="15" hidden="false" customHeight="false" outlineLevel="0" collapsed="false">
      <c r="A86" s="102" t="n">
        <f aca="false">GPS!A56</f>
        <v>37</v>
      </c>
      <c r="B86" s="107" t="e">
        <f aca="false">IF(GPS!$A56&gt;$H$49,NA(),IF(GPS!$B56=0,0,GPS!C56))</f>
        <v>#N/A</v>
      </c>
      <c r="C86" s="107" t="e">
        <f aca="false">IF(GPS!$A56&gt;$H$49,NA(),IF(GPS!$B56=0,0,GPS!D56))</f>
        <v>#N/A</v>
      </c>
      <c r="D86" s="107" t="e">
        <f aca="false">IF(GPS!$A56&gt;$H$49,NA(),IF(GPS!$B56=0,0,GPS!E56))</f>
        <v>#N/A</v>
      </c>
      <c r="E86" s="107" t="e">
        <f aca="false">IF(GPS!$A56&gt;$H$49,NA(),IF(GPS!$B56=0,0,GPS!F56))</f>
        <v>#N/A</v>
      </c>
      <c r="F86" s="108" t="e">
        <f aca="false">IF(GPS!$A56&gt;$H$49,NA(),IF(GPS!$B56=0,NA(),GPS!H56))</f>
        <v>#N/A</v>
      </c>
    </row>
    <row r="87" customFormat="false" ht="15" hidden="false" customHeight="false" outlineLevel="0" collapsed="false">
      <c r="A87" s="102" t="n">
        <f aca="false">GPS!A57</f>
        <v>38</v>
      </c>
      <c r="B87" s="107" t="e">
        <f aca="false">IF(GPS!$A57&gt;$H$49,NA(),IF(GPS!$B57=0,0,GPS!C57))</f>
        <v>#N/A</v>
      </c>
      <c r="C87" s="107" t="e">
        <f aca="false">IF(GPS!$A57&gt;$H$49,NA(),IF(GPS!$B57=0,0,GPS!D57))</f>
        <v>#N/A</v>
      </c>
      <c r="D87" s="107" t="e">
        <f aca="false">IF(GPS!$A57&gt;$H$49,NA(),IF(GPS!$B57=0,0,GPS!E57))</f>
        <v>#N/A</v>
      </c>
      <c r="E87" s="107" t="e">
        <f aca="false">IF(GPS!$A57&gt;$H$49,NA(),IF(GPS!$B57=0,0,GPS!F57))</f>
        <v>#N/A</v>
      </c>
      <c r="F87" s="108" t="e">
        <f aca="false">IF(GPS!$A57&gt;$H$49,NA(),IF(GPS!$B57=0,NA(),GPS!H57))</f>
        <v>#N/A</v>
      </c>
    </row>
    <row r="88" customFormat="false" ht="15" hidden="false" customHeight="false" outlineLevel="0" collapsed="false">
      <c r="A88" s="102" t="n">
        <f aca="false">GPS!A58</f>
        <v>39</v>
      </c>
      <c r="B88" s="107" t="e">
        <f aca="false">IF(GPS!$A58&gt;$H$49,NA(),IF(GPS!$B58=0,0,GPS!C58))</f>
        <v>#N/A</v>
      </c>
      <c r="C88" s="107" t="e">
        <f aca="false">IF(GPS!$A58&gt;$H$49,NA(),IF(GPS!$B58=0,0,GPS!D58))</f>
        <v>#N/A</v>
      </c>
      <c r="D88" s="107" t="e">
        <f aca="false">IF(GPS!$A58&gt;$H$49,NA(),IF(GPS!$B58=0,0,GPS!E58))</f>
        <v>#N/A</v>
      </c>
      <c r="E88" s="107" t="e">
        <f aca="false">IF(GPS!$A58&gt;$H$49,NA(),IF(GPS!$B58=0,0,GPS!F58))</f>
        <v>#N/A</v>
      </c>
      <c r="F88" s="108" t="e">
        <f aca="false">IF(GPS!$A58&gt;$H$49,NA(),IF(GPS!$B58=0,NA(),GPS!H58))</f>
        <v>#N/A</v>
      </c>
    </row>
    <row r="89" customFormat="false" ht="15" hidden="false" customHeight="false" outlineLevel="0" collapsed="false">
      <c r="A89" s="102" t="n">
        <f aca="false">GPS!A59</f>
        <v>40</v>
      </c>
      <c r="B89" s="107" t="e">
        <f aca="false">IF(GPS!$A59&gt;$H$49,NA(),IF(GPS!$B59=0,0,GPS!C59))</f>
        <v>#N/A</v>
      </c>
      <c r="C89" s="107" t="e">
        <f aca="false">IF(GPS!$A59&gt;$H$49,NA(),IF(GPS!$B59=0,0,GPS!D59))</f>
        <v>#N/A</v>
      </c>
      <c r="D89" s="107" t="e">
        <f aca="false">IF(GPS!$A59&gt;$H$49,NA(),IF(GPS!$B59=0,0,GPS!E59))</f>
        <v>#N/A</v>
      </c>
      <c r="E89" s="107" t="e">
        <f aca="false">IF(GPS!$A59&gt;$H$49,NA(),IF(GPS!$B59=0,0,GPS!F59))</f>
        <v>#N/A</v>
      </c>
      <c r="F89" s="108" t="e">
        <f aca="false">IF(GPS!$A59&gt;$H$49,NA(),IF(GPS!$B59=0,NA(),GPS!H59))</f>
        <v>#N/A</v>
      </c>
    </row>
    <row r="90" customFormat="false" ht="15" hidden="false" customHeight="false" outlineLevel="0" collapsed="false">
      <c r="A90" s="102" t="n">
        <f aca="false">GPS!A60</f>
        <v>41</v>
      </c>
      <c r="B90" s="107" t="e">
        <f aca="false">IF(GPS!$A60&gt;$H$49,NA(),IF(GPS!$B60=0,0,GPS!C60))</f>
        <v>#N/A</v>
      </c>
      <c r="C90" s="107" t="e">
        <f aca="false">IF(GPS!$A60&gt;$H$49,NA(),IF(GPS!$B60=0,0,GPS!D60))</f>
        <v>#N/A</v>
      </c>
      <c r="D90" s="107" t="e">
        <f aca="false">IF(GPS!$A60&gt;$H$49,NA(),IF(GPS!$B60=0,0,GPS!E60))</f>
        <v>#N/A</v>
      </c>
      <c r="E90" s="107" t="e">
        <f aca="false">IF(GPS!$A60&gt;$H$49,NA(),IF(GPS!$B60=0,0,GPS!F60))</f>
        <v>#N/A</v>
      </c>
      <c r="F90" s="108" t="e">
        <f aca="false">IF(GPS!$A60&gt;$H$49,NA(),IF(GPS!$B60=0,NA(),GPS!H60))</f>
        <v>#N/A</v>
      </c>
    </row>
    <row r="91" customFormat="false" ht="15" hidden="false" customHeight="false" outlineLevel="0" collapsed="false">
      <c r="A91" s="102" t="n">
        <f aca="false">GPS!A61</f>
        <v>42</v>
      </c>
      <c r="B91" s="107" t="e">
        <f aca="false">IF(GPS!$A61&gt;$H$49,NA(),IF(GPS!$B61=0,0,GPS!C61))</f>
        <v>#N/A</v>
      </c>
      <c r="C91" s="107" t="e">
        <f aca="false">IF(GPS!$A61&gt;$H$49,NA(),IF(GPS!$B61=0,0,GPS!D61))</f>
        <v>#N/A</v>
      </c>
      <c r="D91" s="107" t="e">
        <f aca="false">IF(GPS!$A61&gt;$H$49,NA(),IF(GPS!$B61=0,0,GPS!E61))</f>
        <v>#N/A</v>
      </c>
      <c r="E91" s="107" t="e">
        <f aca="false">IF(GPS!$A61&gt;$H$49,NA(),IF(GPS!$B61=0,0,GPS!F61))</f>
        <v>#N/A</v>
      </c>
      <c r="F91" s="108" t="e">
        <f aca="false">IF(GPS!$A61&gt;$H$49,NA(),IF(GPS!$B61=0,NA(),GPS!H61))</f>
        <v>#N/A</v>
      </c>
    </row>
    <row r="92" customFormat="false" ht="15" hidden="false" customHeight="false" outlineLevel="0" collapsed="false">
      <c r="A92" s="102" t="n">
        <f aca="false">GPS!A62</f>
        <v>43</v>
      </c>
      <c r="B92" s="107" t="e">
        <f aca="false">IF(GPS!$A62&gt;$H$49,NA(),IF(GPS!$B62=0,0,GPS!C62))</f>
        <v>#N/A</v>
      </c>
      <c r="C92" s="107" t="e">
        <f aca="false">IF(GPS!$A62&gt;$H$49,NA(),IF(GPS!$B62=0,0,GPS!D62))</f>
        <v>#N/A</v>
      </c>
      <c r="D92" s="107" t="e">
        <f aca="false">IF(GPS!$A62&gt;$H$49,NA(),IF(GPS!$B62=0,0,GPS!E62))</f>
        <v>#N/A</v>
      </c>
      <c r="E92" s="107" t="e">
        <f aca="false">IF(GPS!$A62&gt;$H$49,NA(),IF(GPS!$B62=0,0,GPS!F62))</f>
        <v>#N/A</v>
      </c>
      <c r="F92" s="108" t="e">
        <f aca="false">IF(GPS!$A62&gt;$H$49,NA(),IF(GPS!$B62=0,NA(),GPS!H62))</f>
        <v>#N/A</v>
      </c>
    </row>
    <row r="93" customFormat="false" ht="15" hidden="false" customHeight="false" outlineLevel="0" collapsed="false">
      <c r="A93" s="102" t="n">
        <f aca="false">GPS!A63</f>
        <v>44</v>
      </c>
      <c r="B93" s="107" t="e">
        <f aca="false">IF(GPS!$A63&gt;$H$49,NA(),IF(GPS!$B63=0,0,GPS!C63))</f>
        <v>#N/A</v>
      </c>
      <c r="C93" s="107" t="e">
        <f aca="false">IF(GPS!$A63&gt;$H$49,NA(),IF(GPS!$B63=0,0,GPS!D63))</f>
        <v>#N/A</v>
      </c>
      <c r="D93" s="107" t="e">
        <f aca="false">IF(GPS!$A63&gt;$H$49,NA(),IF(GPS!$B63=0,0,GPS!E63))</f>
        <v>#N/A</v>
      </c>
      <c r="E93" s="107" t="e">
        <f aca="false">IF(GPS!$A63&gt;$H$49,NA(),IF(GPS!$B63=0,0,GPS!F63))</f>
        <v>#N/A</v>
      </c>
      <c r="F93" s="108" t="e">
        <f aca="false">IF(GPS!$A63&gt;$H$49,NA(),IF(GPS!$B63=0,NA(),GPS!H63))</f>
        <v>#N/A</v>
      </c>
    </row>
    <row r="94" customFormat="false" ht="15" hidden="false" customHeight="false" outlineLevel="0" collapsed="false">
      <c r="A94" s="102" t="n">
        <f aca="false">GPS!A64</f>
        <v>45</v>
      </c>
      <c r="B94" s="107" t="e">
        <f aca="false">IF(GPS!$A64&gt;$H$49,NA(),IF(GPS!$B64=0,0,GPS!C64))</f>
        <v>#N/A</v>
      </c>
      <c r="C94" s="107" t="e">
        <f aca="false">IF(GPS!$A64&gt;$H$49,NA(),IF(GPS!$B64=0,0,GPS!D64))</f>
        <v>#N/A</v>
      </c>
      <c r="D94" s="107" t="e">
        <f aca="false">IF(GPS!$A64&gt;$H$49,NA(),IF(GPS!$B64=0,0,GPS!E64))</f>
        <v>#N/A</v>
      </c>
      <c r="E94" s="107" t="e">
        <f aca="false">IF(GPS!$A64&gt;$H$49,NA(),IF(GPS!$B64=0,0,GPS!F64))</f>
        <v>#N/A</v>
      </c>
      <c r="F94" s="108" t="e">
        <f aca="false">IF(GPS!$A64&gt;$H$49,NA(),IF(GPS!$B64=0,NA(),GPS!H64))</f>
        <v>#N/A</v>
      </c>
    </row>
    <row r="95" customFormat="false" ht="15" hidden="false" customHeight="false" outlineLevel="0" collapsed="false">
      <c r="A95" s="102" t="n">
        <f aca="false">GPS!A65</f>
        <v>46</v>
      </c>
      <c r="B95" s="107" t="e">
        <f aca="false">IF(GPS!$A65&gt;$H$49,NA(),IF(GPS!$B65=0,0,GPS!C65))</f>
        <v>#N/A</v>
      </c>
      <c r="C95" s="107" t="e">
        <f aca="false">IF(GPS!$A65&gt;$H$49,NA(),IF(GPS!$B65=0,0,GPS!D65))</f>
        <v>#N/A</v>
      </c>
      <c r="D95" s="107" t="e">
        <f aca="false">IF(GPS!$A65&gt;$H$49,NA(),IF(GPS!$B65=0,0,GPS!E65))</f>
        <v>#N/A</v>
      </c>
      <c r="E95" s="107" t="e">
        <f aca="false">IF(GPS!$A65&gt;$H$49,NA(),IF(GPS!$B65=0,0,GPS!F65))</f>
        <v>#N/A</v>
      </c>
      <c r="F95" s="108" t="e">
        <f aca="false">IF(GPS!$A65&gt;$H$49,NA(),IF(GPS!$B65=0,NA(),GPS!H65))</f>
        <v>#N/A</v>
      </c>
    </row>
    <row r="96" customFormat="false" ht="15" hidden="false" customHeight="false" outlineLevel="0" collapsed="false">
      <c r="A96" s="102" t="n">
        <f aca="false">GPS!A66</f>
        <v>47</v>
      </c>
      <c r="B96" s="107" t="e">
        <f aca="false">IF(GPS!$A66&gt;$H$49,NA(),IF(GPS!$B66=0,0,GPS!C66))</f>
        <v>#N/A</v>
      </c>
      <c r="C96" s="107" t="e">
        <f aca="false">IF(GPS!$A66&gt;$H$49,NA(),IF(GPS!$B66=0,0,GPS!D66))</f>
        <v>#N/A</v>
      </c>
      <c r="D96" s="107" t="e">
        <f aca="false">IF(GPS!$A66&gt;$H$49,NA(),IF(GPS!$B66=0,0,GPS!E66))</f>
        <v>#N/A</v>
      </c>
      <c r="E96" s="107" t="e">
        <f aca="false">IF(GPS!$A66&gt;$H$49,NA(),IF(GPS!$B66=0,0,GPS!F66))</f>
        <v>#N/A</v>
      </c>
      <c r="F96" s="108" t="e">
        <f aca="false">IF(GPS!$A66&gt;$H$49,NA(),IF(GPS!$B66=0,NA(),GPS!H66))</f>
        <v>#N/A</v>
      </c>
    </row>
    <row r="97" customFormat="false" ht="15" hidden="false" customHeight="false" outlineLevel="0" collapsed="false">
      <c r="A97" s="102" t="n">
        <f aca="false">GPS!A67</f>
        <v>48</v>
      </c>
      <c r="B97" s="107" t="e">
        <f aca="false">IF(GPS!$A67&gt;$H$49,NA(),IF(GPS!$B67=0,0,GPS!C67))</f>
        <v>#N/A</v>
      </c>
      <c r="C97" s="107" t="e">
        <f aca="false">IF(GPS!$A67&gt;$H$49,NA(),IF(GPS!$B67=0,0,GPS!D67))</f>
        <v>#N/A</v>
      </c>
      <c r="D97" s="107" t="e">
        <f aca="false">IF(GPS!$A67&gt;$H$49,NA(),IF(GPS!$B67=0,0,GPS!E67))</f>
        <v>#N/A</v>
      </c>
      <c r="E97" s="107" t="e">
        <f aca="false">IF(GPS!$A67&gt;$H$49,NA(),IF(GPS!$B67=0,0,GPS!F67))</f>
        <v>#N/A</v>
      </c>
      <c r="F97" s="108" t="e">
        <f aca="false">IF(GPS!$A67&gt;$H$49,NA(),IF(GPS!$B67=0,NA(),GPS!H67))</f>
        <v>#N/A</v>
      </c>
    </row>
    <row r="98" customFormat="false" ht="15" hidden="false" customHeight="false" outlineLevel="0" collapsed="false">
      <c r="A98" s="102" t="n">
        <f aca="false">GPS!A68</f>
        <v>49</v>
      </c>
      <c r="B98" s="107" t="e">
        <f aca="false">IF(GPS!$A68&gt;$H$49,NA(),IF(GPS!$B68=0,0,GPS!C68))</f>
        <v>#N/A</v>
      </c>
      <c r="C98" s="107" t="e">
        <f aca="false">IF(GPS!$A68&gt;$H$49,NA(),IF(GPS!$B68=0,0,GPS!D68))</f>
        <v>#N/A</v>
      </c>
      <c r="D98" s="107" t="e">
        <f aca="false">IF(GPS!$A68&gt;$H$49,NA(),IF(GPS!$B68=0,0,GPS!E68))</f>
        <v>#N/A</v>
      </c>
      <c r="E98" s="107" t="e">
        <f aca="false">IF(GPS!$A68&gt;$H$49,NA(),IF(GPS!$B68=0,0,GPS!F68))</f>
        <v>#N/A</v>
      </c>
      <c r="F98" s="108" t="e">
        <f aca="false">IF(GPS!$A68&gt;$H$49,NA(),IF(GPS!$B68=0,NA(),GPS!H68))</f>
        <v>#N/A</v>
      </c>
    </row>
    <row r="99" customFormat="false" ht="15" hidden="false" customHeight="false" outlineLevel="0" collapsed="false">
      <c r="A99" s="102" t="n">
        <f aca="false">GPS!A69</f>
        <v>50</v>
      </c>
      <c r="B99" s="107" t="e">
        <f aca="false">IF(GPS!$A69&gt;$H$49,NA(),IF(GPS!$B69=0,0,GPS!C69))</f>
        <v>#N/A</v>
      </c>
      <c r="C99" s="107" t="e">
        <f aca="false">IF(GPS!$A69&gt;$H$49,NA(),IF(GPS!$B69=0,0,GPS!D69))</f>
        <v>#N/A</v>
      </c>
      <c r="D99" s="107" t="e">
        <f aca="false">IF(GPS!$A69&gt;$H$49,NA(),IF(GPS!$B69=0,0,GPS!E69))</f>
        <v>#N/A</v>
      </c>
      <c r="E99" s="107" t="e">
        <f aca="false">IF(GPS!$A69&gt;$H$49,NA(),IF(GPS!$B69=0,0,GPS!F69))</f>
        <v>#N/A</v>
      </c>
      <c r="F99" s="108" t="e">
        <f aca="false">IF(GPS!$A69&gt;$H$49,NA(),IF(GPS!$B69=0,NA(),GPS!H69))</f>
        <v>#N/A</v>
      </c>
    </row>
    <row r="100" customFormat="false" ht="15" hidden="false" customHeight="false" outlineLevel="0" collapsed="false">
      <c r="A100" s="102" t="n">
        <f aca="false">GPS!A70</f>
        <v>51</v>
      </c>
      <c r="B100" s="107" t="e">
        <f aca="false">IF(GPS!$A70&gt;$H$49,NA(),IF(GPS!$B70=0,0,GPS!C70))</f>
        <v>#N/A</v>
      </c>
      <c r="C100" s="107" t="e">
        <f aca="false">IF(GPS!$A70&gt;$H$49,NA(),IF(GPS!$B70=0,0,GPS!D70))</f>
        <v>#N/A</v>
      </c>
      <c r="D100" s="107" t="e">
        <f aca="false">IF(GPS!$A70&gt;$H$49,NA(),IF(GPS!$B70=0,0,GPS!E70))</f>
        <v>#N/A</v>
      </c>
      <c r="E100" s="107" t="e">
        <f aca="false">IF(GPS!$A70&gt;$H$49,NA(),IF(GPS!$B70=0,0,GPS!F70))</f>
        <v>#N/A</v>
      </c>
      <c r="F100" s="108" t="e">
        <f aca="false">IF(GPS!$A70&gt;$H$49,NA(),IF(GPS!$B70=0,NA(),GPS!H70))</f>
        <v>#N/A</v>
      </c>
    </row>
    <row r="101" customFormat="false" ht="15" hidden="false" customHeight="false" outlineLevel="0" collapsed="false">
      <c r="A101" s="102" t="n">
        <f aca="false">GPS!A71</f>
        <v>52</v>
      </c>
      <c r="B101" s="107" t="e">
        <f aca="false">IF(GPS!$A71&gt;$H$49,NA(),IF(GPS!$B71=0,0,GPS!C71))</f>
        <v>#N/A</v>
      </c>
      <c r="C101" s="107" t="e">
        <f aca="false">IF(GPS!$A71&gt;$H$49,NA(),IF(GPS!$B71=0,0,GPS!D71))</f>
        <v>#N/A</v>
      </c>
      <c r="D101" s="107" t="e">
        <f aca="false">IF(GPS!$A71&gt;$H$49,NA(),IF(GPS!$B71=0,0,GPS!E71))</f>
        <v>#N/A</v>
      </c>
      <c r="E101" s="107" t="e">
        <f aca="false">IF(GPS!$A71&gt;$H$49,NA(),IF(GPS!$B71=0,0,GPS!F71))</f>
        <v>#N/A</v>
      </c>
      <c r="F101" s="108" t="e">
        <f aca="false">IF(GPS!$A71&gt;$H$49,NA(),IF(GPS!$B71=0,NA(),GPS!H71))</f>
        <v>#N/A</v>
      </c>
    </row>
  </sheetData>
  <mergeCells count="5">
    <mergeCell ref="A1:I1"/>
    <mergeCell ref="A3:I3"/>
    <mergeCell ref="A18:I18"/>
    <mergeCell ref="A33:I33"/>
    <mergeCell ref="A48:F48"/>
  </mergeCells>
  <conditionalFormatting sqref="B5:I16">
    <cfRule type="expression" priority="2" aboveAverage="0" equalAverage="0" bottom="0" percent="0" rank="0" text="" dxfId="16">
      <formula>ISNA(B5)</formula>
    </cfRule>
  </conditionalFormatting>
  <conditionalFormatting sqref="B20:I31">
    <cfRule type="expression" priority="3" aboveAverage="0" equalAverage="0" bottom="0" percent="0" rank="0" text="" dxfId="16">
      <formula>ISNA(B20)</formula>
    </cfRule>
  </conditionalFormatting>
  <conditionalFormatting sqref="B35:I46">
    <cfRule type="expression" priority="4" aboveAverage="0" equalAverage="0" bottom="0" percent="0" rank="0" text="" dxfId="16">
      <formula>ISNA(B35)</formula>
    </cfRule>
  </conditionalFormatting>
  <conditionalFormatting sqref="B50:F101">
    <cfRule type="expression" priority="5" aboveAverage="0" equalAverage="0" bottom="0" percent="0" rank="0" text="" dxfId="16">
      <formula>ISNA(B50)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2026-10-21T17:56:47Z</dcterms:created>
  <dc:creator>openpyxl</dc:creator>
  <dc:description/>
  <dc:language>en-US</dc:language>
  <cp:lastModifiedBy/>
  <dcterms:modified xsi:type="dcterms:W3CDTF">2026-10-21T18:56:52Z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